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SDSN\Atlas2025\R_codes\Final\Input_indicadores\"/>
    </mc:Choice>
  </mc:AlternateContent>
  <xr:revisionPtr revIDLastSave="0" documentId="13_ncr:1_{0E64B7C7-133E-47B2-B652-E198951E138E}" xr6:coauthVersionLast="47" xr6:coauthVersionMax="47" xr10:uidLastSave="{00000000-0000-0000-0000-000000000000}"/>
  <bookViews>
    <workbookView xWindow="-108" yWindow="-108" windowWidth="23256" windowHeight="12456" tabRatio="916" firstSheet="1" activeTab="10" xr2:uid="{00000000-000D-0000-FFFF-FFFF00000000}"/>
  </bookViews>
  <sheets>
    <sheet name=" 2012 MORT INFANTIL CENSO" sheetId="1" r:id="rId1"/>
    <sheet name=" 2024 MORT INFA" sheetId="2" r:id="rId2"/>
    <sheet name="Datos procesados_EDSA_y_Cen2012" sheetId="13" r:id="rId3"/>
    <sheet name="Datos procesados_EDSA_y_Cen2024" sheetId="12" r:id="rId4"/>
    <sheet name="Indicador_MUN" sheetId="3" r:id="rId5"/>
    <sheet name="INFANTIL Absoluto_MUN" sheetId="4" state="hidden" r:id="rId6"/>
    <sheet name="NIÑEZ Absoluto_MUN " sheetId="5" state="hidden" r:id="rId7"/>
    <sheet name="Absoluto_MUN" sheetId="6" r:id="rId8"/>
    <sheet name="Indicador_DEP " sheetId="7" r:id="rId9"/>
    <sheet name="Absoluto_DEP" sheetId="8" r:id="rId10"/>
    <sheet name="Umbral" sheetId="9" r:id="rId11"/>
    <sheet name="Mapa" sheetId="10" r:id="rId12"/>
  </sheets>
  <definedNames>
    <definedName name="_xlnm._FilterDatabase" localSheetId="7" hidden="1">Absoluto_MUN!$A$1:$D$1</definedName>
    <definedName name="_xlnm._FilterDatabase" localSheetId="4" hidden="1">Indicador_MUN!$A$1:$D$1</definedName>
    <definedName name="_xlnm._FilterDatabase" localSheetId="5" hidden="1">'INFANTIL Absoluto_MUN'!$A$1:$D$1</definedName>
    <definedName name="_xlnm._FilterDatabase" localSheetId="6" hidden="1">'NIÑEZ Absoluto_MUN '!$A$1:$D$1</definedName>
  </definedNames>
  <calcPr calcId="191029"/>
  <extLst>
    <ext uri="GoogleSheetsCustomDataVersion2">
      <go:sheetsCustomData xmlns:go="http://customooxmlschemas.google.com/" r:id="rId14" roundtripDataChecksum="YzsT1V60ECZAbSG1va73ITynl96Di5ty6Njzcdgo6Ww="/>
    </ext>
  </extLst>
</workbook>
</file>

<file path=xl/calcChain.xml><?xml version="1.0" encoding="utf-8"?>
<calcChain xmlns="http://schemas.openxmlformats.org/spreadsheetml/2006/main">
  <c r="P25" i="2" l="1"/>
  <c r="P17" i="2"/>
  <c r="Q17" i="2"/>
  <c r="P18" i="2"/>
  <c r="Q18" i="2"/>
  <c r="P19" i="2"/>
  <c r="Q19" i="2"/>
  <c r="P20" i="2"/>
  <c r="Q20" i="2"/>
  <c r="P21" i="2"/>
  <c r="Q21" i="2"/>
  <c r="P22" i="2"/>
  <c r="Q22" i="2"/>
  <c r="P23" i="2"/>
  <c r="Q23" i="2"/>
  <c r="P24" i="2"/>
  <c r="Q24" i="2"/>
  <c r="N25" i="2"/>
  <c r="Q25" i="2"/>
  <c r="P26" i="2"/>
  <c r="Q26" i="2"/>
  <c r="K344" i="12"/>
  <c r="S17" i="13"/>
  <c r="S18" i="13"/>
  <c r="S19" i="13"/>
  <c r="S20" i="13"/>
  <c r="S21" i="13"/>
  <c r="S22" i="13"/>
  <c r="S23" i="13"/>
  <c r="S24" i="13"/>
  <c r="S25" i="13"/>
  <c r="H340" i="13" s="1"/>
  <c r="S26" i="13"/>
  <c r="S27" i="13"/>
  <c r="S28" i="13"/>
  <c r="H2" i="13"/>
  <c r="G2" i="13"/>
  <c r="S17" i="12"/>
  <c r="R11" i="12"/>
  <c r="S11" i="12"/>
  <c r="I119" i="12"/>
  <c r="J119" i="12" s="1"/>
  <c r="T10" i="13"/>
  <c r="I307" i="13"/>
  <c r="J307" i="13" s="1"/>
  <c r="G296" i="13"/>
  <c r="G165" i="13"/>
  <c r="I344" i="13"/>
  <c r="J344" i="13" s="1"/>
  <c r="G344" i="13"/>
  <c r="I343" i="13"/>
  <c r="J343" i="13" s="1"/>
  <c r="G343" i="13"/>
  <c r="I342" i="13"/>
  <c r="J342" i="13" s="1"/>
  <c r="G342" i="13"/>
  <c r="I341" i="13"/>
  <c r="J341" i="13" s="1"/>
  <c r="G341" i="13"/>
  <c r="I340" i="13"/>
  <c r="J340" i="13" s="1"/>
  <c r="G340" i="13"/>
  <c r="I339" i="13"/>
  <c r="J339" i="13" s="1"/>
  <c r="G339" i="13"/>
  <c r="I338" i="13"/>
  <c r="J338" i="13" s="1"/>
  <c r="G338" i="13"/>
  <c r="I337" i="13"/>
  <c r="J337" i="13" s="1"/>
  <c r="G337" i="13"/>
  <c r="I336" i="13"/>
  <c r="J336" i="13" s="1"/>
  <c r="G336" i="13"/>
  <c r="I335" i="13"/>
  <c r="J335" i="13" s="1"/>
  <c r="G335" i="13"/>
  <c r="I334" i="13"/>
  <c r="J334" i="13" s="1"/>
  <c r="G334" i="13"/>
  <c r="I333" i="13"/>
  <c r="J333" i="13" s="1"/>
  <c r="G333" i="13"/>
  <c r="I332" i="13"/>
  <c r="J332" i="13" s="1"/>
  <c r="G332" i="13"/>
  <c r="I331" i="13"/>
  <c r="J331" i="13" s="1"/>
  <c r="G331" i="13"/>
  <c r="I330" i="13"/>
  <c r="J330" i="13" s="1"/>
  <c r="G330" i="13"/>
  <c r="I329" i="13"/>
  <c r="J329" i="13" s="1"/>
  <c r="G329" i="13"/>
  <c r="I328" i="13"/>
  <c r="J328" i="13" s="1"/>
  <c r="G328" i="13"/>
  <c r="I327" i="13"/>
  <c r="J327" i="13" s="1"/>
  <c r="G327" i="13"/>
  <c r="I326" i="13"/>
  <c r="J326" i="13" s="1"/>
  <c r="G326" i="13"/>
  <c r="I325" i="13"/>
  <c r="J325" i="13" s="1"/>
  <c r="G325" i="13"/>
  <c r="I324" i="13"/>
  <c r="J324" i="13" s="1"/>
  <c r="G324" i="13"/>
  <c r="I323" i="13"/>
  <c r="J323" i="13" s="1"/>
  <c r="G323" i="13"/>
  <c r="I322" i="13"/>
  <c r="J322" i="13" s="1"/>
  <c r="G322" i="13"/>
  <c r="I321" i="13"/>
  <c r="J321" i="13" s="1"/>
  <c r="G321" i="13"/>
  <c r="I320" i="13"/>
  <c r="J320" i="13" s="1"/>
  <c r="G320" i="13"/>
  <c r="I319" i="13"/>
  <c r="J319" i="13" s="1"/>
  <c r="G319" i="13"/>
  <c r="I318" i="13"/>
  <c r="J318" i="13" s="1"/>
  <c r="G318" i="13"/>
  <c r="I317" i="13"/>
  <c r="J317" i="13" s="1"/>
  <c r="G317" i="13"/>
  <c r="I316" i="13"/>
  <c r="J316" i="13" s="1"/>
  <c r="G316" i="13"/>
  <c r="I315" i="13"/>
  <c r="J315" i="13" s="1"/>
  <c r="G315" i="13"/>
  <c r="I314" i="13"/>
  <c r="J314" i="13" s="1"/>
  <c r="G314" i="13"/>
  <c r="I313" i="13"/>
  <c r="J313" i="13" s="1"/>
  <c r="G313" i="13"/>
  <c r="I312" i="13"/>
  <c r="J312" i="13" s="1"/>
  <c r="G312" i="13"/>
  <c r="I311" i="13"/>
  <c r="J311" i="13" s="1"/>
  <c r="G311" i="13"/>
  <c r="I310" i="13"/>
  <c r="J310" i="13" s="1"/>
  <c r="G310" i="13"/>
  <c r="I308" i="13"/>
  <c r="J308" i="13" s="1"/>
  <c r="G308" i="13"/>
  <c r="I304" i="13"/>
  <c r="J304" i="13" s="1"/>
  <c r="G304" i="13"/>
  <c r="I302" i="13"/>
  <c r="J302" i="13" s="1"/>
  <c r="I301" i="13"/>
  <c r="J301" i="13" s="1"/>
  <c r="I300" i="13"/>
  <c r="J300" i="13" s="1"/>
  <c r="G300" i="13"/>
  <c r="I299" i="13"/>
  <c r="J299" i="13" s="1"/>
  <c r="I298" i="13"/>
  <c r="J298" i="13" s="1"/>
  <c r="I297" i="13"/>
  <c r="J297" i="13" s="1"/>
  <c r="I296" i="13"/>
  <c r="J296" i="13" s="1"/>
  <c r="I295" i="13"/>
  <c r="J295" i="13" s="1"/>
  <c r="I294" i="13"/>
  <c r="J294" i="13" s="1"/>
  <c r="I293" i="13"/>
  <c r="J293" i="13" s="1"/>
  <c r="I292" i="13"/>
  <c r="J292" i="13" s="1"/>
  <c r="I291" i="13"/>
  <c r="J291" i="13" s="1"/>
  <c r="I290" i="13"/>
  <c r="J290" i="13" s="1"/>
  <c r="I289" i="13"/>
  <c r="J289" i="13" s="1"/>
  <c r="I288" i="13"/>
  <c r="J288" i="13" s="1"/>
  <c r="I287" i="13"/>
  <c r="J287" i="13" s="1"/>
  <c r="I286" i="13"/>
  <c r="J286" i="13" s="1"/>
  <c r="I285" i="13"/>
  <c r="J285" i="13" s="1"/>
  <c r="I284" i="13"/>
  <c r="J284" i="13" s="1"/>
  <c r="I283" i="13"/>
  <c r="J283" i="13" s="1"/>
  <c r="I282" i="13"/>
  <c r="J282" i="13" s="1"/>
  <c r="I281" i="13"/>
  <c r="J281" i="13" s="1"/>
  <c r="I280" i="13"/>
  <c r="J280" i="13" s="1"/>
  <c r="I279" i="13"/>
  <c r="J279" i="13" s="1"/>
  <c r="I278" i="13"/>
  <c r="J278" i="13" s="1"/>
  <c r="I277" i="13"/>
  <c r="J277" i="13" s="1"/>
  <c r="I276" i="13"/>
  <c r="J276" i="13" s="1"/>
  <c r="I275" i="13"/>
  <c r="J275" i="13" s="1"/>
  <c r="I274" i="13"/>
  <c r="J274" i="13" s="1"/>
  <c r="I273" i="13"/>
  <c r="J273" i="13" s="1"/>
  <c r="I272" i="13"/>
  <c r="J272" i="13" s="1"/>
  <c r="I271" i="13"/>
  <c r="J271" i="13" s="1"/>
  <c r="I270" i="13"/>
  <c r="J270" i="13" s="1"/>
  <c r="I269" i="13"/>
  <c r="J269" i="13" s="1"/>
  <c r="I268" i="13"/>
  <c r="J268" i="13" s="1"/>
  <c r="I267" i="13"/>
  <c r="J267" i="13" s="1"/>
  <c r="I266" i="13"/>
  <c r="J266" i="13" s="1"/>
  <c r="I265" i="13"/>
  <c r="J265" i="13" s="1"/>
  <c r="I264" i="13"/>
  <c r="J264" i="13" s="1"/>
  <c r="I263" i="13"/>
  <c r="J263" i="13" s="1"/>
  <c r="I262" i="13"/>
  <c r="J262" i="13" s="1"/>
  <c r="I261" i="13"/>
  <c r="J261" i="13" s="1"/>
  <c r="I260" i="13"/>
  <c r="J260" i="13" s="1"/>
  <c r="I259" i="13"/>
  <c r="J259" i="13" s="1"/>
  <c r="I258" i="13"/>
  <c r="J258" i="13" s="1"/>
  <c r="I257" i="13"/>
  <c r="J257" i="13" s="1"/>
  <c r="I256" i="13"/>
  <c r="J256" i="13" s="1"/>
  <c r="I255" i="13"/>
  <c r="J255" i="13" s="1"/>
  <c r="I254" i="13"/>
  <c r="J254" i="13" s="1"/>
  <c r="I253" i="13"/>
  <c r="J253" i="13" s="1"/>
  <c r="G253" i="13"/>
  <c r="I252" i="13"/>
  <c r="J252" i="13" s="1"/>
  <c r="G252" i="13"/>
  <c r="I251" i="13"/>
  <c r="J251" i="13" s="1"/>
  <c r="G251" i="13"/>
  <c r="I250" i="13"/>
  <c r="J250" i="13" s="1"/>
  <c r="G250" i="13"/>
  <c r="I249" i="13"/>
  <c r="J249" i="13" s="1"/>
  <c r="G249" i="13"/>
  <c r="I248" i="13"/>
  <c r="J248" i="13" s="1"/>
  <c r="G248" i="13"/>
  <c r="I247" i="13"/>
  <c r="J247" i="13" s="1"/>
  <c r="G247" i="13"/>
  <c r="I246" i="13"/>
  <c r="J246" i="13" s="1"/>
  <c r="G246" i="13"/>
  <c r="I245" i="13"/>
  <c r="J245" i="13" s="1"/>
  <c r="G245" i="13"/>
  <c r="I244" i="13"/>
  <c r="J244" i="13" s="1"/>
  <c r="G244" i="13"/>
  <c r="I243" i="13"/>
  <c r="J243" i="13" s="1"/>
  <c r="G243" i="13"/>
  <c r="I242" i="13"/>
  <c r="J242" i="13" s="1"/>
  <c r="G242" i="13"/>
  <c r="I241" i="13"/>
  <c r="J241" i="13" s="1"/>
  <c r="G241" i="13"/>
  <c r="I240" i="13"/>
  <c r="J240" i="13" s="1"/>
  <c r="G240" i="13"/>
  <c r="I239" i="13"/>
  <c r="J239" i="13" s="1"/>
  <c r="G239" i="13"/>
  <c r="I238" i="13"/>
  <c r="J238" i="13" s="1"/>
  <c r="G238" i="13"/>
  <c r="I237" i="13"/>
  <c r="J237" i="13" s="1"/>
  <c r="G237" i="13"/>
  <c r="I236" i="13"/>
  <c r="J236" i="13" s="1"/>
  <c r="G236" i="13"/>
  <c r="I235" i="13"/>
  <c r="J235" i="13" s="1"/>
  <c r="G235" i="13"/>
  <c r="I234" i="13"/>
  <c r="J234" i="13" s="1"/>
  <c r="G234" i="13"/>
  <c r="I233" i="13"/>
  <c r="J233" i="13" s="1"/>
  <c r="G233" i="13"/>
  <c r="I232" i="13"/>
  <c r="J232" i="13" s="1"/>
  <c r="G232" i="13"/>
  <c r="I231" i="13"/>
  <c r="J231" i="13" s="1"/>
  <c r="G231" i="13"/>
  <c r="I230" i="13"/>
  <c r="J230" i="13" s="1"/>
  <c r="G230" i="13"/>
  <c r="I229" i="13"/>
  <c r="J229" i="13" s="1"/>
  <c r="G229" i="13"/>
  <c r="I228" i="13"/>
  <c r="J228" i="13" s="1"/>
  <c r="G228" i="13"/>
  <c r="I227" i="13"/>
  <c r="J227" i="13" s="1"/>
  <c r="G227" i="13"/>
  <c r="I226" i="13"/>
  <c r="J226" i="13" s="1"/>
  <c r="G226" i="13"/>
  <c r="I225" i="13"/>
  <c r="J225" i="13" s="1"/>
  <c r="G225" i="13"/>
  <c r="I224" i="13"/>
  <c r="J224" i="13" s="1"/>
  <c r="G224" i="13"/>
  <c r="I223" i="13"/>
  <c r="J223" i="13" s="1"/>
  <c r="G223" i="13"/>
  <c r="I222" i="13"/>
  <c r="J222" i="13" s="1"/>
  <c r="G222" i="13"/>
  <c r="I221" i="13"/>
  <c r="J221" i="13" s="1"/>
  <c r="G221" i="13"/>
  <c r="I220" i="13"/>
  <c r="J220" i="13" s="1"/>
  <c r="G220" i="13"/>
  <c r="I219" i="13"/>
  <c r="J219" i="13" s="1"/>
  <c r="G219" i="13"/>
  <c r="I218" i="13"/>
  <c r="J218" i="13" s="1"/>
  <c r="G218" i="13"/>
  <c r="I217" i="13"/>
  <c r="J217" i="13" s="1"/>
  <c r="G217" i="13"/>
  <c r="I216" i="13"/>
  <c r="J216" i="13" s="1"/>
  <c r="G216" i="13"/>
  <c r="I215" i="13"/>
  <c r="J215" i="13" s="1"/>
  <c r="G215" i="13"/>
  <c r="I214" i="13"/>
  <c r="J214" i="13" s="1"/>
  <c r="G214" i="13"/>
  <c r="I213" i="13"/>
  <c r="J213" i="13" s="1"/>
  <c r="G213" i="13"/>
  <c r="I212" i="13"/>
  <c r="J212" i="13" s="1"/>
  <c r="G212" i="13"/>
  <c r="I211" i="13"/>
  <c r="J211" i="13" s="1"/>
  <c r="G211" i="13"/>
  <c r="I210" i="13"/>
  <c r="J210" i="13" s="1"/>
  <c r="G210" i="13"/>
  <c r="I209" i="13"/>
  <c r="J209" i="13" s="1"/>
  <c r="G209" i="13"/>
  <c r="I208" i="13"/>
  <c r="J208" i="13" s="1"/>
  <c r="G208" i="13"/>
  <c r="I207" i="13"/>
  <c r="J207" i="13" s="1"/>
  <c r="G207" i="13"/>
  <c r="I206" i="13"/>
  <c r="J206" i="13" s="1"/>
  <c r="G206" i="13"/>
  <c r="I205" i="13"/>
  <c r="J205" i="13" s="1"/>
  <c r="G205" i="13"/>
  <c r="I204" i="13"/>
  <c r="J204" i="13" s="1"/>
  <c r="G204" i="13"/>
  <c r="I203" i="13"/>
  <c r="J203" i="13" s="1"/>
  <c r="G203" i="13"/>
  <c r="I202" i="13"/>
  <c r="J202" i="13" s="1"/>
  <c r="G202" i="13"/>
  <c r="I201" i="13"/>
  <c r="J201" i="13" s="1"/>
  <c r="G201" i="13"/>
  <c r="I200" i="13"/>
  <c r="J200" i="13" s="1"/>
  <c r="G200" i="13"/>
  <c r="I199" i="13"/>
  <c r="J199" i="13" s="1"/>
  <c r="G199" i="13"/>
  <c r="I198" i="13"/>
  <c r="J198" i="13" s="1"/>
  <c r="G198" i="13"/>
  <c r="I197" i="13"/>
  <c r="J197" i="13" s="1"/>
  <c r="G197" i="13"/>
  <c r="I196" i="13"/>
  <c r="J196" i="13" s="1"/>
  <c r="G196" i="13"/>
  <c r="I195" i="13"/>
  <c r="J195" i="13" s="1"/>
  <c r="G195" i="13"/>
  <c r="I194" i="13"/>
  <c r="J194" i="13" s="1"/>
  <c r="G194" i="13"/>
  <c r="I193" i="13"/>
  <c r="J193" i="13" s="1"/>
  <c r="G193" i="13"/>
  <c r="I192" i="13"/>
  <c r="J192" i="13" s="1"/>
  <c r="G192" i="13"/>
  <c r="I191" i="13"/>
  <c r="J191" i="13" s="1"/>
  <c r="G191" i="13"/>
  <c r="I190" i="13"/>
  <c r="J190" i="13" s="1"/>
  <c r="G190" i="13"/>
  <c r="I189" i="13"/>
  <c r="J189" i="13" s="1"/>
  <c r="G189" i="13"/>
  <c r="I188" i="13"/>
  <c r="J188" i="13" s="1"/>
  <c r="G188" i="13"/>
  <c r="H188" i="13" s="1"/>
  <c r="I187" i="13"/>
  <c r="J187" i="13" s="1"/>
  <c r="G187" i="13"/>
  <c r="I186" i="13"/>
  <c r="J186" i="13" s="1"/>
  <c r="G186" i="13"/>
  <c r="I185" i="13"/>
  <c r="J185" i="13" s="1"/>
  <c r="G185" i="13"/>
  <c r="I184" i="13"/>
  <c r="J184" i="13" s="1"/>
  <c r="G184" i="13"/>
  <c r="I183" i="13"/>
  <c r="J183" i="13" s="1"/>
  <c r="G183" i="13"/>
  <c r="I182" i="13"/>
  <c r="J182" i="13" s="1"/>
  <c r="G182" i="13"/>
  <c r="I181" i="13"/>
  <c r="J181" i="13" s="1"/>
  <c r="G181" i="13"/>
  <c r="I180" i="13"/>
  <c r="J180" i="13" s="1"/>
  <c r="G180" i="13"/>
  <c r="I179" i="13"/>
  <c r="J179" i="13" s="1"/>
  <c r="G179" i="13"/>
  <c r="I178" i="13"/>
  <c r="J178" i="13" s="1"/>
  <c r="G178" i="13"/>
  <c r="I177" i="13"/>
  <c r="J177" i="13" s="1"/>
  <c r="G177" i="13"/>
  <c r="I176" i="13"/>
  <c r="J176" i="13" s="1"/>
  <c r="G176" i="13"/>
  <c r="I175" i="13"/>
  <c r="J175" i="13" s="1"/>
  <c r="G175" i="13"/>
  <c r="I174" i="13"/>
  <c r="J174" i="13" s="1"/>
  <c r="G174" i="13"/>
  <c r="I173" i="13"/>
  <c r="J173" i="13" s="1"/>
  <c r="G173" i="13"/>
  <c r="I172" i="13"/>
  <c r="J172" i="13" s="1"/>
  <c r="G172" i="13"/>
  <c r="I171" i="13"/>
  <c r="J171" i="13" s="1"/>
  <c r="G171" i="13"/>
  <c r="I170" i="13"/>
  <c r="J170" i="13" s="1"/>
  <c r="G170" i="13"/>
  <c r="I169" i="13"/>
  <c r="J169" i="13" s="1"/>
  <c r="G169" i="13"/>
  <c r="I168" i="13"/>
  <c r="J168" i="13" s="1"/>
  <c r="G168" i="13"/>
  <c r="I167" i="13"/>
  <c r="J167" i="13" s="1"/>
  <c r="G167" i="13"/>
  <c r="I166" i="13"/>
  <c r="J166" i="13" s="1"/>
  <c r="G166" i="13"/>
  <c r="I165" i="13"/>
  <c r="J165" i="13" s="1"/>
  <c r="I164" i="13"/>
  <c r="J164" i="13" s="1"/>
  <c r="I163" i="13"/>
  <c r="J163" i="13" s="1"/>
  <c r="I162" i="13"/>
  <c r="J162" i="13" s="1"/>
  <c r="G162" i="13"/>
  <c r="I161" i="13"/>
  <c r="J161" i="13" s="1"/>
  <c r="I160" i="13"/>
  <c r="J160" i="13" s="1"/>
  <c r="I159" i="13"/>
  <c r="J159" i="13" s="1"/>
  <c r="I158" i="13"/>
  <c r="J158" i="13" s="1"/>
  <c r="G158" i="13"/>
  <c r="I157" i="13"/>
  <c r="J157" i="13" s="1"/>
  <c r="I156" i="13"/>
  <c r="J156" i="13" s="1"/>
  <c r="I155" i="13"/>
  <c r="J155" i="13" s="1"/>
  <c r="I154" i="13"/>
  <c r="J154" i="13" s="1"/>
  <c r="G154" i="13"/>
  <c r="I153" i="13"/>
  <c r="J153" i="13" s="1"/>
  <c r="I152" i="13"/>
  <c r="J152" i="13" s="1"/>
  <c r="I151" i="13"/>
  <c r="J151" i="13" s="1"/>
  <c r="I150" i="13"/>
  <c r="J150" i="13" s="1"/>
  <c r="G150" i="13"/>
  <c r="I149" i="13"/>
  <c r="J149" i="13" s="1"/>
  <c r="I148" i="13"/>
  <c r="J148" i="13" s="1"/>
  <c r="I147" i="13"/>
  <c r="J147" i="13" s="1"/>
  <c r="I146" i="13"/>
  <c r="J146" i="13" s="1"/>
  <c r="G146" i="13"/>
  <c r="I145" i="13"/>
  <c r="J145" i="13" s="1"/>
  <c r="I144" i="13"/>
  <c r="J144" i="13" s="1"/>
  <c r="I143" i="13"/>
  <c r="J143" i="13" s="1"/>
  <c r="I142" i="13"/>
  <c r="J142" i="13" s="1"/>
  <c r="G142" i="13"/>
  <c r="I141" i="13"/>
  <c r="J141" i="13" s="1"/>
  <c r="I140" i="13"/>
  <c r="J140" i="13" s="1"/>
  <c r="I139" i="13"/>
  <c r="J139" i="13" s="1"/>
  <c r="I138" i="13"/>
  <c r="J138" i="13" s="1"/>
  <c r="I137" i="13"/>
  <c r="J137" i="13" s="1"/>
  <c r="I136" i="13"/>
  <c r="J136" i="13" s="1"/>
  <c r="I135" i="13"/>
  <c r="J135" i="13" s="1"/>
  <c r="I134" i="13"/>
  <c r="J134" i="13" s="1"/>
  <c r="I133" i="13"/>
  <c r="J133" i="13" s="1"/>
  <c r="I132" i="13"/>
  <c r="J132" i="13" s="1"/>
  <c r="I131" i="13"/>
  <c r="J131" i="13" s="1"/>
  <c r="I130" i="13"/>
  <c r="J130" i="13" s="1"/>
  <c r="I129" i="13"/>
  <c r="J129" i="13" s="1"/>
  <c r="I128" i="13"/>
  <c r="J128" i="13" s="1"/>
  <c r="I127" i="13"/>
  <c r="J127" i="13" s="1"/>
  <c r="I126" i="13"/>
  <c r="J126" i="13" s="1"/>
  <c r="I125" i="13"/>
  <c r="J125" i="13" s="1"/>
  <c r="I124" i="13"/>
  <c r="J124" i="13" s="1"/>
  <c r="I123" i="13"/>
  <c r="J123" i="13" s="1"/>
  <c r="I122" i="13"/>
  <c r="J122" i="13" s="1"/>
  <c r="I121" i="13"/>
  <c r="J121" i="13" s="1"/>
  <c r="I120" i="13"/>
  <c r="J120" i="13" s="1"/>
  <c r="I119" i="13"/>
  <c r="J119" i="13" s="1"/>
  <c r="I118" i="13"/>
  <c r="J118" i="13" s="1"/>
  <c r="I117" i="13"/>
  <c r="J117" i="13" s="1"/>
  <c r="G117" i="13"/>
  <c r="I116" i="13"/>
  <c r="J116" i="13" s="1"/>
  <c r="G116" i="13"/>
  <c r="I115" i="13"/>
  <c r="J115" i="13" s="1"/>
  <c r="G115" i="13"/>
  <c r="I114" i="13"/>
  <c r="J114" i="13" s="1"/>
  <c r="G114" i="13"/>
  <c r="I113" i="13"/>
  <c r="J113" i="13" s="1"/>
  <c r="G113" i="13"/>
  <c r="J112" i="13"/>
  <c r="I112" i="13"/>
  <c r="G112" i="13"/>
  <c r="I111" i="13"/>
  <c r="J111" i="13" s="1"/>
  <c r="G111" i="13"/>
  <c r="H111" i="13" s="1"/>
  <c r="I110" i="13"/>
  <c r="J110" i="13" s="1"/>
  <c r="G110" i="13"/>
  <c r="I109" i="13"/>
  <c r="J109" i="13" s="1"/>
  <c r="G109" i="13"/>
  <c r="I108" i="13"/>
  <c r="J108" i="13" s="1"/>
  <c r="G108" i="13"/>
  <c r="I107" i="13"/>
  <c r="J107" i="13" s="1"/>
  <c r="G107" i="13"/>
  <c r="I106" i="13"/>
  <c r="J106" i="13" s="1"/>
  <c r="G106" i="13"/>
  <c r="I105" i="13"/>
  <c r="J105" i="13" s="1"/>
  <c r="G105" i="13"/>
  <c r="I104" i="13"/>
  <c r="J104" i="13" s="1"/>
  <c r="G104" i="13"/>
  <c r="I103" i="13"/>
  <c r="J103" i="13" s="1"/>
  <c r="G103" i="13"/>
  <c r="H103" i="13" s="1"/>
  <c r="I102" i="13"/>
  <c r="J102" i="13" s="1"/>
  <c r="G102" i="13"/>
  <c r="I101" i="13"/>
  <c r="J101" i="13" s="1"/>
  <c r="G101" i="13"/>
  <c r="I100" i="13"/>
  <c r="J100" i="13" s="1"/>
  <c r="G100" i="13"/>
  <c r="I99" i="13"/>
  <c r="J99" i="13" s="1"/>
  <c r="G99" i="13"/>
  <c r="I98" i="13"/>
  <c r="J98" i="13" s="1"/>
  <c r="G98" i="13"/>
  <c r="I97" i="13"/>
  <c r="J97" i="13" s="1"/>
  <c r="G97" i="13"/>
  <c r="I96" i="13"/>
  <c r="J96" i="13" s="1"/>
  <c r="G96" i="13"/>
  <c r="I95" i="13"/>
  <c r="J95" i="13" s="1"/>
  <c r="G95" i="13"/>
  <c r="H95" i="13" s="1"/>
  <c r="I94" i="13"/>
  <c r="J94" i="13" s="1"/>
  <c r="G94" i="13"/>
  <c r="I93" i="13"/>
  <c r="J93" i="13" s="1"/>
  <c r="G93" i="13"/>
  <c r="I92" i="13"/>
  <c r="J92" i="13" s="1"/>
  <c r="G92" i="13"/>
  <c r="I91" i="13"/>
  <c r="J91" i="13" s="1"/>
  <c r="G91" i="13"/>
  <c r="I90" i="13"/>
  <c r="J90" i="13" s="1"/>
  <c r="G90" i="13"/>
  <c r="I89" i="13"/>
  <c r="J89" i="13" s="1"/>
  <c r="G89" i="13"/>
  <c r="I88" i="13"/>
  <c r="J88" i="13" s="1"/>
  <c r="G88" i="13"/>
  <c r="I87" i="13"/>
  <c r="J87" i="13" s="1"/>
  <c r="G87" i="13"/>
  <c r="H87" i="13" s="1"/>
  <c r="I86" i="13"/>
  <c r="J86" i="13" s="1"/>
  <c r="G86" i="13"/>
  <c r="I85" i="13"/>
  <c r="J85" i="13" s="1"/>
  <c r="G85" i="13"/>
  <c r="I84" i="13"/>
  <c r="J84" i="13" s="1"/>
  <c r="G84" i="13"/>
  <c r="I83" i="13"/>
  <c r="J83" i="13" s="1"/>
  <c r="G83" i="13"/>
  <c r="I82" i="13"/>
  <c r="J82" i="13" s="1"/>
  <c r="G82" i="13"/>
  <c r="I81" i="13"/>
  <c r="J81" i="13" s="1"/>
  <c r="G81" i="13"/>
  <c r="I80" i="13"/>
  <c r="J80" i="13" s="1"/>
  <c r="G80" i="13"/>
  <c r="I79" i="13"/>
  <c r="J79" i="13" s="1"/>
  <c r="G79" i="13"/>
  <c r="H79" i="13" s="1"/>
  <c r="I78" i="13"/>
  <c r="J78" i="13" s="1"/>
  <c r="G78" i="13"/>
  <c r="I77" i="13"/>
  <c r="J77" i="13" s="1"/>
  <c r="G77" i="13"/>
  <c r="I76" i="13"/>
  <c r="J76" i="13" s="1"/>
  <c r="G76" i="13"/>
  <c r="I75" i="13"/>
  <c r="J75" i="13" s="1"/>
  <c r="G75" i="13"/>
  <c r="I74" i="13"/>
  <c r="J74" i="13" s="1"/>
  <c r="G74" i="13"/>
  <c r="I73" i="13"/>
  <c r="J73" i="13" s="1"/>
  <c r="G73" i="13"/>
  <c r="I72" i="13"/>
  <c r="J72" i="13" s="1"/>
  <c r="G72" i="13"/>
  <c r="I71" i="13"/>
  <c r="J71" i="13" s="1"/>
  <c r="G71" i="13"/>
  <c r="H71" i="13" s="1"/>
  <c r="I70" i="13"/>
  <c r="J70" i="13" s="1"/>
  <c r="G70" i="13"/>
  <c r="I69" i="13"/>
  <c r="J69" i="13" s="1"/>
  <c r="G69" i="13"/>
  <c r="I68" i="13"/>
  <c r="J68" i="13" s="1"/>
  <c r="G68" i="13"/>
  <c r="I67" i="13"/>
  <c r="J67" i="13" s="1"/>
  <c r="G67" i="13"/>
  <c r="I66" i="13"/>
  <c r="J66" i="13" s="1"/>
  <c r="G66" i="13"/>
  <c r="I65" i="13"/>
  <c r="J65" i="13" s="1"/>
  <c r="G65" i="13"/>
  <c r="I64" i="13"/>
  <c r="J64" i="13" s="1"/>
  <c r="G64" i="13"/>
  <c r="I63" i="13"/>
  <c r="J63" i="13" s="1"/>
  <c r="G63" i="13"/>
  <c r="H63" i="13" s="1"/>
  <c r="I62" i="13"/>
  <c r="J62" i="13" s="1"/>
  <c r="G62" i="13"/>
  <c r="I61" i="13"/>
  <c r="J61" i="13" s="1"/>
  <c r="G61" i="13"/>
  <c r="I60" i="13"/>
  <c r="J60" i="13" s="1"/>
  <c r="G60" i="13"/>
  <c r="I59" i="13"/>
  <c r="J59" i="13" s="1"/>
  <c r="G59" i="13"/>
  <c r="I58" i="13"/>
  <c r="J58" i="13" s="1"/>
  <c r="G58" i="13"/>
  <c r="I57" i="13"/>
  <c r="J57" i="13" s="1"/>
  <c r="G57" i="13"/>
  <c r="I56" i="13"/>
  <c r="J56" i="13" s="1"/>
  <c r="G56" i="13"/>
  <c r="I55" i="13"/>
  <c r="J55" i="13" s="1"/>
  <c r="G55" i="13"/>
  <c r="H55" i="13" s="1"/>
  <c r="I54" i="13"/>
  <c r="J54" i="13" s="1"/>
  <c r="G54" i="13"/>
  <c r="I53" i="13"/>
  <c r="J53" i="13" s="1"/>
  <c r="G53" i="13"/>
  <c r="I52" i="13"/>
  <c r="J52" i="13" s="1"/>
  <c r="G52" i="13"/>
  <c r="I51" i="13"/>
  <c r="J51" i="13" s="1"/>
  <c r="G51" i="13"/>
  <c r="I50" i="13"/>
  <c r="J50" i="13" s="1"/>
  <c r="G50" i="13"/>
  <c r="I49" i="13"/>
  <c r="J49" i="13" s="1"/>
  <c r="G49" i="13"/>
  <c r="I48" i="13"/>
  <c r="J48" i="13" s="1"/>
  <c r="G48" i="13"/>
  <c r="I47" i="13"/>
  <c r="J47" i="13" s="1"/>
  <c r="G47" i="13"/>
  <c r="H47" i="13" s="1"/>
  <c r="I46" i="13"/>
  <c r="J46" i="13" s="1"/>
  <c r="G46" i="13"/>
  <c r="I45" i="13"/>
  <c r="J45" i="13" s="1"/>
  <c r="G45" i="13"/>
  <c r="I44" i="13"/>
  <c r="J44" i="13" s="1"/>
  <c r="G44" i="13"/>
  <c r="I43" i="13"/>
  <c r="J43" i="13" s="1"/>
  <c r="G43" i="13"/>
  <c r="I42" i="13"/>
  <c r="J42" i="13" s="1"/>
  <c r="G42" i="13"/>
  <c r="I41" i="13"/>
  <c r="J41" i="13" s="1"/>
  <c r="G41" i="13"/>
  <c r="I40" i="13"/>
  <c r="J40" i="13" s="1"/>
  <c r="G40" i="13"/>
  <c r="I39" i="13"/>
  <c r="J39" i="13" s="1"/>
  <c r="G39" i="13"/>
  <c r="H39" i="13" s="1"/>
  <c r="I38" i="13"/>
  <c r="J38" i="13" s="1"/>
  <c r="G38" i="13"/>
  <c r="I37" i="13"/>
  <c r="J37" i="13" s="1"/>
  <c r="G37" i="13"/>
  <c r="I36" i="13"/>
  <c r="J36" i="13" s="1"/>
  <c r="G36" i="13"/>
  <c r="I35" i="13"/>
  <c r="J35" i="13" s="1"/>
  <c r="G35" i="13"/>
  <c r="I34" i="13"/>
  <c r="J34" i="13" s="1"/>
  <c r="G34" i="13"/>
  <c r="I33" i="13"/>
  <c r="J33" i="13" s="1"/>
  <c r="G33" i="13"/>
  <c r="I32" i="13"/>
  <c r="J32" i="13" s="1"/>
  <c r="G32" i="13"/>
  <c r="I31" i="13"/>
  <c r="J31" i="13" s="1"/>
  <c r="G31" i="13"/>
  <c r="H31" i="13" s="1"/>
  <c r="I30" i="13"/>
  <c r="J30" i="13" s="1"/>
  <c r="G30" i="13"/>
  <c r="I29" i="13"/>
  <c r="J29" i="13" s="1"/>
  <c r="G29" i="13"/>
  <c r="I28" i="13"/>
  <c r="J28" i="13" s="1"/>
  <c r="G28" i="13"/>
  <c r="H28" i="13" s="1"/>
  <c r="J27" i="13"/>
  <c r="I27" i="13"/>
  <c r="G27" i="13"/>
  <c r="R26" i="13"/>
  <c r="Q26" i="13"/>
  <c r="I26" i="13"/>
  <c r="J26" i="13" s="1"/>
  <c r="G26" i="13"/>
  <c r="R25" i="13"/>
  <c r="Q25" i="13"/>
  <c r="O25" i="13"/>
  <c r="I25" i="13"/>
  <c r="J25" i="13" s="1"/>
  <c r="G25" i="13"/>
  <c r="R24" i="13"/>
  <c r="Q24" i="13"/>
  <c r="I24" i="13"/>
  <c r="J24" i="13" s="1"/>
  <c r="G24" i="13"/>
  <c r="R23" i="13"/>
  <c r="Q23" i="13"/>
  <c r="I23" i="13"/>
  <c r="J23" i="13" s="1"/>
  <c r="G23" i="13"/>
  <c r="R22" i="13"/>
  <c r="Q22" i="13"/>
  <c r="I22" i="13"/>
  <c r="J22" i="13" s="1"/>
  <c r="G22" i="13"/>
  <c r="R21" i="13"/>
  <c r="Q21" i="13"/>
  <c r="I21" i="13"/>
  <c r="J21" i="13" s="1"/>
  <c r="G21" i="13"/>
  <c r="R20" i="13"/>
  <c r="Q20" i="13"/>
  <c r="I20" i="13"/>
  <c r="J20" i="13" s="1"/>
  <c r="G20" i="13"/>
  <c r="R19" i="13"/>
  <c r="Q19" i="13"/>
  <c r="I19" i="13"/>
  <c r="J19" i="13" s="1"/>
  <c r="G19" i="13"/>
  <c r="H117" i="13"/>
  <c r="R18" i="13"/>
  <c r="Q18" i="13"/>
  <c r="I18" i="13"/>
  <c r="J18" i="13" s="1"/>
  <c r="G18" i="13"/>
  <c r="R17" i="13"/>
  <c r="Q17" i="13"/>
  <c r="I17" i="13"/>
  <c r="J17" i="13" s="1"/>
  <c r="G17" i="13"/>
  <c r="I16" i="13"/>
  <c r="J16" i="13" s="1"/>
  <c r="G16" i="13"/>
  <c r="I15" i="13"/>
  <c r="J15" i="13" s="1"/>
  <c r="G15" i="13"/>
  <c r="H15" i="13" s="1"/>
  <c r="I14" i="13"/>
  <c r="J14" i="13" s="1"/>
  <c r="G14" i="13"/>
  <c r="I13" i="13"/>
  <c r="J13" i="13" s="1"/>
  <c r="G13" i="13"/>
  <c r="I12" i="13"/>
  <c r="J12" i="13" s="1"/>
  <c r="G12" i="13"/>
  <c r="H12" i="13" s="1"/>
  <c r="I11" i="13"/>
  <c r="J11" i="13" s="1"/>
  <c r="G11" i="13"/>
  <c r="I10" i="13"/>
  <c r="J10" i="13" s="1"/>
  <c r="G10" i="13"/>
  <c r="I9" i="13"/>
  <c r="J9" i="13" s="1"/>
  <c r="G9" i="13"/>
  <c r="H9" i="13" s="1"/>
  <c r="I8" i="13"/>
  <c r="J8" i="13" s="1"/>
  <c r="G8" i="13"/>
  <c r="I7" i="13"/>
  <c r="J7" i="13" s="1"/>
  <c r="G7" i="13"/>
  <c r="I6" i="13"/>
  <c r="J6" i="13" s="1"/>
  <c r="G6" i="13"/>
  <c r="I5" i="13"/>
  <c r="J5" i="13" s="1"/>
  <c r="G5" i="13"/>
  <c r="I4" i="13"/>
  <c r="J4" i="13" s="1"/>
  <c r="G4" i="13"/>
  <c r="H4" i="13" s="1"/>
  <c r="I3" i="13"/>
  <c r="J3" i="13" s="1"/>
  <c r="G3" i="13"/>
  <c r="I2" i="13"/>
  <c r="J2" i="13" s="1"/>
  <c r="O25" i="12"/>
  <c r="I343" i="12"/>
  <c r="J343" i="12" s="1"/>
  <c r="I250" i="12"/>
  <c r="J250" i="12" s="1"/>
  <c r="I173" i="12"/>
  <c r="J173" i="12" s="1"/>
  <c r="I333" i="12"/>
  <c r="J333" i="12" s="1"/>
  <c r="I313" i="12"/>
  <c r="J313" i="12" s="1"/>
  <c r="I309" i="12"/>
  <c r="J309" i="12" s="1"/>
  <c r="I305" i="12"/>
  <c r="J305" i="12" s="1"/>
  <c r="I301" i="12"/>
  <c r="J301" i="12" s="1"/>
  <c r="I297" i="12"/>
  <c r="J297" i="12" s="1"/>
  <c r="I293" i="12"/>
  <c r="J293" i="12" s="1"/>
  <c r="I289" i="12"/>
  <c r="J289" i="12" s="1"/>
  <c r="I285" i="12"/>
  <c r="J285" i="12" s="1"/>
  <c r="I281" i="12"/>
  <c r="J281" i="12" s="1"/>
  <c r="I277" i="12"/>
  <c r="J277" i="12" s="1"/>
  <c r="I273" i="12"/>
  <c r="J273" i="12" s="1"/>
  <c r="I269" i="12"/>
  <c r="J269" i="12" s="1"/>
  <c r="I265" i="12"/>
  <c r="J265" i="12" s="1"/>
  <c r="I261" i="12"/>
  <c r="J261" i="12" s="1"/>
  <c r="I257" i="12"/>
  <c r="J257" i="12" s="1"/>
  <c r="I253" i="12"/>
  <c r="J253" i="12" s="1"/>
  <c r="I245" i="12"/>
  <c r="J245" i="12" s="1"/>
  <c r="I241" i="12"/>
  <c r="J241" i="12" s="1"/>
  <c r="I237" i="12"/>
  <c r="J237" i="12" s="1"/>
  <c r="I233" i="12"/>
  <c r="J233" i="12" s="1"/>
  <c r="I229" i="12"/>
  <c r="J229" i="12" s="1"/>
  <c r="I225" i="12"/>
  <c r="J225" i="12" s="1"/>
  <c r="I221" i="12"/>
  <c r="J221" i="12" s="1"/>
  <c r="I217" i="12"/>
  <c r="J217" i="12" s="1"/>
  <c r="I213" i="12"/>
  <c r="J213" i="12" s="1"/>
  <c r="I209" i="12"/>
  <c r="J209" i="12" s="1"/>
  <c r="I205" i="12"/>
  <c r="J205" i="12" s="1"/>
  <c r="I201" i="12"/>
  <c r="J201" i="12" s="1"/>
  <c r="I189" i="12"/>
  <c r="J189" i="12" s="1"/>
  <c r="I181" i="12"/>
  <c r="J181" i="12" s="1"/>
  <c r="I177" i="12"/>
  <c r="J177" i="12" s="1"/>
  <c r="I117" i="12"/>
  <c r="J117" i="12" s="1"/>
  <c r="I113" i="12"/>
  <c r="J113" i="12" s="1"/>
  <c r="I109" i="12"/>
  <c r="J109" i="12" s="1"/>
  <c r="I105" i="12"/>
  <c r="J105" i="12" s="1"/>
  <c r="I101" i="12"/>
  <c r="J101" i="12" s="1"/>
  <c r="I97" i="12"/>
  <c r="J97" i="12" s="1"/>
  <c r="I93" i="12"/>
  <c r="J93" i="12" s="1"/>
  <c r="I89" i="12"/>
  <c r="J89" i="12" s="1"/>
  <c r="I85" i="12"/>
  <c r="J85" i="12" s="1"/>
  <c r="I81" i="12"/>
  <c r="J81" i="12" s="1"/>
  <c r="I77" i="12"/>
  <c r="J77" i="12" s="1"/>
  <c r="I69" i="12"/>
  <c r="J69" i="12" s="1"/>
  <c r="I65" i="12"/>
  <c r="J65" i="12" s="1"/>
  <c r="I61" i="12"/>
  <c r="J61" i="12" s="1"/>
  <c r="I57" i="12"/>
  <c r="J57" i="12" s="1"/>
  <c r="I49" i="12"/>
  <c r="J49" i="12" s="1"/>
  <c r="I45" i="12"/>
  <c r="J45" i="12" s="1"/>
  <c r="I41" i="12"/>
  <c r="J41" i="12" s="1"/>
  <c r="I33" i="12"/>
  <c r="J33" i="12" s="1"/>
  <c r="I29" i="12"/>
  <c r="J29" i="12" s="1"/>
  <c r="I21" i="12"/>
  <c r="J21" i="12" s="1"/>
  <c r="I9" i="12"/>
  <c r="J9" i="12" s="1"/>
  <c r="I344" i="12"/>
  <c r="J344" i="12" s="1"/>
  <c r="I339" i="12"/>
  <c r="J339" i="12" s="1"/>
  <c r="I338" i="12"/>
  <c r="J338" i="12" s="1"/>
  <c r="I336" i="12"/>
  <c r="J336" i="12" s="1"/>
  <c r="I335" i="12"/>
  <c r="J335" i="12" s="1"/>
  <c r="I330" i="12"/>
  <c r="J330" i="12" s="1"/>
  <c r="I329" i="12"/>
  <c r="J329" i="12" s="1"/>
  <c r="I328" i="12"/>
  <c r="J328" i="12" s="1"/>
  <c r="I327" i="12"/>
  <c r="J327" i="12" s="1"/>
  <c r="I326" i="12"/>
  <c r="J326" i="12" s="1"/>
  <c r="I325" i="12"/>
  <c r="J325" i="12" s="1"/>
  <c r="I324" i="12"/>
  <c r="J324" i="12" s="1"/>
  <c r="I323" i="12"/>
  <c r="J323" i="12" s="1"/>
  <c r="I322" i="12"/>
  <c r="J322" i="12" s="1"/>
  <c r="I321" i="12"/>
  <c r="J321" i="12" s="1"/>
  <c r="I320" i="12"/>
  <c r="J320" i="12" s="1"/>
  <c r="I319" i="12"/>
  <c r="J319" i="12" s="1"/>
  <c r="I318" i="12"/>
  <c r="J318" i="12" s="1"/>
  <c r="I317" i="12"/>
  <c r="J317" i="12" s="1"/>
  <c r="I316" i="12"/>
  <c r="J316" i="12" s="1"/>
  <c r="I315" i="12"/>
  <c r="J315" i="12" s="1"/>
  <c r="I314" i="12"/>
  <c r="J314" i="12" s="1"/>
  <c r="I312" i="12"/>
  <c r="J312" i="12" s="1"/>
  <c r="I311" i="12"/>
  <c r="J311" i="12" s="1"/>
  <c r="I310" i="12"/>
  <c r="J310" i="12" s="1"/>
  <c r="I308" i="12"/>
  <c r="J308" i="12" s="1"/>
  <c r="I307" i="12"/>
  <c r="J307" i="12" s="1"/>
  <c r="I306" i="12"/>
  <c r="J306" i="12" s="1"/>
  <c r="I304" i="12"/>
  <c r="J304" i="12" s="1"/>
  <c r="I303" i="12"/>
  <c r="J303" i="12" s="1"/>
  <c r="I302" i="12"/>
  <c r="J302" i="12" s="1"/>
  <c r="I300" i="12"/>
  <c r="J300" i="12" s="1"/>
  <c r="I299" i="12"/>
  <c r="J299" i="12" s="1"/>
  <c r="I298" i="12"/>
  <c r="J298" i="12" s="1"/>
  <c r="I296" i="12"/>
  <c r="J296" i="12" s="1"/>
  <c r="I295" i="12"/>
  <c r="J295" i="12" s="1"/>
  <c r="I294" i="12"/>
  <c r="J294" i="12" s="1"/>
  <c r="I292" i="12"/>
  <c r="J292" i="12" s="1"/>
  <c r="I291" i="12"/>
  <c r="J291" i="12" s="1"/>
  <c r="I290" i="12"/>
  <c r="J290" i="12" s="1"/>
  <c r="I288" i="12"/>
  <c r="J288" i="12" s="1"/>
  <c r="I287" i="12"/>
  <c r="J287" i="12" s="1"/>
  <c r="I286" i="12"/>
  <c r="J286" i="12" s="1"/>
  <c r="I284" i="12"/>
  <c r="J284" i="12" s="1"/>
  <c r="I283" i="12"/>
  <c r="J283" i="12" s="1"/>
  <c r="I282" i="12"/>
  <c r="J282" i="12" s="1"/>
  <c r="I280" i="12"/>
  <c r="J280" i="12" s="1"/>
  <c r="I279" i="12"/>
  <c r="J279" i="12" s="1"/>
  <c r="I278" i="12"/>
  <c r="J278" i="12" s="1"/>
  <c r="I276" i="12"/>
  <c r="J276" i="12" s="1"/>
  <c r="I275" i="12"/>
  <c r="J275" i="12" s="1"/>
  <c r="I274" i="12"/>
  <c r="J274" i="12" s="1"/>
  <c r="I272" i="12"/>
  <c r="J272" i="12" s="1"/>
  <c r="I271" i="12"/>
  <c r="J271" i="12" s="1"/>
  <c r="I270" i="12"/>
  <c r="J270" i="12" s="1"/>
  <c r="I268" i="12"/>
  <c r="J268" i="12" s="1"/>
  <c r="I267" i="12"/>
  <c r="J267" i="12" s="1"/>
  <c r="I266" i="12"/>
  <c r="J266" i="12" s="1"/>
  <c r="I264" i="12"/>
  <c r="J264" i="12" s="1"/>
  <c r="I263" i="12"/>
  <c r="J263" i="12" s="1"/>
  <c r="I262" i="12"/>
  <c r="J262" i="12" s="1"/>
  <c r="I260" i="12"/>
  <c r="J260" i="12" s="1"/>
  <c r="I259" i="12"/>
  <c r="J259" i="12" s="1"/>
  <c r="I258" i="12"/>
  <c r="J258" i="12" s="1"/>
  <c r="I256" i="12"/>
  <c r="J256" i="12" s="1"/>
  <c r="I255" i="12"/>
  <c r="J255" i="12" s="1"/>
  <c r="I254" i="12"/>
  <c r="J254" i="12" s="1"/>
  <c r="I252" i="12"/>
  <c r="J252" i="12" s="1"/>
  <c r="I251" i="12"/>
  <c r="J251" i="12" s="1"/>
  <c r="I246" i="12"/>
  <c r="J246" i="12" s="1"/>
  <c r="I243" i="12"/>
  <c r="J243" i="12" s="1"/>
  <c r="I242" i="12"/>
  <c r="J242" i="12" s="1"/>
  <c r="I240" i="12"/>
  <c r="J240" i="12" s="1"/>
  <c r="I239" i="12"/>
  <c r="J239" i="12" s="1"/>
  <c r="I238" i="12"/>
  <c r="J238" i="12" s="1"/>
  <c r="I236" i="12"/>
  <c r="J236" i="12" s="1"/>
  <c r="I235" i="12"/>
  <c r="J235" i="12" s="1"/>
  <c r="I234" i="12"/>
  <c r="J234" i="12" s="1"/>
  <c r="I232" i="12"/>
  <c r="J232" i="12" s="1"/>
  <c r="I231" i="12"/>
  <c r="J231" i="12" s="1"/>
  <c r="I230" i="12"/>
  <c r="J230" i="12" s="1"/>
  <c r="I228" i="12"/>
  <c r="J228" i="12" s="1"/>
  <c r="I227" i="12"/>
  <c r="J227" i="12" s="1"/>
  <c r="I226" i="12"/>
  <c r="J226" i="12" s="1"/>
  <c r="I224" i="12"/>
  <c r="J224" i="12" s="1"/>
  <c r="I223" i="12"/>
  <c r="J223" i="12" s="1"/>
  <c r="I222" i="12"/>
  <c r="J222" i="12" s="1"/>
  <c r="I220" i="12"/>
  <c r="J220" i="12" s="1"/>
  <c r="I219" i="12"/>
  <c r="J219" i="12" s="1"/>
  <c r="I218" i="12"/>
  <c r="J218" i="12" s="1"/>
  <c r="I216" i="12"/>
  <c r="J216" i="12" s="1"/>
  <c r="I215" i="12"/>
  <c r="J215" i="12" s="1"/>
  <c r="I214" i="12"/>
  <c r="J214" i="12" s="1"/>
  <c r="I212" i="12"/>
  <c r="J212" i="12" s="1"/>
  <c r="I211" i="12"/>
  <c r="J211" i="12" s="1"/>
  <c r="I210" i="12"/>
  <c r="J210" i="12" s="1"/>
  <c r="I208" i="12"/>
  <c r="J208" i="12" s="1"/>
  <c r="I207" i="12"/>
  <c r="J207" i="12" s="1"/>
  <c r="I206" i="12"/>
  <c r="J206" i="12" s="1"/>
  <c r="I204" i="12"/>
  <c r="J204" i="12" s="1"/>
  <c r="I203" i="12"/>
  <c r="J203" i="12" s="1"/>
  <c r="I202" i="12"/>
  <c r="J202" i="12" s="1"/>
  <c r="I200" i="12"/>
  <c r="J200" i="12" s="1"/>
  <c r="I199" i="12"/>
  <c r="J199" i="12" s="1"/>
  <c r="I196" i="12"/>
  <c r="J196" i="12" s="1"/>
  <c r="I191" i="12"/>
  <c r="J191" i="12" s="1"/>
  <c r="I190" i="12"/>
  <c r="J190" i="12" s="1"/>
  <c r="I188" i="12"/>
  <c r="J188" i="12" s="1"/>
  <c r="I187" i="12"/>
  <c r="J187" i="12" s="1"/>
  <c r="I182" i="12"/>
  <c r="J182" i="12" s="1"/>
  <c r="I179" i="12"/>
  <c r="J179" i="12" s="1"/>
  <c r="I178" i="12"/>
  <c r="J178" i="12" s="1"/>
  <c r="I176" i="12"/>
  <c r="J176" i="12" s="1"/>
  <c r="I170" i="12"/>
  <c r="J170" i="12" s="1"/>
  <c r="I168" i="12"/>
  <c r="J168" i="12" s="1"/>
  <c r="I167" i="12"/>
  <c r="J167" i="12" s="1"/>
  <c r="I142" i="12"/>
  <c r="J142" i="12" s="1"/>
  <c r="I116" i="12"/>
  <c r="J116" i="12" s="1"/>
  <c r="I115" i="12"/>
  <c r="J115" i="12" s="1"/>
  <c r="I114" i="12"/>
  <c r="J114" i="12" s="1"/>
  <c r="I112" i="12"/>
  <c r="J112" i="12" s="1"/>
  <c r="I111" i="12"/>
  <c r="J111" i="12" s="1"/>
  <c r="I110" i="12"/>
  <c r="J110" i="12" s="1"/>
  <c r="I108" i="12"/>
  <c r="J108" i="12" s="1"/>
  <c r="I107" i="12"/>
  <c r="J107" i="12" s="1"/>
  <c r="I106" i="12"/>
  <c r="J106" i="12" s="1"/>
  <c r="I104" i="12"/>
  <c r="J104" i="12" s="1"/>
  <c r="I103" i="12"/>
  <c r="J103" i="12" s="1"/>
  <c r="I102" i="12"/>
  <c r="J102" i="12" s="1"/>
  <c r="I100" i="12"/>
  <c r="J100" i="12" s="1"/>
  <c r="I99" i="12"/>
  <c r="J99" i="12" s="1"/>
  <c r="I98" i="12"/>
  <c r="J98" i="12" s="1"/>
  <c r="I96" i="12"/>
  <c r="J96" i="12" s="1"/>
  <c r="I95" i="12"/>
  <c r="J95" i="12" s="1"/>
  <c r="I94" i="12"/>
  <c r="J94" i="12" s="1"/>
  <c r="I92" i="12"/>
  <c r="J92" i="12" s="1"/>
  <c r="I91" i="12"/>
  <c r="J91" i="12" s="1"/>
  <c r="I90" i="12"/>
  <c r="J90" i="12" s="1"/>
  <c r="I88" i="12"/>
  <c r="J88" i="12" s="1"/>
  <c r="I87" i="12"/>
  <c r="J87" i="12" s="1"/>
  <c r="I86" i="12"/>
  <c r="J86" i="12" s="1"/>
  <c r="I84" i="12"/>
  <c r="J84" i="12" s="1"/>
  <c r="I83" i="12"/>
  <c r="J83" i="12" s="1"/>
  <c r="I82" i="12"/>
  <c r="J82" i="12" s="1"/>
  <c r="I80" i="12"/>
  <c r="J80" i="12" s="1"/>
  <c r="I79" i="12"/>
  <c r="J79" i="12" s="1"/>
  <c r="I78" i="12"/>
  <c r="J78" i="12" s="1"/>
  <c r="I76" i="12"/>
  <c r="J76" i="12" s="1"/>
  <c r="I75" i="12"/>
  <c r="J75" i="12" s="1"/>
  <c r="I74" i="12"/>
  <c r="J74" i="12" s="1"/>
  <c r="I73" i="12"/>
  <c r="J73" i="12" s="1"/>
  <c r="I72" i="12"/>
  <c r="J72" i="12" s="1"/>
  <c r="I71" i="12"/>
  <c r="J71" i="12" s="1"/>
  <c r="I70" i="12"/>
  <c r="J70" i="12" s="1"/>
  <c r="I68" i="12"/>
  <c r="J68" i="12" s="1"/>
  <c r="I67" i="12"/>
  <c r="J67" i="12" s="1"/>
  <c r="I66" i="12"/>
  <c r="J66" i="12" s="1"/>
  <c r="I64" i="12"/>
  <c r="J64" i="12" s="1"/>
  <c r="I63" i="12"/>
  <c r="J63" i="12" s="1"/>
  <c r="I62" i="12"/>
  <c r="J62" i="12" s="1"/>
  <c r="I60" i="12"/>
  <c r="J60" i="12" s="1"/>
  <c r="I59" i="12"/>
  <c r="J59" i="12" s="1"/>
  <c r="I58" i="12"/>
  <c r="J58" i="12" s="1"/>
  <c r="I56" i="12"/>
  <c r="J56" i="12" s="1"/>
  <c r="I55" i="12"/>
  <c r="J55" i="12" s="1"/>
  <c r="I54" i="12"/>
  <c r="J54" i="12" s="1"/>
  <c r="I53" i="12"/>
  <c r="J53" i="12" s="1"/>
  <c r="I52" i="12"/>
  <c r="J52" i="12" s="1"/>
  <c r="I51" i="12"/>
  <c r="J51" i="12" s="1"/>
  <c r="I50" i="12"/>
  <c r="J50" i="12" s="1"/>
  <c r="I48" i="12"/>
  <c r="J48" i="12" s="1"/>
  <c r="I47" i="12"/>
  <c r="J47" i="12" s="1"/>
  <c r="I46" i="12"/>
  <c r="J46" i="12" s="1"/>
  <c r="I44" i="12"/>
  <c r="J44" i="12" s="1"/>
  <c r="I43" i="12"/>
  <c r="J43" i="12" s="1"/>
  <c r="I42" i="12"/>
  <c r="J42" i="12" s="1"/>
  <c r="I40" i="12"/>
  <c r="J40" i="12" s="1"/>
  <c r="I39" i="12"/>
  <c r="J39" i="12" s="1"/>
  <c r="I38" i="12"/>
  <c r="J38" i="12" s="1"/>
  <c r="I37" i="12"/>
  <c r="J37" i="12" s="1"/>
  <c r="I36" i="12"/>
  <c r="J36" i="12" s="1"/>
  <c r="I35" i="12"/>
  <c r="J35" i="12" s="1"/>
  <c r="I34" i="12"/>
  <c r="J34" i="12" s="1"/>
  <c r="I32" i="12"/>
  <c r="J32" i="12" s="1"/>
  <c r="I31" i="12"/>
  <c r="J31" i="12" s="1"/>
  <c r="I30" i="12"/>
  <c r="J30" i="12" s="1"/>
  <c r="S28" i="12"/>
  <c r="I28" i="12"/>
  <c r="J28" i="12" s="1"/>
  <c r="S27" i="12"/>
  <c r="I27" i="12"/>
  <c r="J27" i="12" s="1"/>
  <c r="S26" i="12"/>
  <c r="R26" i="12"/>
  <c r="Q26" i="12"/>
  <c r="I26" i="12"/>
  <c r="J26" i="12" s="1"/>
  <c r="S25" i="12"/>
  <c r="R25" i="12"/>
  <c r="Q25" i="12"/>
  <c r="S24" i="12"/>
  <c r="R24" i="12"/>
  <c r="Q24" i="12"/>
  <c r="I24" i="12"/>
  <c r="J24" i="12" s="1"/>
  <c r="S23" i="12"/>
  <c r="R23" i="12"/>
  <c r="Q23" i="12"/>
  <c r="I23" i="12"/>
  <c r="J23" i="12" s="1"/>
  <c r="S22" i="12"/>
  <c r="R22" i="12"/>
  <c r="Q22" i="12"/>
  <c r="I22" i="12"/>
  <c r="J22" i="12" s="1"/>
  <c r="S21" i="12"/>
  <c r="R21" i="12"/>
  <c r="Q21" i="12"/>
  <c r="S20" i="12"/>
  <c r="R20" i="12"/>
  <c r="Q20" i="12"/>
  <c r="I20" i="12"/>
  <c r="J20" i="12" s="1"/>
  <c r="S19" i="12"/>
  <c r="R19" i="12"/>
  <c r="Q19" i="12"/>
  <c r="I19" i="12"/>
  <c r="J19" i="12" s="1"/>
  <c r="S18" i="12"/>
  <c r="R18" i="12"/>
  <c r="Q18" i="12"/>
  <c r="I18" i="12"/>
  <c r="J18" i="12" s="1"/>
  <c r="R17" i="12"/>
  <c r="Q17" i="12"/>
  <c r="I16" i="12"/>
  <c r="J16" i="12" s="1"/>
  <c r="I15" i="12"/>
  <c r="J15" i="12" s="1"/>
  <c r="I14" i="12"/>
  <c r="J14" i="12" s="1"/>
  <c r="I12" i="12"/>
  <c r="J12" i="12" s="1"/>
  <c r="I11" i="12"/>
  <c r="J11" i="12" s="1"/>
  <c r="I10" i="12"/>
  <c r="J10" i="12" s="1"/>
  <c r="I8" i="12"/>
  <c r="J8" i="12" s="1"/>
  <c r="I7" i="12"/>
  <c r="J7" i="12" s="1"/>
  <c r="I6" i="12"/>
  <c r="J6" i="12" s="1"/>
  <c r="I4" i="12"/>
  <c r="J4" i="12" s="1"/>
  <c r="I3" i="12"/>
  <c r="J3" i="12" s="1"/>
  <c r="I2" i="12"/>
  <c r="J2" i="12" s="1"/>
  <c r="K10" i="1"/>
  <c r="F346" i="1"/>
  <c r="M12" i="1"/>
  <c r="G346" i="1"/>
  <c r="O351" i="2"/>
  <c r="M351" i="2"/>
  <c r="O350" i="2"/>
  <c r="M350" i="2"/>
  <c r="G346" i="2"/>
  <c r="F346" i="2"/>
  <c r="E346" i="2" s="1"/>
  <c r="L345" i="2"/>
  <c r="I345" i="2"/>
  <c r="H345" i="2"/>
  <c r="I344" i="2"/>
  <c r="H344" i="2"/>
  <c r="E344" i="2"/>
  <c r="I343" i="2"/>
  <c r="H343" i="2"/>
  <c r="E343" i="2"/>
  <c r="I342" i="2"/>
  <c r="H342" i="2"/>
  <c r="E342" i="2"/>
  <c r="I341" i="2"/>
  <c r="H341" i="2"/>
  <c r="E341" i="2"/>
  <c r="I340" i="2"/>
  <c r="H340" i="2"/>
  <c r="E340" i="2"/>
  <c r="I339" i="2"/>
  <c r="H339" i="2"/>
  <c r="E339" i="2"/>
  <c r="I338" i="2"/>
  <c r="H338" i="2"/>
  <c r="E338" i="2"/>
  <c r="I337" i="2"/>
  <c r="H337" i="2"/>
  <c r="E337" i="2"/>
  <c r="I336" i="2"/>
  <c r="H336" i="2"/>
  <c r="E336" i="2"/>
  <c r="I335" i="2"/>
  <c r="H335" i="2"/>
  <c r="E335" i="2"/>
  <c r="I334" i="2"/>
  <c r="H334" i="2"/>
  <c r="E334" i="2"/>
  <c r="I333" i="2"/>
  <c r="H333" i="2"/>
  <c r="E333" i="2"/>
  <c r="I332" i="2"/>
  <c r="H332" i="2"/>
  <c r="E332" i="2"/>
  <c r="I331" i="2"/>
  <c r="H331" i="2"/>
  <c r="E331" i="2"/>
  <c r="I330" i="2"/>
  <c r="H330" i="2"/>
  <c r="E330" i="2"/>
  <c r="I329" i="2"/>
  <c r="H329" i="2"/>
  <c r="E329" i="2"/>
  <c r="I328" i="2"/>
  <c r="H328" i="2"/>
  <c r="E328" i="2"/>
  <c r="I327" i="2"/>
  <c r="H327" i="2"/>
  <c r="E327" i="2"/>
  <c r="I326" i="2"/>
  <c r="H326" i="2"/>
  <c r="E326" i="2"/>
  <c r="I325" i="2"/>
  <c r="H325" i="2"/>
  <c r="E325" i="2"/>
  <c r="I324" i="2"/>
  <c r="H324" i="2"/>
  <c r="E324" i="2"/>
  <c r="I323" i="2"/>
  <c r="H323" i="2"/>
  <c r="E323" i="2"/>
  <c r="I322" i="2"/>
  <c r="H322" i="2"/>
  <c r="E322" i="2"/>
  <c r="I321" i="2"/>
  <c r="H321" i="2"/>
  <c r="E321" i="2"/>
  <c r="I320" i="2"/>
  <c r="H320" i="2"/>
  <c r="E320" i="2"/>
  <c r="I319" i="2"/>
  <c r="H319" i="2"/>
  <c r="E319" i="2"/>
  <c r="I318" i="2"/>
  <c r="H318" i="2"/>
  <c r="E318" i="2"/>
  <c r="I317" i="2"/>
  <c r="H317" i="2"/>
  <c r="E317" i="2"/>
  <c r="I316" i="2"/>
  <c r="H316" i="2"/>
  <c r="E316" i="2"/>
  <c r="I315" i="2"/>
  <c r="H315" i="2"/>
  <c r="E315" i="2"/>
  <c r="I314" i="2"/>
  <c r="H314" i="2"/>
  <c r="E314" i="2"/>
  <c r="I313" i="2"/>
  <c r="H313" i="2"/>
  <c r="E313" i="2"/>
  <c r="I312" i="2"/>
  <c r="H312" i="2"/>
  <c r="E312" i="2"/>
  <c r="I311" i="2"/>
  <c r="H311" i="2"/>
  <c r="E311" i="2"/>
  <c r="I310" i="2"/>
  <c r="H310" i="2"/>
  <c r="E310" i="2"/>
  <c r="I309" i="2"/>
  <c r="H309" i="2"/>
  <c r="E309" i="2"/>
  <c r="I308" i="2"/>
  <c r="H308" i="2"/>
  <c r="E308" i="2"/>
  <c r="I307" i="2"/>
  <c r="H307" i="2"/>
  <c r="E307" i="2"/>
  <c r="I306" i="2"/>
  <c r="H306" i="2"/>
  <c r="E306" i="2"/>
  <c r="I305" i="2"/>
  <c r="H305" i="2"/>
  <c r="E305" i="2"/>
  <c r="I304" i="2"/>
  <c r="H304" i="2"/>
  <c r="E304" i="2"/>
  <c r="I303" i="2"/>
  <c r="H303" i="2"/>
  <c r="E303" i="2"/>
  <c r="I302" i="2"/>
  <c r="H302" i="2"/>
  <c r="E302" i="2"/>
  <c r="I301" i="2"/>
  <c r="H301" i="2"/>
  <c r="E301" i="2"/>
  <c r="I300" i="2"/>
  <c r="H300" i="2"/>
  <c r="E300" i="2"/>
  <c r="I299" i="2"/>
  <c r="H299" i="2"/>
  <c r="E299" i="2"/>
  <c r="I298" i="2"/>
  <c r="H298" i="2"/>
  <c r="E298" i="2"/>
  <c r="I297" i="2"/>
  <c r="H297" i="2"/>
  <c r="E297" i="2"/>
  <c r="I296" i="2"/>
  <c r="H296" i="2"/>
  <c r="E296" i="2"/>
  <c r="I295" i="2"/>
  <c r="H295" i="2"/>
  <c r="E295" i="2"/>
  <c r="I294" i="2"/>
  <c r="H294" i="2"/>
  <c r="E294" i="2"/>
  <c r="I293" i="2"/>
  <c r="H293" i="2"/>
  <c r="E293" i="2"/>
  <c r="I292" i="2"/>
  <c r="H292" i="2"/>
  <c r="E292" i="2"/>
  <c r="I291" i="2"/>
  <c r="H291" i="2"/>
  <c r="E291" i="2"/>
  <c r="I290" i="2"/>
  <c r="H290" i="2"/>
  <c r="E290" i="2"/>
  <c r="I289" i="2"/>
  <c r="H289" i="2"/>
  <c r="E289" i="2"/>
  <c r="I288" i="2"/>
  <c r="H288" i="2"/>
  <c r="E288" i="2"/>
  <c r="I287" i="2"/>
  <c r="H287" i="2"/>
  <c r="E287" i="2"/>
  <c r="I286" i="2"/>
  <c r="H286" i="2"/>
  <c r="E286" i="2"/>
  <c r="I285" i="2"/>
  <c r="H285" i="2"/>
  <c r="E285" i="2"/>
  <c r="I284" i="2"/>
  <c r="H284" i="2"/>
  <c r="E284" i="2"/>
  <c r="I283" i="2"/>
  <c r="H283" i="2"/>
  <c r="E283" i="2"/>
  <c r="I282" i="2"/>
  <c r="H282" i="2"/>
  <c r="E282" i="2"/>
  <c r="I281" i="2"/>
  <c r="H281" i="2"/>
  <c r="E281" i="2"/>
  <c r="I280" i="2"/>
  <c r="H280" i="2"/>
  <c r="E280" i="2"/>
  <c r="I279" i="2"/>
  <c r="H279" i="2"/>
  <c r="E279" i="2"/>
  <c r="I278" i="2"/>
  <c r="H278" i="2"/>
  <c r="E278" i="2"/>
  <c r="I277" i="2"/>
  <c r="H277" i="2"/>
  <c r="E277" i="2"/>
  <c r="I276" i="2"/>
  <c r="H276" i="2"/>
  <c r="E276" i="2"/>
  <c r="I275" i="2"/>
  <c r="H275" i="2"/>
  <c r="E275" i="2"/>
  <c r="I274" i="2"/>
  <c r="H274" i="2"/>
  <c r="E274" i="2"/>
  <c r="I273" i="2"/>
  <c r="H273" i="2"/>
  <c r="E273" i="2"/>
  <c r="I272" i="2"/>
  <c r="H272" i="2"/>
  <c r="E272" i="2"/>
  <c r="I271" i="2"/>
  <c r="H271" i="2"/>
  <c r="E271" i="2"/>
  <c r="I270" i="2"/>
  <c r="H270" i="2"/>
  <c r="E270" i="2"/>
  <c r="I269" i="2"/>
  <c r="H269" i="2"/>
  <c r="E269" i="2"/>
  <c r="I268" i="2"/>
  <c r="H268" i="2"/>
  <c r="E268" i="2"/>
  <c r="I267" i="2"/>
  <c r="H267" i="2"/>
  <c r="E267" i="2"/>
  <c r="I266" i="2"/>
  <c r="H266" i="2"/>
  <c r="E266" i="2"/>
  <c r="I265" i="2"/>
  <c r="H265" i="2"/>
  <c r="E265" i="2"/>
  <c r="I264" i="2"/>
  <c r="H264" i="2"/>
  <c r="E264" i="2"/>
  <c r="I263" i="2"/>
  <c r="H263" i="2"/>
  <c r="E263" i="2"/>
  <c r="I262" i="2"/>
  <c r="H262" i="2"/>
  <c r="E262" i="2"/>
  <c r="I261" i="2"/>
  <c r="H261" i="2"/>
  <c r="E261" i="2"/>
  <c r="I260" i="2"/>
  <c r="H260" i="2"/>
  <c r="E260" i="2"/>
  <c r="I259" i="2"/>
  <c r="H259" i="2"/>
  <c r="E259" i="2"/>
  <c r="I258" i="2"/>
  <c r="H258" i="2"/>
  <c r="E258" i="2"/>
  <c r="I257" i="2"/>
  <c r="H257" i="2"/>
  <c r="E257" i="2"/>
  <c r="I256" i="2"/>
  <c r="H256" i="2"/>
  <c r="E256" i="2"/>
  <c r="I255" i="2"/>
  <c r="H255" i="2"/>
  <c r="E255" i="2"/>
  <c r="I254" i="2"/>
  <c r="H254" i="2"/>
  <c r="E254" i="2"/>
  <c r="I253" i="2"/>
  <c r="H253" i="2"/>
  <c r="E253" i="2"/>
  <c r="I252" i="2"/>
  <c r="H252" i="2"/>
  <c r="E252" i="2"/>
  <c r="I251" i="2"/>
  <c r="H251" i="2"/>
  <c r="E251" i="2"/>
  <c r="I250" i="2"/>
  <c r="H250" i="2"/>
  <c r="E250" i="2"/>
  <c r="I249" i="2"/>
  <c r="H249" i="2"/>
  <c r="E249" i="2"/>
  <c r="I248" i="2"/>
  <c r="H248" i="2"/>
  <c r="E248" i="2"/>
  <c r="I247" i="2"/>
  <c r="H247" i="2"/>
  <c r="E247" i="2"/>
  <c r="I246" i="2"/>
  <c r="H246" i="2"/>
  <c r="E246" i="2"/>
  <c r="I245" i="2"/>
  <c r="H245" i="2"/>
  <c r="E245" i="2"/>
  <c r="I244" i="2"/>
  <c r="H244" i="2"/>
  <c r="E244" i="2"/>
  <c r="I243" i="2"/>
  <c r="H243" i="2"/>
  <c r="E243" i="2"/>
  <c r="I242" i="2"/>
  <c r="H242" i="2"/>
  <c r="E242" i="2"/>
  <c r="I241" i="2"/>
  <c r="H241" i="2"/>
  <c r="E241" i="2"/>
  <c r="I240" i="2"/>
  <c r="H240" i="2"/>
  <c r="E240" i="2"/>
  <c r="I239" i="2"/>
  <c r="H239" i="2"/>
  <c r="E239" i="2"/>
  <c r="I238" i="2"/>
  <c r="H238" i="2"/>
  <c r="E238" i="2"/>
  <c r="I237" i="2"/>
  <c r="H237" i="2"/>
  <c r="E237" i="2"/>
  <c r="I236" i="2"/>
  <c r="H236" i="2"/>
  <c r="E236" i="2"/>
  <c r="I235" i="2"/>
  <c r="H235" i="2"/>
  <c r="E235" i="2"/>
  <c r="I234" i="2"/>
  <c r="H234" i="2"/>
  <c r="E234" i="2"/>
  <c r="I233" i="2"/>
  <c r="H233" i="2"/>
  <c r="E233" i="2"/>
  <c r="I232" i="2"/>
  <c r="H232" i="2"/>
  <c r="E232" i="2"/>
  <c r="I231" i="2"/>
  <c r="H231" i="2"/>
  <c r="E231" i="2"/>
  <c r="I230" i="2"/>
  <c r="H230" i="2"/>
  <c r="E230" i="2"/>
  <c r="I229" i="2"/>
  <c r="H229" i="2"/>
  <c r="E229" i="2"/>
  <c r="I228" i="2"/>
  <c r="H228" i="2"/>
  <c r="E228" i="2"/>
  <c r="I227" i="2"/>
  <c r="H227" i="2"/>
  <c r="E227" i="2"/>
  <c r="I226" i="2"/>
  <c r="H226" i="2"/>
  <c r="E226" i="2"/>
  <c r="I225" i="2"/>
  <c r="H225" i="2"/>
  <c r="E225" i="2"/>
  <c r="I224" i="2"/>
  <c r="H224" i="2"/>
  <c r="E224" i="2"/>
  <c r="I223" i="2"/>
  <c r="H223" i="2"/>
  <c r="E223" i="2"/>
  <c r="I222" i="2"/>
  <c r="H222" i="2"/>
  <c r="E222" i="2"/>
  <c r="I221" i="2"/>
  <c r="H221" i="2"/>
  <c r="E221" i="2"/>
  <c r="I220" i="2"/>
  <c r="H220" i="2"/>
  <c r="E220" i="2"/>
  <c r="I219" i="2"/>
  <c r="H219" i="2"/>
  <c r="E219" i="2"/>
  <c r="I218" i="2"/>
  <c r="H218" i="2"/>
  <c r="E218" i="2"/>
  <c r="I217" i="2"/>
  <c r="H217" i="2"/>
  <c r="E217" i="2"/>
  <c r="I216" i="2"/>
  <c r="H216" i="2"/>
  <c r="E216" i="2"/>
  <c r="I215" i="2"/>
  <c r="H215" i="2"/>
  <c r="E215" i="2"/>
  <c r="I214" i="2"/>
  <c r="H214" i="2"/>
  <c r="E214" i="2"/>
  <c r="I213" i="2"/>
  <c r="H213" i="2"/>
  <c r="E213" i="2"/>
  <c r="I212" i="2"/>
  <c r="H212" i="2"/>
  <c r="E212" i="2"/>
  <c r="I211" i="2"/>
  <c r="H211" i="2"/>
  <c r="E211" i="2"/>
  <c r="I210" i="2"/>
  <c r="H210" i="2"/>
  <c r="E210" i="2"/>
  <c r="I209" i="2"/>
  <c r="H209" i="2"/>
  <c r="E209" i="2"/>
  <c r="I208" i="2"/>
  <c r="H208" i="2"/>
  <c r="E208" i="2"/>
  <c r="I207" i="2"/>
  <c r="H207" i="2"/>
  <c r="E207" i="2"/>
  <c r="I206" i="2"/>
  <c r="H206" i="2"/>
  <c r="E206" i="2"/>
  <c r="I205" i="2"/>
  <c r="H205" i="2"/>
  <c r="E205" i="2"/>
  <c r="I204" i="2"/>
  <c r="H204" i="2"/>
  <c r="E204" i="2"/>
  <c r="I203" i="2"/>
  <c r="H203" i="2"/>
  <c r="E203" i="2"/>
  <c r="I202" i="2"/>
  <c r="H202" i="2"/>
  <c r="E202" i="2"/>
  <c r="I201" i="2"/>
  <c r="H201" i="2"/>
  <c r="E201" i="2"/>
  <c r="I200" i="2"/>
  <c r="H200" i="2"/>
  <c r="E200" i="2"/>
  <c r="I199" i="2"/>
  <c r="H199" i="2"/>
  <c r="E199" i="2"/>
  <c r="I198" i="2"/>
  <c r="H198" i="2"/>
  <c r="E198" i="2"/>
  <c r="I197" i="2"/>
  <c r="H197" i="2"/>
  <c r="E197" i="2"/>
  <c r="I196" i="2"/>
  <c r="H196" i="2"/>
  <c r="E196" i="2"/>
  <c r="I195" i="2"/>
  <c r="H195" i="2"/>
  <c r="E195" i="2"/>
  <c r="I194" i="2"/>
  <c r="H194" i="2"/>
  <c r="E194" i="2"/>
  <c r="I193" i="2"/>
  <c r="H193" i="2"/>
  <c r="E193" i="2"/>
  <c r="I192" i="2"/>
  <c r="H192" i="2"/>
  <c r="E192" i="2"/>
  <c r="I191" i="2"/>
  <c r="H191" i="2"/>
  <c r="E191" i="2"/>
  <c r="I190" i="2"/>
  <c r="H190" i="2"/>
  <c r="E190" i="2"/>
  <c r="I189" i="2"/>
  <c r="H189" i="2"/>
  <c r="E189" i="2"/>
  <c r="I188" i="2"/>
  <c r="H188" i="2"/>
  <c r="E188" i="2"/>
  <c r="I187" i="2"/>
  <c r="H187" i="2"/>
  <c r="E187" i="2"/>
  <c r="I186" i="2"/>
  <c r="H186" i="2"/>
  <c r="E186" i="2"/>
  <c r="I185" i="2"/>
  <c r="H185" i="2"/>
  <c r="E185" i="2"/>
  <c r="I184" i="2"/>
  <c r="H184" i="2"/>
  <c r="E184" i="2"/>
  <c r="I183" i="2"/>
  <c r="H183" i="2"/>
  <c r="E183" i="2"/>
  <c r="I182" i="2"/>
  <c r="H182" i="2"/>
  <c r="E182" i="2"/>
  <c r="I181" i="2"/>
  <c r="H181" i="2"/>
  <c r="E181" i="2"/>
  <c r="I180" i="2"/>
  <c r="H180" i="2"/>
  <c r="E180" i="2"/>
  <c r="I179" i="2"/>
  <c r="H179" i="2"/>
  <c r="E179" i="2"/>
  <c r="I178" i="2"/>
  <c r="H178" i="2"/>
  <c r="E178" i="2"/>
  <c r="I177" i="2"/>
  <c r="H177" i="2"/>
  <c r="E177" i="2"/>
  <c r="I176" i="2"/>
  <c r="H176" i="2"/>
  <c r="E176" i="2"/>
  <c r="I175" i="2"/>
  <c r="H175" i="2"/>
  <c r="E175" i="2"/>
  <c r="I174" i="2"/>
  <c r="H174" i="2"/>
  <c r="E174" i="2"/>
  <c r="I173" i="2"/>
  <c r="H173" i="2"/>
  <c r="E173" i="2"/>
  <c r="I172" i="2"/>
  <c r="H172" i="2"/>
  <c r="E172" i="2"/>
  <c r="I171" i="2"/>
  <c r="H171" i="2"/>
  <c r="E171" i="2"/>
  <c r="I170" i="2"/>
  <c r="H170" i="2"/>
  <c r="E170" i="2"/>
  <c r="I169" i="2"/>
  <c r="H169" i="2"/>
  <c r="E169" i="2"/>
  <c r="I168" i="2"/>
  <c r="H168" i="2"/>
  <c r="E168" i="2"/>
  <c r="I167" i="2"/>
  <c r="H167" i="2"/>
  <c r="E167" i="2"/>
  <c r="I166" i="2"/>
  <c r="H166" i="2"/>
  <c r="E166" i="2"/>
  <c r="I165" i="2"/>
  <c r="H165" i="2"/>
  <c r="E165" i="2"/>
  <c r="I164" i="2"/>
  <c r="H164" i="2"/>
  <c r="E164" i="2"/>
  <c r="I163" i="2"/>
  <c r="H163" i="2"/>
  <c r="E163" i="2"/>
  <c r="I162" i="2"/>
  <c r="H162" i="2"/>
  <c r="E162" i="2"/>
  <c r="I161" i="2"/>
  <c r="H161" i="2"/>
  <c r="E161" i="2"/>
  <c r="I160" i="2"/>
  <c r="H160" i="2"/>
  <c r="E160" i="2"/>
  <c r="I159" i="2"/>
  <c r="H159" i="2"/>
  <c r="E159" i="2"/>
  <c r="I158" i="2"/>
  <c r="H158" i="2"/>
  <c r="E158" i="2"/>
  <c r="I157" i="2"/>
  <c r="H157" i="2"/>
  <c r="E157" i="2"/>
  <c r="I156" i="2"/>
  <c r="H156" i="2"/>
  <c r="E156" i="2"/>
  <c r="I155" i="2"/>
  <c r="H155" i="2"/>
  <c r="E155" i="2"/>
  <c r="I154" i="2"/>
  <c r="H154" i="2"/>
  <c r="E154" i="2"/>
  <c r="I153" i="2"/>
  <c r="H153" i="2"/>
  <c r="E153" i="2"/>
  <c r="I152" i="2"/>
  <c r="H152" i="2"/>
  <c r="E152" i="2"/>
  <c r="I151" i="2"/>
  <c r="H151" i="2"/>
  <c r="E151" i="2"/>
  <c r="I150" i="2"/>
  <c r="H150" i="2"/>
  <c r="E150" i="2"/>
  <c r="I149" i="2"/>
  <c r="H149" i="2"/>
  <c r="E149" i="2"/>
  <c r="I148" i="2"/>
  <c r="H148" i="2"/>
  <c r="E148" i="2"/>
  <c r="I147" i="2"/>
  <c r="H147" i="2"/>
  <c r="E147" i="2"/>
  <c r="I146" i="2"/>
  <c r="H146" i="2"/>
  <c r="E146" i="2"/>
  <c r="I145" i="2"/>
  <c r="H145" i="2"/>
  <c r="E145" i="2"/>
  <c r="I144" i="2"/>
  <c r="H144" i="2"/>
  <c r="E144" i="2"/>
  <c r="I143" i="2"/>
  <c r="H143" i="2"/>
  <c r="E143" i="2"/>
  <c r="I142" i="2"/>
  <c r="H142" i="2"/>
  <c r="E142" i="2"/>
  <c r="I141" i="2"/>
  <c r="H141" i="2"/>
  <c r="E141" i="2"/>
  <c r="I140" i="2"/>
  <c r="H140" i="2"/>
  <c r="E140" i="2"/>
  <c r="I139" i="2"/>
  <c r="H139" i="2"/>
  <c r="E139" i="2"/>
  <c r="I138" i="2"/>
  <c r="H138" i="2"/>
  <c r="E138" i="2"/>
  <c r="I137" i="2"/>
  <c r="H137" i="2"/>
  <c r="E137" i="2"/>
  <c r="I136" i="2"/>
  <c r="H136" i="2"/>
  <c r="E136" i="2"/>
  <c r="I135" i="2"/>
  <c r="H135" i="2"/>
  <c r="E135" i="2"/>
  <c r="I134" i="2"/>
  <c r="H134" i="2"/>
  <c r="E134" i="2"/>
  <c r="I133" i="2"/>
  <c r="H133" i="2"/>
  <c r="E133" i="2"/>
  <c r="I132" i="2"/>
  <c r="H132" i="2"/>
  <c r="E132" i="2"/>
  <c r="I131" i="2"/>
  <c r="H131" i="2"/>
  <c r="E131" i="2"/>
  <c r="I130" i="2"/>
  <c r="H130" i="2"/>
  <c r="E130" i="2"/>
  <c r="I129" i="2"/>
  <c r="H129" i="2"/>
  <c r="E129" i="2"/>
  <c r="I128" i="2"/>
  <c r="H128" i="2"/>
  <c r="E128" i="2"/>
  <c r="I127" i="2"/>
  <c r="H127" i="2"/>
  <c r="E127" i="2"/>
  <c r="I126" i="2"/>
  <c r="H126" i="2"/>
  <c r="E126" i="2"/>
  <c r="I125" i="2"/>
  <c r="H125" i="2"/>
  <c r="E125" i="2"/>
  <c r="I124" i="2"/>
  <c r="H124" i="2"/>
  <c r="E124" i="2"/>
  <c r="I123" i="2"/>
  <c r="H123" i="2"/>
  <c r="E123" i="2"/>
  <c r="I122" i="2"/>
  <c r="H122" i="2"/>
  <c r="E122" i="2"/>
  <c r="I121" i="2"/>
  <c r="H121" i="2"/>
  <c r="E121" i="2"/>
  <c r="I120" i="2"/>
  <c r="H120" i="2"/>
  <c r="E120" i="2"/>
  <c r="I119" i="2"/>
  <c r="H119" i="2"/>
  <c r="E119" i="2"/>
  <c r="I118" i="2"/>
  <c r="H118" i="2"/>
  <c r="E118" i="2"/>
  <c r="I117" i="2"/>
  <c r="H117" i="2"/>
  <c r="E117" i="2"/>
  <c r="I116" i="2"/>
  <c r="H116" i="2"/>
  <c r="E116" i="2"/>
  <c r="I115" i="2"/>
  <c r="H115" i="2"/>
  <c r="E115" i="2"/>
  <c r="I114" i="2"/>
  <c r="H114" i="2"/>
  <c r="E114" i="2"/>
  <c r="I113" i="2"/>
  <c r="H113" i="2"/>
  <c r="E113" i="2"/>
  <c r="I112" i="2"/>
  <c r="H112" i="2"/>
  <c r="E112" i="2"/>
  <c r="I111" i="2"/>
  <c r="H111" i="2"/>
  <c r="E111" i="2"/>
  <c r="I110" i="2"/>
  <c r="H110" i="2"/>
  <c r="E110" i="2"/>
  <c r="I109" i="2"/>
  <c r="H109" i="2"/>
  <c r="E109" i="2"/>
  <c r="I108" i="2"/>
  <c r="H108" i="2"/>
  <c r="E108" i="2"/>
  <c r="I107" i="2"/>
  <c r="H107" i="2"/>
  <c r="E107" i="2"/>
  <c r="I106" i="2"/>
  <c r="H106" i="2"/>
  <c r="E106" i="2"/>
  <c r="I105" i="2"/>
  <c r="H105" i="2"/>
  <c r="E105" i="2"/>
  <c r="I104" i="2"/>
  <c r="H104" i="2"/>
  <c r="E104" i="2"/>
  <c r="I103" i="2"/>
  <c r="H103" i="2"/>
  <c r="E103" i="2"/>
  <c r="I102" i="2"/>
  <c r="H102" i="2"/>
  <c r="E102" i="2"/>
  <c r="I101" i="2"/>
  <c r="H101" i="2"/>
  <c r="E101" i="2"/>
  <c r="I100" i="2"/>
  <c r="H100" i="2"/>
  <c r="E100" i="2"/>
  <c r="I99" i="2"/>
  <c r="H99" i="2"/>
  <c r="E99" i="2"/>
  <c r="I98" i="2"/>
  <c r="H98" i="2"/>
  <c r="E98" i="2"/>
  <c r="I97" i="2"/>
  <c r="H97" i="2"/>
  <c r="E97" i="2"/>
  <c r="I96" i="2"/>
  <c r="H96" i="2"/>
  <c r="E96" i="2"/>
  <c r="I95" i="2"/>
  <c r="H95" i="2"/>
  <c r="E95" i="2"/>
  <c r="I94" i="2"/>
  <c r="H94" i="2"/>
  <c r="E94" i="2"/>
  <c r="I93" i="2"/>
  <c r="H93" i="2"/>
  <c r="E93" i="2"/>
  <c r="I92" i="2"/>
  <c r="H92" i="2"/>
  <c r="E92" i="2"/>
  <c r="I91" i="2"/>
  <c r="H91" i="2"/>
  <c r="E91" i="2"/>
  <c r="I90" i="2"/>
  <c r="H90" i="2"/>
  <c r="E90" i="2"/>
  <c r="I89" i="2"/>
  <c r="H89" i="2"/>
  <c r="E89" i="2"/>
  <c r="I88" i="2"/>
  <c r="H88" i="2"/>
  <c r="E88" i="2"/>
  <c r="I87" i="2"/>
  <c r="H87" i="2"/>
  <c r="E87" i="2"/>
  <c r="I86" i="2"/>
  <c r="H86" i="2"/>
  <c r="E86" i="2"/>
  <c r="I85" i="2"/>
  <c r="H85" i="2"/>
  <c r="E85" i="2"/>
  <c r="I84" i="2"/>
  <c r="H84" i="2"/>
  <c r="E84" i="2"/>
  <c r="I83" i="2"/>
  <c r="H83" i="2"/>
  <c r="E83" i="2"/>
  <c r="I82" i="2"/>
  <c r="H82" i="2"/>
  <c r="E82" i="2"/>
  <c r="I81" i="2"/>
  <c r="H81" i="2"/>
  <c r="E81" i="2"/>
  <c r="I80" i="2"/>
  <c r="H80" i="2"/>
  <c r="E80" i="2"/>
  <c r="I79" i="2"/>
  <c r="H79" i="2"/>
  <c r="E79" i="2"/>
  <c r="I78" i="2"/>
  <c r="H78" i="2"/>
  <c r="E78" i="2"/>
  <c r="I77" i="2"/>
  <c r="H77" i="2"/>
  <c r="E77" i="2"/>
  <c r="I76" i="2"/>
  <c r="H76" i="2"/>
  <c r="E76" i="2"/>
  <c r="I75" i="2"/>
  <c r="H75" i="2"/>
  <c r="E75" i="2"/>
  <c r="I74" i="2"/>
  <c r="H74" i="2"/>
  <c r="E74" i="2"/>
  <c r="I73" i="2"/>
  <c r="H73" i="2"/>
  <c r="E73" i="2"/>
  <c r="I72" i="2"/>
  <c r="H72" i="2"/>
  <c r="E72" i="2"/>
  <c r="I71" i="2"/>
  <c r="H71" i="2"/>
  <c r="E71" i="2"/>
  <c r="I70" i="2"/>
  <c r="H70" i="2"/>
  <c r="E70" i="2"/>
  <c r="I69" i="2"/>
  <c r="H69" i="2"/>
  <c r="E69" i="2"/>
  <c r="I68" i="2"/>
  <c r="H68" i="2"/>
  <c r="E68" i="2"/>
  <c r="I67" i="2"/>
  <c r="H67" i="2"/>
  <c r="E67" i="2"/>
  <c r="I66" i="2"/>
  <c r="H66" i="2"/>
  <c r="E66" i="2"/>
  <c r="I65" i="2"/>
  <c r="H65" i="2"/>
  <c r="E65" i="2"/>
  <c r="I64" i="2"/>
  <c r="H64" i="2"/>
  <c r="E64" i="2"/>
  <c r="I63" i="2"/>
  <c r="H63" i="2"/>
  <c r="E63" i="2"/>
  <c r="I62" i="2"/>
  <c r="H62" i="2"/>
  <c r="E62" i="2"/>
  <c r="I61" i="2"/>
  <c r="H61" i="2"/>
  <c r="E61" i="2"/>
  <c r="I60" i="2"/>
  <c r="H60" i="2"/>
  <c r="E60" i="2"/>
  <c r="I59" i="2"/>
  <c r="H59" i="2"/>
  <c r="E59" i="2"/>
  <c r="I58" i="2"/>
  <c r="H58" i="2"/>
  <c r="E58" i="2"/>
  <c r="I57" i="2"/>
  <c r="H57" i="2"/>
  <c r="E57" i="2"/>
  <c r="I56" i="2"/>
  <c r="H56" i="2"/>
  <c r="E56" i="2"/>
  <c r="I55" i="2"/>
  <c r="H55" i="2"/>
  <c r="E55" i="2"/>
  <c r="I54" i="2"/>
  <c r="H54" i="2"/>
  <c r="E54" i="2"/>
  <c r="I53" i="2"/>
  <c r="H53" i="2"/>
  <c r="E53" i="2"/>
  <c r="I52" i="2"/>
  <c r="H52" i="2"/>
  <c r="E52" i="2"/>
  <c r="I51" i="2"/>
  <c r="H51" i="2"/>
  <c r="E51" i="2"/>
  <c r="I50" i="2"/>
  <c r="H50" i="2"/>
  <c r="E50" i="2"/>
  <c r="I49" i="2"/>
  <c r="H49" i="2"/>
  <c r="E49" i="2"/>
  <c r="I48" i="2"/>
  <c r="H48" i="2"/>
  <c r="E48" i="2"/>
  <c r="I47" i="2"/>
  <c r="H47" i="2"/>
  <c r="E47" i="2"/>
  <c r="I46" i="2"/>
  <c r="H46" i="2"/>
  <c r="E46" i="2"/>
  <c r="I45" i="2"/>
  <c r="H45" i="2"/>
  <c r="E45" i="2"/>
  <c r="I44" i="2"/>
  <c r="H44" i="2"/>
  <c r="E44" i="2"/>
  <c r="I43" i="2"/>
  <c r="H43" i="2"/>
  <c r="E43" i="2"/>
  <c r="I42" i="2"/>
  <c r="H42" i="2"/>
  <c r="E42" i="2"/>
  <c r="I41" i="2"/>
  <c r="H41" i="2"/>
  <c r="E41" i="2"/>
  <c r="I40" i="2"/>
  <c r="H40" i="2"/>
  <c r="E40" i="2"/>
  <c r="I39" i="2"/>
  <c r="H39" i="2"/>
  <c r="E39" i="2"/>
  <c r="I38" i="2"/>
  <c r="H38" i="2"/>
  <c r="E38" i="2"/>
  <c r="I37" i="2"/>
  <c r="H37" i="2"/>
  <c r="E37" i="2"/>
  <c r="I36" i="2"/>
  <c r="H36" i="2"/>
  <c r="E36" i="2"/>
  <c r="I35" i="2"/>
  <c r="H35" i="2"/>
  <c r="E35" i="2"/>
  <c r="I34" i="2"/>
  <c r="H34" i="2"/>
  <c r="E34" i="2"/>
  <c r="I33" i="2"/>
  <c r="H33" i="2"/>
  <c r="E33" i="2"/>
  <c r="I32" i="2"/>
  <c r="H32" i="2"/>
  <c r="E32" i="2"/>
  <c r="I31" i="2"/>
  <c r="H31" i="2"/>
  <c r="E31" i="2"/>
  <c r="I30" i="2"/>
  <c r="H30" i="2"/>
  <c r="E30" i="2"/>
  <c r="I29" i="2"/>
  <c r="H29" i="2"/>
  <c r="E29" i="2"/>
  <c r="I28" i="2"/>
  <c r="H28" i="2"/>
  <c r="E28" i="2"/>
  <c r="I27" i="2"/>
  <c r="H27" i="2"/>
  <c r="E27" i="2"/>
  <c r="I26" i="2"/>
  <c r="H26" i="2"/>
  <c r="E26" i="2"/>
  <c r="I25" i="2"/>
  <c r="H25" i="2"/>
  <c r="E25" i="2"/>
  <c r="I24" i="2"/>
  <c r="H24" i="2"/>
  <c r="E24" i="2"/>
  <c r="I23" i="2"/>
  <c r="H23" i="2"/>
  <c r="E23" i="2"/>
  <c r="I22" i="2"/>
  <c r="H22" i="2"/>
  <c r="E22" i="2"/>
  <c r="I21" i="2"/>
  <c r="H21" i="2"/>
  <c r="E21" i="2"/>
  <c r="I20" i="2"/>
  <c r="H20" i="2"/>
  <c r="E20" i="2"/>
  <c r="I19" i="2"/>
  <c r="H19" i="2"/>
  <c r="E19" i="2"/>
  <c r="I18" i="2"/>
  <c r="H18" i="2"/>
  <c r="E18" i="2"/>
  <c r="I17" i="2"/>
  <c r="H17" i="2"/>
  <c r="E17" i="2"/>
  <c r="I16" i="2"/>
  <c r="H16" i="2"/>
  <c r="E16" i="2"/>
  <c r="I15" i="2"/>
  <c r="H15" i="2"/>
  <c r="E15" i="2"/>
  <c r="I14" i="2"/>
  <c r="H14" i="2"/>
  <c r="E14" i="2"/>
  <c r="I13" i="2"/>
  <c r="H13" i="2"/>
  <c r="E13" i="2"/>
  <c r="I12" i="2"/>
  <c r="H12" i="2"/>
  <c r="E12" i="2"/>
  <c r="I11" i="2"/>
  <c r="H11" i="2"/>
  <c r="E11" i="2"/>
  <c r="O10" i="2"/>
  <c r="N10" i="2"/>
  <c r="M10" i="2"/>
  <c r="I10" i="2"/>
  <c r="H10" i="2"/>
  <c r="E10" i="2"/>
  <c r="N9" i="2"/>
  <c r="M9" i="2"/>
  <c r="O9" i="2" s="1"/>
  <c r="I9" i="2"/>
  <c r="H9" i="2"/>
  <c r="E9" i="2"/>
  <c r="O8" i="2"/>
  <c r="N8" i="2"/>
  <c r="M8" i="2"/>
  <c r="I8" i="2"/>
  <c r="H8" i="2"/>
  <c r="E8" i="2"/>
  <c r="N7" i="2"/>
  <c r="M7" i="2"/>
  <c r="O7" i="2" s="1"/>
  <c r="I7" i="2"/>
  <c r="H7" i="2"/>
  <c r="E7" i="2"/>
  <c r="O6" i="2"/>
  <c r="N6" i="2"/>
  <c r="M6" i="2"/>
  <c r="I6" i="2"/>
  <c r="H6" i="2"/>
  <c r="E6" i="2"/>
  <c r="N5" i="2"/>
  <c r="M5" i="2"/>
  <c r="O5" i="2" s="1"/>
  <c r="I5" i="2"/>
  <c r="H5" i="2"/>
  <c r="E5" i="2"/>
  <c r="O4" i="2"/>
  <c r="N4" i="2"/>
  <c r="M4" i="2"/>
  <c r="I4" i="2"/>
  <c r="H4" i="2"/>
  <c r="E4" i="2"/>
  <c r="N3" i="2"/>
  <c r="N11" i="2" s="1"/>
  <c r="M3" i="2"/>
  <c r="M11" i="2" s="1"/>
  <c r="I3" i="2"/>
  <c r="H3" i="2"/>
  <c r="E3" i="2"/>
  <c r="O2" i="2"/>
  <c r="N2" i="2"/>
  <c r="M2" i="2"/>
  <c r="I2" i="2"/>
  <c r="H2" i="2"/>
  <c r="E2" i="2"/>
  <c r="D353" i="2" s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L10" i="1"/>
  <c r="E10" i="1"/>
  <c r="L9" i="1"/>
  <c r="K9" i="1"/>
  <c r="M9" i="1" s="1"/>
  <c r="E9" i="1"/>
  <c r="L8" i="1"/>
  <c r="K8" i="1"/>
  <c r="E8" i="1"/>
  <c r="L7" i="1"/>
  <c r="K7" i="1"/>
  <c r="E7" i="1"/>
  <c r="L6" i="1"/>
  <c r="K6" i="1"/>
  <c r="M6" i="1" s="1"/>
  <c r="E6" i="1"/>
  <c r="L5" i="1"/>
  <c r="K5" i="1"/>
  <c r="E5" i="1"/>
  <c r="L4" i="1"/>
  <c r="K4" i="1"/>
  <c r="E4" i="1"/>
  <c r="L3" i="1"/>
  <c r="K3" i="1"/>
  <c r="E3" i="1"/>
  <c r="L2" i="1"/>
  <c r="K2" i="1"/>
  <c r="E2" i="1"/>
  <c r="H324" i="13" l="1"/>
  <c r="I128" i="12"/>
  <c r="J128" i="12" s="1"/>
  <c r="I151" i="12"/>
  <c r="J151" i="12" s="1"/>
  <c r="I133" i="12"/>
  <c r="J133" i="12" s="1"/>
  <c r="K117" i="13"/>
  <c r="K4" i="13"/>
  <c r="K31" i="13"/>
  <c r="G119" i="13"/>
  <c r="H119" i="13" s="1"/>
  <c r="K119" i="13" s="1"/>
  <c r="G123" i="13"/>
  <c r="G127" i="13"/>
  <c r="H127" i="13" s="1"/>
  <c r="K127" i="13" s="1"/>
  <c r="G131" i="13"/>
  <c r="H131" i="13" s="1"/>
  <c r="K131" i="13" s="1"/>
  <c r="G135" i="13"/>
  <c r="H135" i="13" s="1"/>
  <c r="K135" i="13" s="1"/>
  <c r="G139" i="13"/>
  <c r="G257" i="13"/>
  <c r="H257" i="13" s="1"/>
  <c r="K257" i="13" s="1"/>
  <c r="G261" i="13"/>
  <c r="G265" i="13"/>
  <c r="G269" i="13"/>
  <c r="G273" i="13"/>
  <c r="H273" i="13" s="1"/>
  <c r="K273" i="13" s="1"/>
  <c r="G277" i="13"/>
  <c r="H277" i="13" s="1"/>
  <c r="K277" i="13" s="1"/>
  <c r="G281" i="13"/>
  <c r="H281" i="13" s="1"/>
  <c r="K281" i="13" s="1"/>
  <c r="G285" i="13"/>
  <c r="G289" i="13"/>
  <c r="H289" i="13" s="1"/>
  <c r="K289" i="13" s="1"/>
  <c r="G293" i="13"/>
  <c r="G297" i="13"/>
  <c r="G143" i="13"/>
  <c r="G147" i="13"/>
  <c r="G151" i="13"/>
  <c r="H151" i="13" s="1"/>
  <c r="K151" i="13" s="1"/>
  <c r="G155" i="13"/>
  <c r="H155" i="13" s="1"/>
  <c r="K155" i="13" s="1"/>
  <c r="G159" i="13"/>
  <c r="G301" i="13"/>
  <c r="H301" i="13" s="1"/>
  <c r="K301" i="13" s="1"/>
  <c r="G305" i="13"/>
  <c r="G120" i="13"/>
  <c r="H120" i="13" s="1"/>
  <c r="K120" i="13" s="1"/>
  <c r="G124" i="13"/>
  <c r="G128" i="13"/>
  <c r="G132" i="13"/>
  <c r="H132" i="13" s="1"/>
  <c r="K132" i="13" s="1"/>
  <c r="G136" i="13"/>
  <c r="H136" i="13" s="1"/>
  <c r="K136" i="13" s="1"/>
  <c r="G163" i="13"/>
  <c r="G254" i="13"/>
  <c r="H254" i="13" s="1"/>
  <c r="K254" i="13" s="1"/>
  <c r="G258" i="13"/>
  <c r="G262" i="13"/>
  <c r="G266" i="13"/>
  <c r="G270" i="13"/>
  <c r="G274" i="13"/>
  <c r="H274" i="13" s="1"/>
  <c r="K274" i="13" s="1"/>
  <c r="G278" i="13"/>
  <c r="H278" i="13" s="1"/>
  <c r="K278" i="13" s="1"/>
  <c r="G282" i="13"/>
  <c r="G286" i="13"/>
  <c r="H286" i="13" s="1"/>
  <c r="K286" i="13" s="1"/>
  <c r="G290" i="13"/>
  <c r="G294" i="13"/>
  <c r="G298" i="13"/>
  <c r="I305" i="13"/>
  <c r="J305" i="13" s="1"/>
  <c r="G309" i="13"/>
  <c r="H309" i="13" s="1"/>
  <c r="G140" i="13"/>
  <c r="H140" i="13" s="1"/>
  <c r="K140" i="13" s="1"/>
  <c r="G144" i="13"/>
  <c r="G148" i="13"/>
  <c r="H148" i="13" s="1"/>
  <c r="K148" i="13" s="1"/>
  <c r="G152" i="13"/>
  <c r="G156" i="13"/>
  <c r="G160" i="13"/>
  <c r="G302" i="13"/>
  <c r="G306" i="13"/>
  <c r="H306" i="13" s="1"/>
  <c r="I309" i="13"/>
  <c r="J309" i="13" s="1"/>
  <c r="G121" i="13"/>
  <c r="G125" i="13"/>
  <c r="H125" i="13" s="1"/>
  <c r="K125" i="13" s="1"/>
  <c r="G129" i="13"/>
  <c r="G133" i="13"/>
  <c r="H133" i="13" s="1"/>
  <c r="K133" i="13" s="1"/>
  <c r="G137" i="13"/>
  <c r="G164" i="13"/>
  <c r="G255" i="13"/>
  <c r="H255" i="13" s="1"/>
  <c r="K255" i="13" s="1"/>
  <c r="G259" i="13"/>
  <c r="H259" i="13" s="1"/>
  <c r="K259" i="13" s="1"/>
  <c r="G263" i="13"/>
  <c r="G267" i="13"/>
  <c r="H267" i="13" s="1"/>
  <c r="K267" i="13" s="1"/>
  <c r="G271" i="13"/>
  <c r="G275" i="13"/>
  <c r="G279" i="13"/>
  <c r="G283" i="13"/>
  <c r="G287" i="13"/>
  <c r="H287" i="13" s="1"/>
  <c r="K287" i="13" s="1"/>
  <c r="G291" i="13"/>
  <c r="G295" i="13"/>
  <c r="I306" i="13"/>
  <c r="J306" i="13" s="1"/>
  <c r="G141" i="13"/>
  <c r="H141" i="13" s="1"/>
  <c r="K141" i="13" s="1"/>
  <c r="G145" i="13"/>
  <c r="G149" i="13"/>
  <c r="G153" i="13"/>
  <c r="H153" i="13" s="1"/>
  <c r="K153" i="13" s="1"/>
  <c r="G157" i="13"/>
  <c r="H157" i="13" s="1"/>
  <c r="K157" i="13" s="1"/>
  <c r="G161" i="13"/>
  <c r="H161" i="13" s="1"/>
  <c r="K161" i="13" s="1"/>
  <c r="G299" i="13"/>
  <c r="G303" i="13"/>
  <c r="H303" i="13" s="1"/>
  <c r="G307" i="13"/>
  <c r="G118" i="13"/>
  <c r="H118" i="13" s="1"/>
  <c r="K118" i="13" s="1"/>
  <c r="G122" i="13"/>
  <c r="G126" i="13"/>
  <c r="G130" i="13"/>
  <c r="H130" i="13" s="1"/>
  <c r="K130" i="13" s="1"/>
  <c r="G134" i="13"/>
  <c r="H134" i="13" s="1"/>
  <c r="K134" i="13" s="1"/>
  <c r="G138" i="13"/>
  <c r="G256" i="13"/>
  <c r="G260" i="13"/>
  <c r="G264" i="13"/>
  <c r="H264" i="13" s="1"/>
  <c r="K264" i="13" s="1"/>
  <c r="G268" i="13"/>
  <c r="G272" i="13"/>
  <c r="H272" i="13" s="1"/>
  <c r="K272" i="13" s="1"/>
  <c r="G276" i="13"/>
  <c r="H276" i="13" s="1"/>
  <c r="K276" i="13" s="1"/>
  <c r="G280" i="13"/>
  <c r="H280" i="13" s="1"/>
  <c r="K280" i="13" s="1"/>
  <c r="G284" i="13"/>
  <c r="G288" i="13"/>
  <c r="H288" i="13" s="1"/>
  <c r="K288" i="13" s="1"/>
  <c r="G292" i="13"/>
  <c r="I303" i="13"/>
  <c r="J303" i="13" s="1"/>
  <c r="K55" i="13"/>
  <c r="K12" i="13"/>
  <c r="H29" i="13"/>
  <c r="K29" i="13" s="1"/>
  <c r="K71" i="13"/>
  <c r="K340" i="13"/>
  <c r="K39" i="13"/>
  <c r="K188" i="13"/>
  <c r="K324" i="13"/>
  <c r="K63" i="13"/>
  <c r="K103" i="13"/>
  <c r="K9" i="13"/>
  <c r="K28" i="13"/>
  <c r="K47" i="13"/>
  <c r="K87" i="13"/>
  <c r="K15" i="13"/>
  <c r="K111" i="13"/>
  <c r="K79" i="13"/>
  <c r="K95" i="13"/>
  <c r="H159" i="13"/>
  <c r="K159" i="13" s="1"/>
  <c r="H143" i="13"/>
  <c r="K143" i="13" s="1"/>
  <c r="H162" i="13"/>
  <c r="K162" i="13" s="1"/>
  <c r="H154" i="13"/>
  <c r="K154" i="13" s="1"/>
  <c r="H146" i="13"/>
  <c r="K146" i="13" s="1"/>
  <c r="H138" i="13"/>
  <c r="K138" i="13" s="1"/>
  <c r="H122" i="13"/>
  <c r="K122" i="13" s="1"/>
  <c r="H165" i="13"/>
  <c r="K165" i="13" s="1"/>
  <c r="H149" i="13"/>
  <c r="K149" i="13" s="1"/>
  <c r="H160" i="13"/>
  <c r="K160" i="13" s="1"/>
  <c r="H152" i="13"/>
  <c r="K152" i="13" s="1"/>
  <c r="H144" i="13"/>
  <c r="K144" i="13" s="1"/>
  <c r="H128" i="13"/>
  <c r="K128" i="13" s="1"/>
  <c r="H163" i="13"/>
  <c r="K163" i="13" s="1"/>
  <c r="H147" i="13"/>
  <c r="K147" i="13" s="1"/>
  <c r="H139" i="13"/>
  <c r="K139" i="13" s="1"/>
  <c r="H123" i="13"/>
  <c r="K123" i="13" s="1"/>
  <c r="H158" i="13"/>
  <c r="K158" i="13" s="1"/>
  <c r="H150" i="13"/>
  <c r="K150" i="13" s="1"/>
  <c r="H142" i="13"/>
  <c r="K142" i="13" s="1"/>
  <c r="H126" i="13"/>
  <c r="K126" i="13" s="1"/>
  <c r="H145" i="13"/>
  <c r="K145" i="13" s="1"/>
  <c r="H137" i="13"/>
  <c r="K137" i="13" s="1"/>
  <c r="H129" i="13"/>
  <c r="K129" i="13" s="1"/>
  <c r="H121" i="13"/>
  <c r="K121" i="13" s="1"/>
  <c r="H199" i="13"/>
  <c r="K199" i="13" s="1"/>
  <c r="H191" i="13"/>
  <c r="K191" i="13" s="1"/>
  <c r="H183" i="13"/>
  <c r="K183" i="13" s="1"/>
  <c r="H175" i="13"/>
  <c r="K175" i="13" s="1"/>
  <c r="H167" i="13"/>
  <c r="K167" i="13" s="1"/>
  <c r="H194" i="13"/>
  <c r="K194" i="13" s="1"/>
  <c r="H186" i="13"/>
  <c r="K186" i="13" s="1"/>
  <c r="H178" i="13"/>
  <c r="K178" i="13" s="1"/>
  <c r="H170" i="13"/>
  <c r="K170" i="13" s="1"/>
  <c r="H197" i="13"/>
  <c r="K197" i="13" s="1"/>
  <c r="H189" i="13"/>
  <c r="K189" i="13" s="1"/>
  <c r="H181" i="13"/>
  <c r="K181" i="13" s="1"/>
  <c r="H173" i="13"/>
  <c r="K173" i="13" s="1"/>
  <c r="H200" i="13"/>
  <c r="K200" i="13" s="1"/>
  <c r="H192" i="13"/>
  <c r="K192" i="13" s="1"/>
  <c r="H184" i="13"/>
  <c r="K184" i="13" s="1"/>
  <c r="H176" i="13"/>
  <c r="K176" i="13" s="1"/>
  <c r="H168" i="13"/>
  <c r="K168" i="13" s="1"/>
  <c r="H195" i="13"/>
  <c r="K195" i="13" s="1"/>
  <c r="H187" i="13"/>
  <c r="K187" i="13" s="1"/>
  <c r="H179" i="13"/>
  <c r="K179" i="13" s="1"/>
  <c r="H171" i="13"/>
  <c r="K171" i="13" s="1"/>
  <c r="H198" i="13"/>
  <c r="K198" i="13" s="1"/>
  <c r="H190" i="13"/>
  <c r="K190" i="13" s="1"/>
  <c r="H182" i="13"/>
  <c r="K182" i="13" s="1"/>
  <c r="H174" i="13"/>
  <c r="K174" i="13" s="1"/>
  <c r="H166" i="13"/>
  <c r="K166" i="13" s="1"/>
  <c r="H193" i="13"/>
  <c r="K193" i="13" s="1"/>
  <c r="H185" i="13"/>
  <c r="K185" i="13" s="1"/>
  <c r="H177" i="13"/>
  <c r="K177" i="13" s="1"/>
  <c r="H169" i="13"/>
  <c r="K169" i="13" s="1"/>
  <c r="H239" i="13"/>
  <c r="K239" i="13" s="1"/>
  <c r="H231" i="13"/>
  <c r="K231" i="13" s="1"/>
  <c r="H223" i="13"/>
  <c r="K223" i="13" s="1"/>
  <c r="H215" i="13"/>
  <c r="K215" i="13" s="1"/>
  <c r="H207" i="13"/>
  <c r="K207" i="13" s="1"/>
  <c r="H242" i="13"/>
  <c r="K242" i="13" s="1"/>
  <c r="H234" i="13"/>
  <c r="K234" i="13" s="1"/>
  <c r="H226" i="13"/>
  <c r="K226" i="13" s="1"/>
  <c r="H218" i="13"/>
  <c r="K218" i="13" s="1"/>
  <c r="H210" i="13"/>
  <c r="K210" i="13" s="1"/>
  <c r="H202" i="13"/>
  <c r="K202" i="13" s="1"/>
  <c r="H237" i="13"/>
  <c r="K237" i="13" s="1"/>
  <c r="H229" i="13"/>
  <c r="K229" i="13" s="1"/>
  <c r="H221" i="13"/>
  <c r="K221" i="13" s="1"/>
  <c r="H213" i="13"/>
  <c r="K213" i="13" s="1"/>
  <c r="H205" i="13"/>
  <c r="K205" i="13" s="1"/>
  <c r="H240" i="13"/>
  <c r="K240" i="13" s="1"/>
  <c r="H232" i="13"/>
  <c r="K232" i="13" s="1"/>
  <c r="H224" i="13"/>
  <c r="K224" i="13" s="1"/>
  <c r="H216" i="13"/>
  <c r="K216" i="13" s="1"/>
  <c r="H208" i="13"/>
  <c r="K208" i="13" s="1"/>
  <c r="H235" i="13"/>
  <c r="K235" i="13" s="1"/>
  <c r="H227" i="13"/>
  <c r="K227" i="13" s="1"/>
  <c r="H219" i="13"/>
  <c r="K219" i="13" s="1"/>
  <c r="H211" i="13"/>
  <c r="K211" i="13" s="1"/>
  <c r="H203" i="13"/>
  <c r="K203" i="13" s="1"/>
  <c r="H238" i="13"/>
  <c r="K238" i="13" s="1"/>
  <c r="H230" i="13"/>
  <c r="K230" i="13" s="1"/>
  <c r="H222" i="13"/>
  <c r="K222" i="13" s="1"/>
  <c r="H214" i="13"/>
  <c r="K214" i="13" s="1"/>
  <c r="H206" i="13"/>
  <c r="K206" i="13" s="1"/>
  <c r="H241" i="13"/>
  <c r="K241" i="13" s="1"/>
  <c r="H233" i="13"/>
  <c r="K233" i="13" s="1"/>
  <c r="H225" i="13"/>
  <c r="K225" i="13" s="1"/>
  <c r="H217" i="13"/>
  <c r="K217" i="13" s="1"/>
  <c r="H209" i="13"/>
  <c r="K209" i="13" s="1"/>
  <c r="H201" i="13"/>
  <c r="K201" i="13" s="1"/>
  <c r="H247" i="13"/>
  <c r="K247" i="13" s="1"/>
  <c r="H250" i="13"/>
  <c r="K250" i="13" s="1"/>
  <c r="H253" i="13"/>
  <c r="K253" i="13" s="1"/>
  <c r="H245" i="13"/>
  <c r="K245" i="13" s="1"/>
  <c r="H248" i="13"/>
  <c r="K248" i="13" s="1"/>
  <c r="H251" i="13"/>
  <c r="K251" i="13" s="1"/>
  <c r="H243" i="13"/>
  <c r="K243" i="13" s="1"/>
  <c r="H246" i="13"/>
  <c r="H249" i="13"/>
  <c r="K249" i="13" s="1"/>
  <c r="H295" i="13"/>
  <c r="K295" i="13" s="1"/>
  <c r="H279" i="13"/>
  <c r="K279" i="13" s="1"/>
  <c r="H271" i="13"/>
  <c r="K271" i="13" s="1"/>
  <c r="H263" i="13"/>
  <c r="K263" i="13" s="1"/>
  <c r="H298" i="13"/>
  <c r="K298" i="13" s="1"/>
  <c r="H290" i="13"/>
  <c r="K290" i="13" s="1"/>
  <c r="H282" i="13"/>
  <c r="K282" i="13" s="1"/>
  <c r="H266" i="13"/>
  <c r="K266" i="13" s="1"/>
  <c r="H258" i="13"/>
  <c r="K258" i="13" s="1"/>
  <c r="H293" i="13"/>
  <c r="K293" i="13" s="1"/>
  <c r="H285" i="13"/>
  <c r="K285" i="13" s="1"/>
  <c r="H269" i="13"/>
  <c r="K269" i="13" s="1"/>
  <c r="H261" i="13"/>
  <c r="K261" i="13" s="1"/>
  <c r="H304" i="13"/>
  <c r="K304" i="13" s="1"/>
  <c r="H296" i="13"/>
  <c r="K296" i="13" s="1"/>
  <c r="H256" i="13"/>
  <c r="K256" i="13" s="1"/>
  <c r="H307" i="13"/>
  <c r="K307" i="13" s="1"/>
  <c r="H299" i="13"/>
  <c r="K299" i="13" s="1"/>
  <c r="H291" i="13"/>
  <c r="K291" i="13" s="1"/>
  <c r="H283" i="13"/>
  <c r="K283" i="13" s="1"/>
  <c r="H275" i="13"/>
  <c r="K275" i="13" s="1"/>
  <c r="H302" i="13"/>
  <c r="K302" i="13" s="1"/>
  <c r="H294" i="13"/>
  <c r="K294" i="13" s="1"/>
  <c r="H270" i="13"/>
  <c r="K270" i="13" s="1"/>
  <c r="H262" i="13"/>
  <c r="K262" i="13" s="1"/>
  <c r="H305" i="13"/>
  <c r="H297" i="13"/>
  <c r="K297" i="13" s="1"/>
  <c r="H265" i="13"/>
  <c r="K265" i="13" s="1"/>
  <c r="H327" i="13"/>
  <c r="K327" i="13" s="1"/>
  <c r="H319" i="13"/>
  <c r="K319" i="13" s="1"/>
  <c r="H311" i="13"/>
  <c r="K311" i="13" s="1"/>
  <c r="H322" i="13"/>
  <c r="K322" i="13" s="1"/>
  <c r="H314" i="13"/>
  <c r="K314" i="13" s="1"/>
  <c r="H325" i="13"/>
  <c r="K325" i="13" s="1"/>
  <c r="H317" i="13"/>
  <c r="K317" i="13" s="1"/>
  <c r="H328" i="13"/>
  <c r="K328" i="13" s="1"/>
  <c r="H320" i="13"/>
  <c r="K320" i="13" s="1"/>
  <c r="H312" i="13"/>
  <c r="K312" i="13" s="1"/>
  <c r="H323" i="13"/>
  <c r="K323" i="13" s="1"/>
  <c r="H315" i="13"/>
  <c r="K315" i="13" s="1"/>
  <c r="H326" i="13"/>
  <c r="K326" i="13" s="1"/>
  <c r="H318" i="13"/>
  <c r="K318" i="13" s="1"/>
  <c r="H310" i="13"/>
  <c r="K310" i="13" s="1"/>
  <c r="H329" i="13"/>
  <c r="K329" i="13" s="1"/>
  <c r="H321" i="13"/>
  <c r="K321" i="13" s="1"/>
  <c r="H313" i="13"/>
  <c r="K313" i="13" s="1"/>
  <c r="H34" i="13"/>
  <c r="K34" i="13" s="1"/>
  <c r="H42" i="13"/>
  <c r="K42" i="13" s="1"/>
  <c r="H50" i="13"/>
  <c r="K50" i="13" s="1"/>
  <c r="H58" i="13"/>
  <c r="K58" i="13" s="1"/>
  <c r="H66" i="13"/>
  <c r="K66" i="13" s="1"/>
  <c r="H74" i="13"/>
  <c r="K74" i="13" s="1"/>
  <c r="H82" i="13"/>
  <c r="K82" i="13" s="1"/>
  <c r="H90" i="13"/>
  <c r="K90" i="13" s="1"/>
  <c r="H98" i="13"/>
  <c r="K98" i="13" s="1"/>
  <c r="H106" i="13"/>
  <c r="K106" i="13" s="1"/>
  <c r="H114" i="13"/>
  <c r="K114" i="13" s="1"/>
  <c r="H204" i="13"/>
  <c r="K204" i="13" s="1"/>
  <c r="H236" i="13"/>
  <c r="K236" i="13" s="1"/>
  <c r="H300" i="13"/>
  <c r="K300" i="13" s="1"/>
  <c r="H6" i="13"/>
  <c r="K6" i="13" s="1"/>
  <c r="H17" i="13"/>
  <c r="K17" i="13" s="1"/>
  <c r="H18" i="13"/>
  <c r="K18" i="13" s="1"/>
  <c r="H19" i="13"/>
  <c r="K19" i="13" s="1"/>
  <c r="H20" i="13"/>
  <c r="K20" i="13" s="1"/>
  <c r="H21" i="13"/>
  <c r="K21" i="13" s="1"/>
  <c r="H22" i="13"/>
  <c r="K22" i="13" s="1"/>
  <c r="H23" i="13"/>
  <c r="K23" i="13" s="1"/>
  <c r="H24" i="13"/>
  <c r="K24" i="13" s="1"/>
  <c r="H25" i="13"/>
  <c r="K25" i="13" s="1"/>
  <c r="H36" i="13"/>
  <c r="K36" i="13" s="1"/>
  <c r="H44" i="13"/>
  <c r="K44" i="13" s="1"/>
  <c r="H52" i="13"/>
  <c r="K52" i="13" s="1"/>
  <c r="H60" i="13"/>
  <c r="K60" i="13" s="1"/>
  <c r="H68" i="13"/>
  <c r="K68" i="13" s="1"/>
  <c r="H76" i="13"/>
  <c r="K76" i="13" s="1"/>
  <c r="H84" i="13"/>
  <c r="K84" i="13" s="1"/>
  <c r="H92" i="13"/>
  <c r="K92" i="13" s="1"/>
  <c r="H100" i="13"/>
  <c r="K100" i="13" s="1"/>
  <c r="H108" i="13"/>
  <c r="K108" i="13" s="1"/>
  <c r="H116" i="13"/>
  <c r="K116" i="13" s="1"/>
  <c r="H252" i="13"/>
  <c r="K252" i="13" s="1"/>
  <c r="H3" i="13"/>
  <c r="K3" i="13" s="1"/>
  <c r="H11" i="13"/>
  <c r="K11" i="13" s="1"/>
  <c r="H14" i="13"/>
  <c r="K14" i="13" s="1"/>
  <c r="H26" i="13"/>
  <c r="K26" i="13" s="1"/>
  <c r="H27" i="13"/>
  <c r="K27" i="13" s="1"/>
  <c r="H33" i="13"/>
  <c r="K33" i="13" s="1"/>
  <c r="H41" i="13"/>
  <c r="K41" i="13" s="1"/>
  <c r="H49" i="13"/>
  <c r="K49" i="13" s="1"/>
  <c r="H57" i="13"/>
  <c r="K57" i="13" s="1"/>
  <c r="H65" i="13"/>
  <c r="K65" i="13" s="1"/>
  <c r="H73" i="13"/>
  <c r="K73" i="13" s="1"/>
  <c r="H81" i="13"/>
  <c r="K81" i="13" s="1"/>
  <c r="H89" i="13"/>
  <c r="K89" i="13" s="1"/>
  <c r="H97" i="13"/>
  <c r="K97" i="13" s="1"/>
  <c r="H105" i="13"/>
  <c r="K105" i="13" s="1"/>
  <c r="H113" i="13"/>
  <c r="K113" i="13" s="1"/>
  <c r="H164" i="13"/>
  <c r="K164" i="13" s="1"/>
  <c r="H212" i="13"/>
  <c r="K212" i="13" s="1"/>
  <c r="H228" i="13"/>
  <c r="K228" i="13" s="1"/>
  <c r="H292" i="13"/>
  <c r="K292" i="13" s="1"/>
  <c r="H8" i="13"/>
  <c r="K8" i="13" s="1"/>
  <c r="H30" i="13"/>
  <c r="K30" i="13" s="1"/>
  <c r="H38" i="13"/>
  <c r="K38" i="13" s="1"/>
  <c r="H46" i="13"/>
  <c r="K46" i="13" s="1"/>
  <c r="H54" i="13"/>
  <c r="K54" i="13" s="1"/>
  <c r="H62" i="13"/>
  <c r="K62" i="13" s="1"/>
  <c r="H70" i="13"/>
  <c r="K70" i="13" s="1"/>
  <c r="H78" i="13"/>
  <c r="K78" i="13" s="1"/>
  <c r="H86" i="13"/>
  <c r="K86" i="13" s="1"/>
  <c r="H94" i="13"/>
  <c r="K94" i="13" s="1"/>
  <c r="H102" i="13"/>
  <c r="K102" i="13" s="1"/>
  <c r="H110" i="13"/>
  <c r="K110" i="13" s="1"/>
  <c r="H180" i="13"/>
  <c r="K180" i="13" s="1"/>
  <c r="H196" i="13"/>
  <c r="K196" i="13" s="1"/>
  <c r="H268" i="13"/>
  <c r="K268" i="13" s="1"/>
  <c r="H316" i="13"/>
  <c r="K316" i="13" s="1"/>
  <c r="H5" i="13"/>
  <c r="K5" i="13" s="1"/>
  <c r="H16" i="13"/>
  <c r="K16" i="13" s="1"/>
  <c r="H35" i="13"/>
  <c r="K35" i="13" s="1"/>
  <c r="H43" i="13"/>
  <c r="K43" i="13" s="1"/>
  <c r="H51" i="13"/>
  <c r="K51" i="13" s="1"/>
  <c r="H59" i="13"/>
  <c r="K59" i="13" s="1"/>
  <c r="H67" i="13"/>
  <c r="K67" i="13" s="1"/>
  <c r="H75" i="13"/>
  <c r="K75" i="13" s="1"/>
  <c r="H83" i="13"/>
  <c r="K83" i="13" s="1"/>
  <c r="H91" i="13"/>
  <c r="K91" i="13" s="1"/>
  <c r="H99" i="13"/>
  <c r="K99" i="13" s="1"/>
  <c r="H107" i="13"/>
  <c r="K107" i="13" s="1"/>
  <c r="H115" i="13"/>
  <c r="K115" i="13" s="1"/>
  <c r="H244" i="13"/>
  <c r="K244" i="13" s="1"/>
  <c r="H343" i="13"/>
  <c r="K343" i="13" s="1"/>
  <c r="H335" i="13"/>
  <c r="K335" i="13" s="1"/>
  <c r="H338" i="13"/>
  <c r="K338" i="13" s="1"/>
  <c r="H330" i="13"/>
  <c r="K330" i="13" s="1"/>
  <c r="H341" i="13"/>
  <c r="K341" i="13" s="1"/>
  <c r="H333" i="13"/>
  <c r="K333" i="13" s="1"/>
  <c r="H344" i="13"/>
  <c r="K344" i="13" s="1"/>
  <c r="H336" i="13"/>
  <c r="K336" i="13" s="1"/>
  <c r="H339" i="13"/>
  <c r="K339" i="13" s="1"/>
  <c r="H331" i="13"/>
  <c r="K331" i="13" s="1"/>
  <c r="H342" i="13"/>
  <c r="K342" i="13" s="1"/>
  <c r="H334" i="13"/>
  <c r="K334" i="13" s="1"/>
  <c r="H337" i="13"/>
  <c r="K337" i="13" s="1"/>
  <c r="K2" i="13"/>
  <c r="H10" i="13"/>
  <c r="K10" i="13" s="1"/>
  <c r="H13" i="13"/>
  <c r="K13" i="13" s="1"/>
  <c r="H32" i="13"/>
  <c r="K32" i="13" s="1"/>
  <c r="H40" i="13"/>
  <c r="K40" i="13" s="1"/>
  <c r="H48" i="13"/>
  <c r="K48" i="13" s="1"/>
  <c r="H56" i="13"/>
  <c r="K56" i="13" s="1"/>
  <c r="H64" i="13"/>
  <c r="K64" i="13" s="1"/>
  <c r="H72" i="13"/>
  <c r="K72" i="13" s="1"/>
  <c r="H80" i="13"/>
  <c r="K80" i="13" s="1"/>
  <c r="H88" i="13"/>
  <c r="K88" i="13" s="1"/>
  <c r="H96" i="13"/>
  <c r="K96" i="13" s="1"/>
  <c r="H104" i="13"/>
  <c r="K104" i="13" s="1"/>
  <c r="H112" i="13"/>
  <c r="K112" i="13" s="1"/>
  <c r="H124" i="13"/>
  <c r="K124" i="13" s="1"/>
  <c r="H156" i="13"/>
  <c r="K156" i="13" s="1"/>
  <c r="H284" i="13"/>
  <c r="K284" i="13" s="1"/>
  <c r="H308" i="13"/>
  <c r="K308" i="13" s="1"/>
  <c r="H332" i="13"/>
  <c r="K332" i="13" s="1"/>
  <c r="H7" i="13"/>
  <c r="K7" i="13" s="1"/>
  <c r="H37" i="13"/>
  <c r="K37" i="13" s="1"/>
  <c r="H45" i="13"/>
  <c r="K45" i="13" s="1"/>
  <c r="H53" i="13"/>
  <c r="K53" i="13" s="1"/>
  <c r="H61" i="13"/>
  <c r="K61" i="13" s="1"/>
  <c r="H69" i="13"/>
  <c r="K69" i="13" s="1"/>
  <c r="H77" i="13"/>
  <c r="K77" i="13" s="1"/>
  <c r="H85" i="13"/>
  <c r="K85" i="13" s="1"/>
  <c r="H93" i="13"/>
  <c r="K93" i="13" s="1"/>
  <c r="H101" i="13"/>
  <c r="K101" i="13" s="1"/>
  <c r="H109" i="13"/>
  <c r="K109" i="13" s="1"/>
  <c r="H172" i="13"/>
  <c r="K172" i="13" s="1"/>
  <c r="H220" i="13"/>
  <c r="K220" i="13" s="1"/>
  <c r="H260" i="13"/>
  <c r="K260" i="13" s="1"/>
  <c r="I141" i="12"/>
  <c r="J141" i="12" s="1"/>
  <c r="I120" i="12"/>
  <c r="J120" i="12" s="1"/>
  <c r="I134" i="12"/>
  <c r="J134" i="12" s="1"/>
  <c r="I143" i="12"/>
  <c r="J143" i="12" s="1"/>
  <c r="I152" i="12"/>
  <c r="J152" i="12" s="1"/>
  <c r="I174" i="12"/>
  <c r="J174" i="12" s="1"/>
  <c r="I183" i="12"/>
  <c r="J183" i="12" s="1"/>
  <c r="I192" i="12"/>
  <c r="J192" i="12" s="1"/>
  <c r="I247" i="12"/>
  <c r="J247" i="12" s="1"/>
  <c r="I331" i="12"/>
  <c r="J331" i="12" s="1"/>
  <c r="I340" i="12"/>
  <c r="J340" i="12" s="1"/>
  <c r="I5" i="12"/>
  <c r="J5" i="12" s="1"/>
  <c r="I145" i="12"/>
  <c r="J145" i="12" s="1"/>
  <c r="I185" i="12"/>
  <c r="J185" i="12" s="1"/>
  <c r="I249" i="12"/>
  <c r="J249" i="12" s="1"/>
  <c r="I156" i="12"/>
  <c r="J156" i="12" s="1"/>
  <c r="I139" i="12"/>
  <c r="J139" i="12" s="1"/>
  <c r="I157" i="12"/>
  <c r="J157" i="12" s="1"/>
  <c r="I149" i="12"/>
  <c r="J149" i="12" s="1"/>
  <c r="I126" i="12"/>
  <c r="J126" i="12" s="1"/>
  <c r="I135" i="12"/>
  <c r="J135" i="12" s="1"/>
  <c r="I144" i="12"/>
  <c r="J144" i="12" s="1"/>
  <c r="I166" i="12"/>
  <c r="J166" i="12" s="1"/>
  <c r="I175" i="12"/>
  <c r="J175" i="12" s="1"/>
  <c r="I184" i="12"/>
  <c r="J184" i="12" s="1"/>
  <c r="I198" i="12"/>
  <c r="J198" i="12" s="1"/>
  <c r="I248" i="12"/>
  <c r="J248" i="12" s="1"/>
  <c r="I332" i="12"/>
  <c r="J332" i="12" s="1"/>
  <c r="I13" i="12"/>
  <c r="J13" i="12" s="1"/>
  <c r="I121" i="12"/>
  <c r="J121" i="12" s="1"/>
  <c r="I153" i="12"/>
  <c r="J153" i="12" s="1"/>
  <c r="I193" i="12"/>
  <c r="J193" i="12" s="1"/>
  <c r="I337" i="12"/>
  <c r="J337" i="12" s="1"/>
  <c r="I137" i="12"/>
  <c r="J137" i="12" s="1"/>
  <c r="I124" i="12"/>
  <c r="J124" i="12" s="1"/>
  <c r="I138" i="12"/>
  <c r="J138" i="12" s="1"/>
  <c r="I160" i="12"/>
  <c r="J160" i="12" s="1"/>
  <c r="I130" i="12"/>
  <c r="J130" i="12" s="1"/>
  <c r="I148" i="12"/>
  <c r="J148" i="12" s="1"/>
  <c r="I161" i="12"/>
  <c r="J161" i="12" s="1"/>
  <c r="I122" i="12"/>
  <c r="J122" i="12" s="1"/>
  <c r="I131" i="12"/>
  <c r="J131" i="12" s="1"/>
  <c r="I140" i="12"/>
  <c r="J140" i="12" s="1"/>
  <c r="I154" i="12"/>
  <c r="J154" i="12" s="1"/>
  <c r="I158" i="12"/>
  <c r="J158" i="12" s="1"/>
  <c r="I162" i="12"/>
  <c r="J162" i="12" s="1"/>
  <c r="I171" i="12"/>
  <c r="J171" i="12" s="1"/>
  <c r="I180" i="12"/>
  <c r="J180" i="12" s="1"/>
  <c r="I194" i="12"/>
  <c r="J194" i="12" s="1"/>
  <c r="I244" i="12"/>
  <c r="J244" i="12" s="1"/>
  <c r="I342" i="12"/>
  <c r="J342" i="12" s="1"/>
  <c r="I17" i="12"/>
  <c r="J17" i="12" s="1"/>
  <c r="I125" i="12"/>
  <c r="J125" i="12" s="1"/>
  <c r="I165" i="12"/>
  <c r="J165" i="12" s="1"/>
  <c r="I197" i="12"/>
  <c r="J197" i="12" s="1"/>
  <c r="I341" i="12"/>
  <c r="J341" i="12" s="1"/>
  <c r="I147" i="12"/>
  <c r="J147" i="12" s="1"/>
  <c r="I164" i="12"/>
  <c r="J164" i="12" s="1"/>
  <c r="I129" i="12"/>
  <c r="J129" i="12" s="1"/>
  <c r="I169" i="12"/>
  <c r="J169" i="12" s="1"/>
  <c r="I118" i="12"/>
  <c r="J118" i="12" s="1"/>
  <c r="I127" i="12"/>
  <c r="J127" i="12" s="1"/>
  <c r="I136" i="12"/>
  <c r="J136" i="12" s="1"/>
  <c r="I150" i="12"/>
  <c r="J150" i="12" s="1"/>
  <c r="I123" i="12"/>
  <c r="J123" i="12" s="1"/>
  <c r="I132" i="12"/>
  <c r="J132" i="12" s="1"/>
  <c r="I146" i="12"/>
  <c r="J146" i="12" s="1"/>
  <c r="I155" i="12"/>
  <c r="J155" i="12" s="1"/>
  <c r="I159" i="12"/>
  <c r="J159" i="12" s="1"/>
  <c r="I163" i="12"/>
  <c r="J163" i="12" s="1"/>
  <c r="I172" i="12"/>
  <c r="J172" i="12" s="1"/>
  <c r="I186" i="12"/>
  <c r="J186" i="12" s="1"/>
  <c r="I195" i="12"/>
  <c r="J195" i="12" s="1"/>
  <c r="I334" i="12"/>
  <c r="J334" i="12" s="1"/>
  <c r="I25" i="12"/>
  <c r="J25" i="12" s="1"/>
  <c r="E346" i="1"/>
  <c r="M7" i="1"/>
  <c r="M10" i="1"/>
  <c r="M4" i="1"/>
  <c r="L11" i="1"/>
  <c r="M5" i="1"/>
  <c r="M2" i="1"/>
  <c r="M8" i="1"/>
  <c r="M3" i="1"/>
  <c r="D353" i="1"/>
  <c r="O11" i="2"/>
  <c r="D354" i="1"/>
  <c r="F353" i="1" s="1"/>
  <c r="K11" i="1"/>
  <c r="M11" i="1" s="1"/>
  <c r="D354" i="2"/>
  <c r="F354" i="2" s="1"/>
  <c r="O3" i="2"/>
  <c r="T11" i="13" l="1"/>
  <c r="K309" i="13"/>
  <c r="K303" i="13"/>
  <c r="K305" i="13"/>
  <c r="K306" i="13"/>
  <c r="K246" i="13"/>
  <c r="F354" i="1"/>
  <c r="F353" i="2"/>
  <c r="G154" i="12" l="1"/>
  <c r="H154" i="12" s="1"/>
  <c r="K154" i="12" s="1"/>
  <c r="G155" i="12"/>
  <c r="H155" i="12" s="1"/>
  <c r="K155" i="12" s="1"/>
  <c r="G152" i="12"/>
  <c r="H152" i="12" s="1"/>
  <c r="K152" i="12" s="1"/>
  <c r="G342" i="12"/>
  <c r="H342" i="12" s="1"/>
  <c r="K342" i="12" s="1"/>
  <c r="G175" i="12"/>
  <c r="H175" i="12" s="1"/>
  <c r="K175" i="12" s="1"/>
  <c r="G244" i="12"/>
  <c r="H244" i="12" s="1"/>
  <c r="K244" i="12" s="1"/>
  <c r="G185" i="12"/>
  <c r="H185" i="12" s="1"/>
  <c r="K185" i="12" s="1"/>
  <c r="H153" i="12"/>
  <c r="K153" i="12" s="1"/>
  <c r="G153" i="12"/>
  <c r="G246" i="12"/>
  <c r="H246" i="12" s="1"/>
  <c r="K246" i="12" s="1"/>
  <c r="G157" i="12"/>
  <c r="H157" i="12" s="1"/>
  <c r="K157" i="12" s="1"/>
  <c r="G120" i="12"/>
  <c r="H120" i="12" s="1"/>
  <c r="K120" i="12" s="1"/>
  <c r="G143" i="12"/>
  <c r="H143" i="12" s="1"/>
  <c r="K143" i="12" s="1"/>
  <c r="G195" i="12"/>
  <c r="H195" i="12" s="1"/>
  <c r="K195" i="12" s="1"/>
  <c r="G124" i="12"/>
  <c r="H124" i="12" s="1"/>
  <c r="K124" i="12" s="1"/>
  <c r="G193" i="12"/>
  <c r="H193" i="12" s="1"/>
  <c r="K193" i="12" s="1"/>
  <c r="G131" i="12"/>
  <c r="H131" i="12" s="1"/>
  <c r="K131" i="12" s="1"/>
  <c r="G332" i="12"/>
  <c r="H332" i="12" s="1"/>
  <c r="K332" i="12" s="1"/>
  <c r="G249" i="12"/>
  <c r="H249" i="12" s="1"/>
  <c r="K249" i="12" s="1"/>
  <c r="G334" i="12"/>
  <c r="H334" i="12" s="1"/>
  <c r="K334" i="12" s="1"/>
  <c r="G136" i="12"/>
  <c r="H136" i="12" s="1"/>
  <c r="K136" i="12" s="1"/>
  <c r="H169" i="12"/>
  <c r="K169" i="12" s="1"/>
  <c r="G169" i="12"/>
  <c r="G147" i="12"/>
  <c r="H147" i="12" s="1"/>
  <c r="K147" i="12" s="1"/>
  <c r="G139" i="12"/>
  <c r="H139" i="12" s="1"/>
  <c r="K139" i="12" s="1"/>
  <c r="G340" i="12"/>
  <c r="H340" i="12" s="1"/>
  <c r="K340" i="12" s="1"/>
  <c r="G180" i="12"/>
  <c r="H180" i="12" s="1"/>
  <c r="K180" i="12" s="1"/>
  <c r="G137" i="12"/>
  <c r="H137" i="12" s="1"/>
  <c r="K137" i="12" s="1"/>
  <c r="G17" i="12"/>
  <c r="H17" i="12" s="1"/>
  <c r="K17" i="12" s="1"/>
  <c r="G163" i="12"/>
  <c r="H163" i="12" s="1"/>
  <c r="K163" i="12" s="1"/>
  <c r="G123" i="12"/>
  <c r="H123" i="12" s="1"/>
  <c r="K123" i="12" s="1"/>
  <c r="G138" i="12"/>
  <c r="H138" i="12" s="1"/>
  <c r="K138" i="12" s="1"/>
  <c r="G126" i="12"/>
  <c r="H126" i="12" s="1"/>
  <c r="K126" i="12" s="1"/>
  <c r="G337" i="12"/>
  <c r="H337" i="12" s="1"/>
  <c r="K337" i="12" s="1"/>
  <c r="G160" i="12"/>
  <c r="H160" i="12" s="1"/>
  <c r="K160" i="12" s="1"/>
  <c r="G150" i="12"/>
  <c r="H150" i="12" s="1"/>
  <c r="K150" i="12" s="1"/>
  <c r="G159" i="12"/>
  <c r="H159" i="12" s="1"/>
  <c r="K159" i="12" s="1"/>
  <c r="G174" i="12"/>
  <c r="H174" i="12" s="1"/>
  <c r="K174" i="12" s="1"/>
  <c r="H162" i="12"/>
  <c r="K162" i="12" s="1"/>
  <c r="G162" i="12"/>
  <c r="G121" i="12"/>
  <c r="H121" i="12" s="1"/>
  <c r="K121" i="12" s="1"/>
  <c r="G248" i="12"/>
  <c r="H248" i="12" s="1"/>
  <c r="K248" i="12" s="1"/>
  <c r="G145" i="12"/>
  <c r="H145" i="12" s="1"/>
  <c r="K145" i="12" s="1"/>
  <c r="G146" i="12"/>
  <c r="H146" i="12" s="1"/>
  <c r="K146" i="12" s="1"/>
  <c r="G197" i="12"/>
  <c r="H197" i="12" s="1"/>
  <c r="K197" i="12" s="1"/>
  <c r="G247" i="12"/>
  <c r="H247" i="12" s="1"/>
  <c r="K247" i="12" s="1"/>
  <c r="H135" i="12"/>
  <c r="K135" i="12" s="1"/>
  <c r="G135" i="12"/>
  <c r="G186" i="12"/>
  <c r="H186" i="12" s="1"/>
  <c r="K186" i="12" s="1"/>
  <c r="H5" i="12"/>
  <c r="K5" i="12" s="1"/>
  <c r="G5" i="12"/>
  <c r="G127" i="12"/>
  <c r="H127" i="12" s="1"/>
  <c r="K127" i="12" s="1"/>
  <c r="G158" i="12"/>
  <c r="H158" i="12" s="1"/>
  <c r="K158" i="12" s="1"/>
  <c r="G133" i="12"/>
  <c r="H133" i="12" s="1"/>
  <c r="K133" i="12" s="1"/>
  <c r="G171" i="12"/>
  <c r="H171" i="12" s="1"/>
  <c r="K171" i="12" s="1"/>
  <c r="G341" i="12"/>
  <c r="H341" i="12" s="1"/>
  <c r="K341" i="12" s="1"/>
  <c r="G149" i="12"/>
  <c r="H149" i="12" s="1"/>
  <c r="K149" i="12" s="1"/>
  <c r="G184" i="12"/>
  <c r="H184" i="12" s="1"/>
  <c r="K184" i="12" s="1"/>
  <c r="G140" i="12"/>
  <c r="H140" i="12" s="1"/>
  <c r="K140" i="12" s="1"/>
  <c r="G125" i="12"/>
  <c r="H125" i="12" s="1"/>
  <c r="K125" i="12" s="1"/>
  <c r="G129" i="12"/>
  <c r="H129" i="12" s="1"/>
  <c r="K129" i="12" s="1"/>
  <c r="G192" i="12"/>
  <c r="H192" i="12" s="1"/>
  <c r="K192" i="12" s="1"/>
  <c r="G13" i="12"/>
  <c r="H13" i="12" s="1"/>
  <c r="K13" i="12" s="1"/>
  <c r="G165" i="12"/>
  <c r="H165" i="12" s="1"/>
  <c r="K165" i="12" s="1"/>
  <c r="G130" i="12"/>
  <c r="H130" i="12" s="1"/>
  <c r="K130" i="12" s="1"/>
  <c r="H151" i="12"/>
  <c r="K151" i="12" s="1"/>
  <c r="G151" i="12"/>
  <c r="G172" i="12"/>
  <c r="H172" i="12" s="1"/>
  <c r="K172" i="12" s="1"/>
  <c r="G122" i="12"/>
  <c r="H122" i="12" s="1"/>
  <c r="K122" i="12" s="1"/>
  <c r="G194" i="12"/>
  <c r="H194" i="12" s="1"/>
  <c r="K194" i="12" s="1"/>
  <c r="G331" i="12"/>
  <c r="H331" i="12" s="1"/>
  <c r="K331" i="12" s="1"/>
  <c r="G148" i="12"/>
  <c r="H148" i="12" s="1"/>
  <c r="K148" i="12" s="1"/>
  <c r="G134" i="12"/>
  <c r="H134" i="12" s="1"/>
  <c r="K134" i="12" s="1"/>
  <c r="H161" i="12"/>
  <c r="K161" i="12" s="1"/>
  <c r="G161" i="12"/>
  <c r="G164" i="12"/>
  <c r="H164" i="12" s="1"/>
  <c r="K164" i="12" s="1"/>
  <c r="G156" i="12"/>
  <c r="H156" i="12" s="1"/>
  <c r="K156" i="12" s="1"/>
  <c r="G144" i="12"/>
  <c r="H144" i="12" s="1"/>
  <c r="K144" i="12" s="1"/>
  <c r="G183" i="12"/>
  <c r="H183" i="12" s="1"/>
  <c r="K183" i="12" s="1"/>
  <c r="G25" i="12"/>
  <c r="H25" i="12" s="1"/>
  <c r="K25" i="12" s="1"/>
  <c r="G212" i="12"/>
  <c r="H212" i="12" s="1"/>
  <c r="K212" i="12" s="1"/>
  <c r="G292" i="12"/>
  <c r="H292" i="12" s="1"/>
  <c r="K292" i="12" s="1"/>
  <c r="G228" i="12"/>
  <c r="H228" i="12" s="1"/>
  <c r="K228" i="12" s="1"/>
  <c r="H81" i="12"/>
  <c r="K81" i="12" s="1"/>
  <c r="G81" i="12"/>
  <c r="G92" i="12"/>
  <c r="H92" i="12" s="1"/>
  <c r="K92" i="12" s="1"/>
  <c r="G50" i="12"/>
  <c r="H50" i="12" s="1"/>
  <c r="K50" i="12" s="1"/>
  <c r="G314" i="12"/>
  <c r="H314" i="12" s="1"/>
  <c r="K314" i="12" s="1"/>
  <c r="G286" i="12"/>
  <c r="H286" i="12" s="1"/>
  <c r="K286" i="12" s="1"/>
  <c r="G304" i="12"/>
  <c r="H304" i="12" s="1"/>
  <c r="K304" i="12" s="1"/>
  <c r="H263" i="12"/>
  <c r="K263" i="12" s="1"/>
  <c r="G263" i="12"/>
  <c r="G209" i="12"/>
  <c r="H209" i="12" s="1"/>
  <c r="K209" i="12" s="1"/>
  <c r="G237" i="12"/>
  <c r="H237" i="12" s="1"/>
  <c r="K237" i="12" s="1"/>
  <c r="G189" i="12"/>
  <c r="H189" i="12" s="1"/>
  <c r="K189" i="12" s="1"/>
  <c r="G88" i="12"/>
  <c r="H88" i="12" s="1"/>
  <c r="K88" i="12" s="1"/>
  <c r="G101" i="12"/>
  <c r="H101" i="12" s="1"/>
  <c r="K101" i="12" s="1"/>
  <c r="G75" i="12"/>
  <c r="H75" i="12" s="1"/>
  <c r="K75" i="12" s="1"/>
  <c r="G308" i="12"/>
  <c r="H308" i="12" s="1"/>
  <c r="K308" i="12" s="1"/>
  <c r="G73" i="12"/>
  <c r="H73" i="12" s="1"/>
  <c r="K73" i="12" s="1"/>
  <c r="G284" i="12"/>
  <c r="H284" i="12" s="1"/>
  <c r="K284" i="12" s="1"/>
  <c r="G84" i="12"/>
  <c r="H84" i="12" s="1"/>
  <c r="K84" i="12" s="1"/>
  <c r="H106" i="12"/>
  <c r="K106" i="12" s="1"/>
  <c r="G106" i="12"/>
  <c r="G42" i="12"/>
  <c r="H42" i="12" s="1"/>
  <c r="K42" i="12" s="1"/>
  <c r="G315" i="12"/>
  <c r="H315" i="12" s="1"/>
  <c r="K315" i="12" s="1"/>
  <c r="G322" i="12"/>
  <c r="H322" i="12" s="1"/>
  <c r="K322" i="12" s="1"/>
  <c r="G289" i="12"/>
  <c r="H289" i="12" s="1"/>
  <c r="K289" i="12" s="1"/>
  <c r="G294" i="12"/>
  <c r="H294" i="12" s="1"/>
  <c r="K294" i="12" s="1"/>
  <c r="G307" i="12"/>
  <c r="H307" i="12" s="1"/>
  <c r="K307" i="12" s="1"/>
  <c r="H261" i="12"/>
  <c r="K261" i="12" s="1"/>
  <c r="G261" i="12"/>
  <c r="G266" i="12"/>
  <c r="H266" i="12" s="1"/>
  <c r="K266" i="12" s="1"/>
  <c r="G271" i="12"/>
  <c r="H271" i="12" s="1"/>
  <c r="K271" i="12" s="1"/>
  <c r="G251" i="12"/>
  <c r="H251" i="12" s="1"/>
  <c r="K251" i="12" s="1"/>
  <c r="G217" i="12"/>
  <c r="H217" i="12" s="1"/>
  <c r="K217" i="12" s="1"/>
  <c r="G238" i="12"/>
  <c r="H238" i="12" s="1"/>
  <c r="K238" i="12" s="1"/>
  <c r="G224" i="12"/>
  <c r="H224" i="12" s="1"/>
  <c r="K224" i="12" s="1"/>
  <c r="G202" i="12"/>
  <c r="H202" i="12" s="1"/>
  <c r="K202" i="12" s="1"/>
  <c r="G223" i="12"/>
  <c r="H223" i="12" s="1"/>
  <c r="K223" i="12" s="1"/>
  <c r="H168" i="12"/>
  <c r="K168" i="12" s="1"/>
  <c r="G168" i="12"/>
  <c r="G191" i="12"/>
  <c r="H191" i="12" s="1"/>
  <c r="K191" i="12" s="1"/>
  <c r="G80" i="12"/>
  <c r="H80" i="12" s="1"/>
  <c r="K80" i="12" s="1"/>
  <c r="G22" i="12"/>
  <c r="H22" i="12" s="1"/>
  <c r="K22" i="12" s="1"/>
  <c r="G93" i="12"/>
  <c r="H93" i="12" s="1"/>
  <c r="K93" i="12" s="1"/>
  <c r="G276" i="12"/>
  <c r="H276" i="12" s="1"/>
  <c r="K276" i="12" s="1"/>
  <c r="G70" i="12"/>
  <c r="H70" i="12" s="1"/>
  <c r="K70" i="12" s="1"/>
  <c r="H69" i="12"/>
  <c r="K69" i="12" s="1"/>
  <c r="G69" i="12"/>
  <c r="G55" i="12"/>
  <c r="H55" i="12" s="1"/>
  <c r="K55" i="12" s="1"/>
  <c r="G54" i="12"/>
  <c r="H54" i="12" s="1"/>
  <c r="K54" i="12" s="1"/>
  <c r="G65" i="12"/>
  <c r="H65" i="12" s="1"/>
  <c r="K65" i="12" s="1"/>
  <c r="G338" i="12"/>
  <c r="H338" i="12" s="1"/>
  <c r="K338" i="12" s="1"/>
  <c r="G311" i="12"/>
  <c r="H311" i="12" s="1"/>
  <c r="K311" i="12" s="1"/>
  <c r="G256" i="12"/>
  <c r="H256" i="12" s="1"/>
  <c r="K256" i="12" s="1"/>
  <c r="G232" i="12"/>
  <c r="H232" i="12" s="1"/>
  <c r="K232" i="12" s="1"/>
  <c r="G231" i="12"/>
  <c r="H231" i="12" s="1"/>
  <c r="K231" i="12" s="1"/>
  <c r="H170" i="12"/>
  <c r="K170" i="12" s="1"/>
  <c r="G170" i="12"/>
  <c r="G72" i="12"/>
  <c r="H72" i="12" s="1"/>
  <c r="K72" i="12" s="1"/>
  <c r="G16" i="12"/>
  <c r="H16" i="12" s="1"/>
  <c r="K16" i="12" s="1"/>
  <c r="K71" i="12"/>
  <c r="G71" i="12"/>
  <c r="H71" i="12" s="1"/>
  <c r="G61" i="12"/>
  <c r="H61" i="12" s="1"/>
  <c r="K61" i="12" s="1"/>
  <c r="G30" i="12"/>
  <c r="H30" i="12" s="1"/>
  <c r="K30" i="12" s="1"/>
  <c r="G47" i="12"/>
  <c r="H47" i="12" s="1"/>
  <c r="K47" i="12" s="1"/>
  <c r="H45" i="12"/>
  <c r="K45" i="12" s="1"/>
  <c r="G45" i="12"/>
  <c r="H59" i="12"/>
  <c r="K59" i="12" s="1"/>
  <c r="G59" i="12"/>
  <c r="G102" i="12"/>
  <c r="H102" i="12" s="1"/>
  <c r="K102" i="12" s="1"/>
  <c r="G188" i="12"/>
  <c r="H188" i="12" s="1"/>
  <c r="K188" i="12" s="1"/>
  <c r="K57" i="12"/>
  <c r="G57" i="12"/>
  <c r="H57" i="12" s="1"/>
  <c r="G68" i="12"/>
  <c r="H68" i="12" s="1"/>
  <c r="K68" i="12" s="1"/>
  <c r="G111" i="12"/>
  <c r="H111" i="12" s="1"/>
  <c r="K111" i="12" s="1"/>
  <c r="G335" i="12"/>
  <c r="H335" i="12" s="1"/>
  <c r="K335" i="12" s="1"/>
  <c r="G90" i="12"/>
  <c r="H90" i="12" s="1"/>
  <c r="K90" i="12" s="1"/>
  <c r="H313" i="12"/>
  <c r="K313" i="12" s="1"/>
  <c r="G313" i="12"/>
  <c r="G312" i="12"/>
  <c r="H312" i="12" s="1"/>
  <c r="K312" i="12" s="1"/>
  <c r="G319" i="12"/>
  <c r="H319" i="12" s="1"/>
  <c r="K319" i="12" s="1"/>
  <c r="G305" i="12"/>
  <c r="H305" i="12" s="1"/>
  <c r="K305" i="12" s="1"/>
  <c r="G259" i="12"/>
  <c r="H259" i="12" s="1"/>
  <c r="K259" i="12" s="1"/>
  <c r="G264" i="12"/>
  <c r="H264" i="12" s="1"/>
  <c r="K264" i="12" s="1"/>
  <c r="G277" i="12"/>
  <c r="H277" i="12" s="1"/>
  <c r="K277" i="12" s="1"/>
  <c r="H282" i="12"/>
  <c r="K282" i="12" s="1"/>
  <c r="G282" i="12"/>
  <c r="G287" i="12"/>
  <c r="H287" i="12" s="1"/>
  <c r="K287" i="12" s="1"/>
  <c r="G245" i="12"/>
  <c r="H245" i="12" s="1"/>
  <c r="K245" i="12" s="1"/>
  <c r="G233" i="12"/>
  <c r="H233" i="12" s="1"/>
  <c r="K233" i="12" s="1"/>
  <c r="G211" i="12"/>
  <c r="H211" i="12" s="1"/>
  <c r="K211" i="12" s="1"/>
  <c r="G240" i="12"/>
  <c r="H240" i="12" s="1"/>
  <c r="K240" i="12" s="1"/>
  <c r="G218" i="12"/>
  <c r="H218" i="12" s="1"/>
  <c r="K218" i="12" s="1"/>
  <c r="G239" i="12"/>
  <c r="H239" i="12" s="1"/>
  <c r="K239" i="12" s="1"/>
  <c r="H190" i="12"/>
  <c r="K190" i="12" s="1"/>
  <c r="G190" i="12"/>
  <c r="G178" i="12"/>
  <c r="H178" i="12" s="1"/>
  <c r="K178" i="12" s="1"/>
  <c r="G142" i="12"/>
  <c r="H142" i="12" s="1"/>
  <c r="K142" i="12" s="1"/>
  <c r="G64" i="12"/>
  <c r="H64" i="12" s="1"/>
  <c r="K64" i="12" s="1"/>
  <c r="G23" i="12"/>
  <c r="H23" i="12" s="1"/>
  <c r="K23" i="12" s="1"/>
  <c r="G196" i="12"/>
  <c r="H196" i="12" s="1"/>
  <c r="K196" i="12" s="1"/>
  <c r="G62" i="12"/>
  <c r="H62" i="12" s="1"/>
  <c r="K62" i="12" s="1"/>
  <c r="G39" i="12"/>
  <c r="H39" i="12" s="1"/>
  <c r="K39" i="12" s="1"/>
  <c r="H38" i="12"/>
  <c r="K38" i="12" s="1"/>
  <c r="G38" i="12"/>
  <c r="G18" i="12"/>
  <c r="H18" i="12" s="1"/>
  <c r="K18" i="12" s="1"/>
  <c r="G28" i="12"/>
  <c r="H28" i="12" s="1"/>
  <c r="K28" i="12" s="1"/>
  <c r="G252" i="12"/>
  <c r="H252" i="12" s="1"/>
  <c r="K252" i="12" s="1"/>
  <c r="G98" i="12"/>
  <c r="H98" i="12" s="1"/>
  <c r="K98" i="12" s="1"/>
  <c r="G297" i="12"/>
  <c r="H297" i="12" s="1"/>
  <c r="K297" i="12" s="1"/>
  <c r="G269" i="12"/>
  <c r="H269" i="12" s="1"/>
  <c r="K269" i="12" s="1"/>
  <c r="G279" i="12"/>
  <c r="H279" i="12" s="1"/>
  <c r="K279" i="12" s="1"/>
  <c r="H225" i="12"/>
  <c r="K225" i="12" s="1"/>
  <c r="G225" i="12"/>
  <c r="H210" i="12"/>
  <c r="K210" i="12" s="1"/>
  <c r="G210" i="12"/>
  <c r="G176" i="12"/>
  <c r="H176" i="12" s="1"/>
  <c r="K176" i="12" s="1"/>
  <c r="G199" i="12"/>
  <c r="H199" i="12" s="1"/>
  <c r="K199" i="12" s="1"/>
  <c r="G132" i="12"/>
  <c r="H132" i="12" s="1"/>
  <c r="K132" i="12" s="1"/>
  <c r="G51" i="12"/>
  <c r="H51" i="12" s="1"/>
  <c r="K51" i="12" s="1"/>
  <c r="G94" i="12"/>
  <c r="H94" i="12" s="1"/>
  <c r="K94" i="12" s="1"/>
  <c r="G113" i="12"/>
  <c r="H113" i="12" s="1"/>
  <c r="K113" i="12" s="1"/>
  <c r="H49" i="12"/>
  <c r="K49" i="12" s="1"/>
  <c r="G49" i="12"/>
  <c r="G60" i="12"/>
  <c r="H60" i="12" s="1"/>
  <c r="K60" i="12" s="1"/>
  <c r="G103" i="12"/>
  <c r="H103" i="12" s="1"/>
  <c r="K103" i="12" s="1"/>
  <c r="G339" i="12"/>
  <c r="H339" i="12" s="1"/>
  <c r="K339" i="12" s="1"/>
  <c r="G343" i="12"/>
  <c r="H343" i="12" s="1"/>
  <c r="K343" i="12" s="1"/>
  <c r="G82" i="12"/>
  <c r="H82" i="12" s="1"/>
  <c r="K82" i="12" s="1"/>
  <c r="G321" i="12"/>
  <c r="H321" i="12" s="1"/>
  <c r="K321" i="12" s="1"/>
  <c r="G320" i="12"/>
  <c r="H320" i="12" s="1"/>
  <c r="K320" i="12" s="1"/>
  <c r="G327" i="12"/>
  <c r="H327" i="12" s="1"/>
  <c r="K327" i="12" s="1"/>
  <c r="G267" i="12"/>
  <c r="H267" i="12" s="1"/>
  <c r="K267" i="12" s="1"/>
  <c r="G272" i="12"/>
  <c r="H272" i="12" s="1"/>
  <c r="K272" i="12" s="1"/>
  <c r="G285" i="12"/>
  <c r="H285" i="12" s="1"/>
  <c r="K285" i="12" s="1"/>
  <c r="G290" i="12"/>
  <c r="H290" i="12" s="1"/>
  <c r="K290" i="12" s="1"/>
  <c r="G295" i="12"/>
  <c r="H295" i="12" s="1"/>
  <c r="K295" i="12" s="1"/>
  <c r="G253" i="12"/>
  <c r="H253" i="12" s="1"/>
  <c r="K253" i="12" s="1"/>
  <c r="G241" i="12"/>
  <c r="H241" i="12" s="1"/>
  <c r="K241" i="12" s="1"/>
  <c r="G219" i="12"/>
  <c r="H219" i="12" s="1"/>
  <c r="K219" i="12" s="1"/>
  <c r="H205" i="12"/>
  <c r="K205" i="12" s="1"/>
  <c r="G205" i="12"/>
  <c r="G226" i="12"/>
  <c r="H226" i="12" s="1"/>
  <c r="K226" i="12" s="1"/>
  <c r="G198" i="12"/>
  <c r="H198" i="12" s="1"/>
  <c r="K198" i="12" s="1"/>
  <c r="G141" i="12"/>
  <c r="H141" i="12" s="1"/>
  <c r="K141" i="12" s="1"/>
  <c r="G117" i="12"/>
  <c r="H117" i="12" s="1"/>
  <c r="K117" i="12" s="1"/>
  <c r="G56" i="12"/>
  <c r="H56" i="12" s="1"/>
  <c r="K56" i="12" s="1"/>
  <c r="G46" i="12"/>
  <c r="H46" i="12" s="1"/>
  <c r="K46" i="12" s="1"/>
  <c r="G53" i="12"/>
  <c r="H53" i="12" s="1"/>
  <c r="K53" i="12" s="1"/>
  <c r="H20" i="12"/>
  <c r="K20" i="12" s="1"/>
  <c r="G20" i="12"/>
  <c r="G29" i="12"/>
  <c r="H29" i="12" s="1"/>
  <c r="K29" i="12" s="1"/>
  <c r="G15" i="12"/>
  <c r="H15" i="12" s="1"/>
  <c r="K15" i="12" s="1"/>
  <c r="G14" i="12"/>
  <c r="H14" i="12" s="1"/>
  <c r="K14" i="12" s="1"/>
  <c r="G204" i="12"/>
  <c r="H204" i="12" s="1"/>
  <c r="K204" i="12" s="1"/>
  <c r="H34" i="12"/>
  <c r="K34" i="12" s="1"/>
  <c r="G34" i="12"/>
  <c r="G302" i="12"/>
  <c r="H302" i="12" s="1"/>
  <c r="K302" i="12" s="1"/>
  <c r="G274" i="12"/>
  <c r="H274" i="12" s="1"/>
  <c r="K274" i="12" s="1"/>
  <c r="K203" i="12"/>
  <c r="H203" i="12"/>
  <c r="G203" i="12"/>
  <c r="G182" i="12"/>
  <c r="H182" i="12" s="1"/>
  <c r="K182" i="12" s="1"/>
  <c r="G107" i="12"/>
  <c r="H107" i="12" s="1"/>
  <c r="K107" i="12" s="1"/>
  <c r="G43" i="12"/>
  <c r="H43" i="12" s="1"/>
  <c r="K43" i="12" s="1"/>
  <c r="G86" i="12"/>
  <c r="H86" i="12" s="1"/>
  <c r="K86" i="12" s="1"/>
  <c r="G105" i="12"/>
  <c r="H105" i="12" s="1"/>
  <c r="K105" i="12" s="1"/>
  <c r="G41" i="12"/>
  <c r="H41" i="12" s="1"/>
  <c r="K41" i="12" s="1"/>
  <c r="G116" i="12"/>
  <c r="H116" i="12" s="1"/>
  <c r="K116" i="12" s="1"/>
  <c r="H52" i="12"/>
  <c r="K52" i="12" s="1"/>
  <c r="G52" i="12"/>
  <c r="G95" i="12"/>
  <c r="H95" i="12" s="1"/>
  <c r="K95" i="12" s="1"/>
  <c r="G336" i="12"/>
  <c r="H336" i="12" s="1"/>
  <c r="K336" i="12" s="1"/>
  <c r="G300" i="12"/>
  <c r="H300" i="12" s="1"/>
  <c r="K300" i="12" s="1"/>
  <c r="G74" i="12"/>
  <c r="H74" i="12" s="1"/>
  <c r="K74" i="12" s="1"/>
  <c r="G329" i="12"/>
  <c r="H329" i="12" s="1"/>
  <c r="K329" i="12" s="1"/>
  <c r="G328" i="12"/>
  <c r="H328" i="12" s="1"/>
  <c r="K328" i="12" s="1"/>
  <c r="G257" i="12"/>
  <c r="H257" i="12" s="1"/>
  <c r="K257" i="12" s="1"/>
  <c r="G262" i="12"/>
  <c r="H262" i="12" s="1"/>
  <c r="K262" i="12" s="1"/>
  <c r="H275" i="12"/>
  <c r="K275" i="12" s="1"/>
  <c r="G275" i="12"/>
  <c r="G280" i="12"/>
  <c r="H280" i="12" s="1"/>
  <c r="K280" i="12" s="1"/>
  <c r="K293" i="12"/>
  <c r="G293" i="12"/>
  <c r="H293" i="12" s="1"/>
  <c r="G298" i="12"/>
  <c r="H298" i="12" s="1"/>
  <c r="K298" i="12" s="1"/>
  <c r="G303" i="12"/>
  <c r="H303" i="12" s="1"/>
  <c r="K303" i="12" s="1"/>
  <c r="G243" i="12"/>
  <c r="H243" i="12" s="1"/>
  <c r="K243" i="12" s="1"/>
  <c r="G250" i="12"/>
  <c r="H250" i="12" s="1"/>
  <c r="K250" i="12" s="1"/>
  <c r="G206" i="12"/>
  <c r="H206" i="12" s="1"/>
  <c r="K206" i="12" s="1"/>
  <c r="G227" i="12"/>
  <c r="H227" i="12" s="1"/>
  <c r="K227" i="12" s="1"/>
  <c r="G213" i="12"/>
  <c r="H213" i="12" s="1"/>
  <c r="K213" i="12" s="1"/>
  <c r="G234" i="12"/>
  <c r="H234" i="12" s="1"/>
  <c r="K234" i="12" s="1"/>
  <c r="G177" i="12"/>
  <c r="H177" i="12" s="1"/>
  <c r="K177" i="12" s="1"/>
  <c r="G200" i="12"/>
  <c r="H200" i="12" s="1"/>
  <c r="K200" i="12" s="1"/>
  <c r="G128" i="12"/>
  <c r="H128" i="12" s="1"/>
  <c r="K128" i="12" s="1"/>
  <c r="G112" i="12"/>
  <c r="H112" i="12" s="1"/>
  <c r="K112" i="12" s="1"/>
  <c r="G48" i="12"/>
  <c r="H48" i="12" s="1"/>
  <c r="K48" i="12" s="1"/>
  <c r="G24" i="12"/>
  <c r="H24" i="12" s="1"/>
  <c r="K24" i="12" s="1"/>
  <c r="G12" i="12"/>
  <c r="H12" i="12" s="1"/>
  <c r="K12" i="12" s="1"/>
  <c r="K7" i="12"/>
  <c r="G7" i="12"/>
  <c r="H7" i="12" s="1"/>
  <c r="G11" i="12"/>
  <c r="H11" i="12" s="1"/>
  <c r="K11" i="12" s="1"/>
  <c r="G6" i="12"/>
  <c r="H6" i="12" s="1"/>
  <c r="K6" i="12" s="1"/>
  <c r="G67" i="12"/>
  <c r="H67" i="12" s="1"/>
  <c r="K67" i="12" s="1"/>
  <c r="G99" i="12"/>
  <c r="H99" i="12" s="1"/>
  <c r="K99" i="12" s="1"/>
  <c r="G78" i="12"/>
  <c r="H78" i="12" s="1"/>
  <c r="K78" i="12" s="1"/>
  <c r="G108" i="12"/>
  <c r="H108" i="12" s="1"/>
  <c r="K108" i="12" s="1"/>
  <c r="G87" i="12"/>
  <c r="H87" i="12" s="1"/>
  <c r="K87" i="12" s="1"/>
  <c r="G260" i="12"/>
  <c r="H260" i="12" s="1"/>
  <c r="K260" i="12" s="1"/>
  <c r="G317" i="12"/>
  <c r="H317" i="12" s="1"/>
  <c r="K317" i="12" s="1"/>
  <c r="G270" i="12"/>
  <c r="H270" i="12" s="1"/>
  <c r="K270" i="12" s="1"/>
  <c r="G288" i="12"/>
  <c r="H288" i="12" s="1"/>
  <c r="K288" i="12" s="1"/>
  <c r="G306" i="12"/>
  <c r="H306" i="12" s="1"/>
  <c r="K306" i="12" s="1"/>
  <c r="H214" i="12"/>
  <c r="K214" i="12" s="1"/>
  <c r="G214" i="12"/>
  <c r="G242" i="12"/>
  <c r="H242" i="12" s="1"/>
  <c r="K242" i="12" s="1"/>
  <c r="G179" i="12"/>
  <c r="H179" i="12" s="1"/>
  <c r="K179" i="12" s="1"/>
  <c r="K167" i="12"/>
  <c r="G167" i="12"/>
  <c r="H167" i="12" s="1"/>
  <c r="G118" i="12"/>
  <c r="H118" i="12"/>
  <c r="K118" i="12" s="1"/>
  <c r="G119" i="12"/>
  <c r="H119" i="12" s="1"/>
  <c r="K119" i="12" s="1"/>
  <c r="G19" i="12"/>
  <c r="H19" i="12" s="1"/>
  <c r="K19" i="12" s="1"/>
  <c r="G3" i="12"/>
  <c r="H3" i="12" s="1"/>
  <c r="K3" i="12" s="1"/>
  <c r="H21" i="12"/>
  <c r="K21" i="12" s="1"/>
  <c r="G21" i="12"/>
  <c r="G10" i="12"/>
  <c r="H10" i="12" s="1"/>
  <c r="K10" i="12" s="1"/>
  <c r="G110" i="12"/>
  <c r="H110" i="12" s="1"/>
  <c r="K110" i="12" s="1"/>
  <c r="K323" i="12"/>
  <c r="G323" i="12"/>
  <c r="H323" i="12" s="1"/>
  <c r="G35" i="12"/>
  <c r="H35" i="12" s="1"/>
  <c r="K35" i="12" s="1"/>
  <c r="G97" i="12"/>
  <c r="H97" i="12" s="1"/>
  <c r="K97" i="12" s="1"/>
  <c r="G33" i="12"/>
  <c r="H33" i="12" s="1"/>
  <c r="K33" i="12" s="1"/>
  <c r="G44" i="12"/>
  <c r="H44" i="12" s="1"/>
  <c r="K44" i="12" s="1"/>
  <c r="G344" i="12"/>
  <c r="H344" i="12" s="1"/>
  <c r="G66" i="12"/>
  <c r="H66" i="12" s="1"/>
  <c r="K66" i="12" s="1"/>
  <c r="G265" i="12"/>
  <c r="H265" i="12" s="1"/>
  <c r="K265" i="12" s="1"/>
  <c r="G283" i="12"/>
  <c r="H283" i="12" s="1"/>
  <c r="K283" i="12" s="1"/>
  <c r="G301" i="12"/>
  <c r="H301" i="12" s="1"/>
  <c r="K301" i="12" s="1"/>
  <c r="G235" i="12"/>
  <c r="H235" i="12" s="1"/>
  <c r="K235" i="12" s="1"/>
  <c r="G221" i="12"/>
  <c r="H221" i="12" s="1"/>
  <c r="K221" i="12" s="1"/>
  <c r="G173" i="12"/>
  <c r="H173" i="12" s="1"/>
  <c r="K173" i="12" s="1"/>
  <c r="H104" i="12"/>
  <c r="K104" i="12" s="1"/>
  <c r="G104" i="12"/>
  <c r="G40" i="12"/>
  <c r="H40" i="12" s="1"/>
  <c r="K40" i="12" s="1"/>
  <c r="G91" i="12"/>
  <c r="H91" i="12" s="1"/>
  <c r="K91" i="12" s="1"/>
  <c r="K268" i="12"/>
  <c r="G268" i="12"/>
  <c r="H268" i="12" s="1"/>
  <c r="G89" i="12"/>
  <c r="H89" i="12" s="1"/>
  <c r="K89" i="12" s="1"/>
  <c r="G27" i="12"/>
  <c r="H27" i="12" s="1"/>
  <c r="K27" i="12" s="1"/>
  <c r="G100" i="12"/>
  <c r="H100" i="12" s="1"/>
  <c r="K100" i="12" s="1"/>
  <c r="G36" i="12"/>
  <c r="H36" i="12" s="1"/>
  <c r="K36" i="12" s="1"/>
  <c r="G79" i="12"/>
  <c r="H79" i="12" s="1"/>
  <c r="K79" i="12" s="1"/>
  <c r="G330" i="12"/>
  <c r="H330" i="12" s="1"/>
  <c r="K330" i="12" s="1"/>
  <c r="G333" i="12"/>
  <c r="H333" i="12" s="1"/>
  <c r="K333" i="12" s="1"/>
  <c r="G58" i="12"/>
  <c r="H58" i="12" s="1"/>
  <c r="K58" i="12" s="1"/>
  <c r="G318" i="12"/>
  <c r="H318" i="12" s="1"/>
  <c r="K318" i="12" s="1"/>
  <c r="G325" i="12"/>
  <c r="H325" i="12" s="1"/>
  <c r="K325" i="12" s="1"/>
  <c r="G273" i="12"/>
  <c r="H273" i="12" s="1"/>
  <c r="K273" i="12" s="1"/>
  <c r="G278" i="12"/>
  <c r="H278" i="12" s="1"/>
  <c r="K278" i="12" s="1"/>
  <c r="H291" i="12"/>
  <c r="K291" i="12" s="1"/>
  <c r="G291" i="12"/>
  <c r="G296" i="12"/>
  <c r="H296" i="12" s="1"/>
  <c r="K296" i="12" s="1"/>
  <c r="G309" i="12"/>
  <c r="H309" i="12" s="1"/>
  <c r="K309" i="12" s="1"/>
  <c r="K255" i="12"/>
  <c r="G255" i="12"/>
  <c r="H255" i="12" s="1"/>
  <c r="G222" i="12"/>
  <c r="H222" i="12" s="1"/>
  <c r="K222" i="12" s="1"/>
  <c r="K208" i="12"/>
  <c r="H208" i="12"/>
  <c r="G208" i="12"/>
  <c r="G229" i="12"/>
  <c r="H229" i="12" s="1"/>
  <c r="K229" i="12" s="1"/>
  <c r="G207" i="12"/>
  <c r="H207" i="12" s="1"/>
  <c r="K207" i="12" s="1"/>
  <c r="H187" i="12"/>
  <c r="K187" i="12" s="1"/>
  <c r="G187" i="12"/>
  <c r="G166" i="12"/>
  <c r="H166" i="12"/>
  <c r="K166" i="12" s="1"/>
  <c r="G181" i="12"/>
  <c r="H181" i="12" s="1"/>
  <c r="K181" i="12" s="1"/>
  <c r="G96" i="12"/>
  <c r="H96" i="12" s="1"/>
  <c r="K96" i="12" s="1"/>
  <c r="G32" i="12"/>
  <c r="H32" i="12" s="1"/>
  <c r="K32" i="12" s="1"/>
  <c r="G37" i="12"/>
  <c r="H37" i="12" s="1"/>
  <c r="K37" i="12" s="1"/>
  <c r="G8" i="12"/>
  <c r="H8" i="12" s="1"/>
  <c r="K8" i="12" s="1"/>
  <c r="G316" i="12"/>
  <c r="H316" i="12" s="1"/>
  <c r="K316" i="12" s="1"/>
  <c r="G236" i="12"/>
  <c r="H236" i="12" s="1"/>
  <c r="K236" i="12" s="1"/>
  <c r="G109" i="12"/>
  <c r="H109" i="12" s="1"/>
  <c r="K109" i="12" s="1"/>
  <c r="G85" i="12"/>
  <c r="H85" i="12" s="1"/>
  <c r="K85" i="12" s="1"/>
  <c r="G76" i="12"/>
  <c r="H76" i="12" s="1"/>
  <c r="K76" i="12" s="1"/>
  <c r="G83" i="12"/>
  <c r="H83" i="12" s="1"/>
  <c r="K83" i="12" s="1"/>
  <c r="G324" i="12"/>
  <c r="H324" i="12" s="1"/>
  <c r="K324" i="12" s="1"/>
  <c r="G26" i="12"/>
  <c r="H26" i="12" s="1"/>
  <c r="K26" i="12" s="1"/>
  <c r="G220" i="12"/>
  <c r="H220" i="12" s="1"/>
  <c r="K220" i="12" s="1"/>
  <c r="H114" i="12"/>
  <c r="K114" i="12" s="1"/>
  <c r="G114" i="12"/>
  <c r="G310" i="12"/>
  <c r="H310" i="12"/>
  <c r="K310" i="12" s="1"/>
  <c r="G326" i="12"/>
  <c r="H326" i="12" s="1"/>
  <c r="K326" i="12" s="1"/>
  <c r="G281" i="12"/>
  <c r="H281" i="12" s="1"/>
  <c r="K281" i="12" s="1"/>
  <c r="G299" i="12"/>
  <c r="H299" i="12" s="1"/>
  <c r="K299" i="12" s="1"/>
  <c r="G254" i="12"/>
  <c r="H254" i="12" s="1"/>
  <c r="K254" i="12" s="1"/>
  <c r="G258" i="12"/>
  <c r="H258" i="12" s="1"/>
  <c r="K258" i="12" s="1"/>
  <c r="H230" i="12"/>
  <c r="K230" i="12" s="1"/>
  <c r="G230" i="12"/>
  <c r="G216" i="12"/>
  <c r="H216" i="12" s="1"/>
  <c r="K216" i="12" s="1"/>
  <c r="G201" i="12"/>
  <c r="H201" i="12" s="1"/>
  <c r="K201" i="12" s="1"/>
  <c r="G215" i="12"/>
  <c r="H215" i="12" s="1"/>
  <c r="K215" i="12" s="1"/>
  <c r="G9" i="12"/>
  <c r="H9" i="12" s="1"/>
  <c r="K9" i="12" s="1"/>
  <c r="G115" i="12"/>
  <c r="H115" i="12" s="1"/>
  <c r="K115" i="12" s="1"/>
  <c r="G4" i="12"/>
  <c r="H4" i="12" s="1"/>
  <c r="K4" i="12" s="1"/>
  <c r="G77" i="12"/>
  <c r="H77" i="12" s="1"/>
  <c r="K77" i="12" s="1"/>
  <c r="G31" i="12"/>
  <c r="H31" i="12"/>
  <c r="K31" i="12" s="1"/>
  <c r="G63" i="12"/>
  <c r="H63" i="12" s="1"/>
  <c r="K63" i="12" s="1"/>
  <c r="G2" i="12"/>
  <c r="H2" i="12"/>
  <c r="K2" i="12"/>
  <c r="T11" i="12" l="1"/>
</calcChain>
</file>

<file path=xl/sharedStrings.xml><?xml version="1.0" encoding="utf-8"?>
<sst xmlns="http://schemas.openxmlformats.org/spreadsheetml/2006/main" count="5745" uniqueCount="501">
  <si>
    <t>id</t>
  </si>
  <si>
    <t>DEPARTAMENTO</t>
  </si>
  <si>
    <t>PROVINCIA</t>
  </si>
  <si>
    <t>MUNICIPIO</t>
  </si>
  <si>
    <t>Tasa de mortalidad infantil (&lt; 1 año) (por 1,000 nacidos vivos) 2012 (CENSO)</t>
  </si>
  <si>
    <t>Número de niños fallecidos antes de cumplir 1 año 2012 (CENSO)</t>
  </si>
  <si>
    <t>CENSO NACIDOS VIVOS (CENSO)</t>
  </si>
  <si>
    <t>Departamento</t>
  </si>
  <si>
    <t>Número de niños fallecidos antes de cumplir 1 año 2012</t>
  </si>
  <si>
    <t>NACIDOS VIVOS 2012</t>
  </si>
  <si>
    <t>Tasa de mortalidad infantil (&lt; 1 año) (por 1,000 nacidos vivos) 2012</t>
  </si>
  <si>
    <t>Chuquisaca</t>
  </si>
  <si>
    <t>Oropeza</t>
  </si>
  <si>
    <t>Sucre</t>
  </si>
  <si>
    <t>Yotala</t>
  </si>
  <si>
    <t>La Paz</t>
  </si>
  <si>
    <t>Poroma</t>
  </si>
  <si>
    <t>Cochabamba</t>
  </si>
  <si>
    <t>Azurduy</t>
  </si>
  <si>
    <t>Villa Azurduy</t>
  </si>
  <si>
    <t>Oruro</t>
  </si>
  <si>
    <t>Tarvita</t>
  </si>
  <si>
    <t>Potosi</t>
  </si>
  <si>
    <t>Zudáñez</t>
  </si>
  <si>
    <t>Zudañez</t>
  </si>
  <si>
    <t>Tarija</t>
  </si>
  <si>
    <t>Presto</t>
  </si>
  <si>
    <t>Santa Cruz</t>
  </si>
  <si>
    <t>Villa Mojocoya</t>
  </si>
  <si>
    <t>Beni</t>
  </si>
  <si>
    <t>Icla</t>
  </si>
  <si>
    <t>Pando</t>
  </si>
  <si>
    <t>Tomina</t>
  </si>
  <si>
    <t>Padilla</t>
  </si>
  <si>
    <t>Bolivia</t>
  </si>
  <si>
    <t>Sopachuy</t>
  </si>
  <si>
    <t>Villa Alcalá</t>
  </si>
  <si>
    <t>El Villar</t>
  </si>
  <si>
    <t>Hernando Siles</t>
  </si>
  <si>
    <t>Monteagudo</t>
  </si>
  <si>
    <t>San Pablo de Huacareta</t>
  </si>
  <si>
    <t>Yamparáez</t>
  </si>
  <si>
    <t>Tarabuco</t>
  </si>
  <si>
    <t>Nor Cinti</t>
  </si>
  <si>
    <t>Camargo</t>
  </si>
  <si>
    <t>San Lucas</t>
  </si>
  <si>
    <t>Incahuasi</t>
  </si>
  <si>
    <t>Villa Charcas</t>
  </si>
  <si>
    <t>Belisario Boeto</t>
  </si>
  <si>
    <t>Villa Serrano</t>
  </si>
  <si>
    <t>Sur Cinti</t>
  </si>
  <si>
    <t>Villa Abecia</t>
  </si>
  <si>
    <t>Culpina</t>
  </si>
  <si>
    <t>Las Carreras</t>
  </si>
  <si>
    <t>Luis Calvo</t>
  </si>
  <si>
    <t>Villa Vaca Guzman</t>
  </si>
  <si>
    <t>Huacaya</t>
  </si>
  <si>
    <t>Macharetí</t>
  </si>
  <si>
    <t>Murillo</t>
  </si>
  <si>
    <t>Nuestra Señora de La Paz</t>
  </si>
  <si>
    <t>Palca</t>
  </si>
  <si>
    <t>Mecapaca</t>
  </si>
  <si>
    <t>Achocalla</t>
  </si>
  <si>
    <t>El Alto</t>
  </si>
  <si>
    <t>Omasuyos</t>
  </si>
  <si>
    <t>Achacachi</t>
  </si>
  <si>
    <t>Ancoraimes</t>
  </si>
  <si>
    <t>Chua Cocani</t>
  </si>
  <si>
    <t>Huarina</t>
  </si>
  <si>
    <t>Santiago de Huata</t>
  </si>
  <si>
    <t>Huatajata</t>
  </si>
  <si>
    <t>Pacajes</t>
  </si>
  <si>
    <t>Coro 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</si>
  <si>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</si>
  <si>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</si>
  <si>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</si>
  <si>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</si>
  <si>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</si>
  <si>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</si>
  <si>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</si>
  <si>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Camacho</t>
  </si>
  <si>
    <t>Puerto Acosta</t>
  </si>
  <si>
    <t>Mocomoco</t>
  </si>
  <si>
    <t>Puerto Mayor de Carabuco</t>
  </si>
  <si>
    <t>Humanata</t>
  </si>
  <si>
    <t>Escoma</t>
  </si>
  <si>
    <t>Muñecas</t>
  </si>
  <si>
    <t>Chuma</t>
  </si>
  <si>
    <t>Ayata</t>
  </si>
  <si>
    <t>Aucapata</t>
  </si>
  <si>
    <t>Larecaja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</si>
  <si>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</si>
  <si>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</si>
  <si>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</si>
  <si>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</si>
  <si>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</si>
  <si>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</si>
  <si>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</si>
  <si>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</si>
  <si>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Franz Tamayo</t>
  </si>
  <si>
    <t>Apolo</t>
  </si>
  <si>
    <t>Pelechuco</t>
  </si>
  <si>
    <t>Ingavi</t>
  </si>
  <si>
    <t>Viacha</t>
  </si>
  <si>
    <t>Guaqui</t>
  </si>
  <si>
    <t>Tiahuanacu</t>
  </si>
  <si>
    <t>Desaguadero</t>
  </si>
  <si>
    <t>San Andrés de Machaca</t>
  </si>
  <si>
    <t>Jesús de Machaca</t>
  </si>
  <si>
    <t>Taraco</t>
  </si>
  <si>
    <t>Loayza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</si>
  <si>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</si>
  <si>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</si>
  <si>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</si>
  <si>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</si>
  <si>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</si>
  <si>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</si>
  <si>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</si>
  <si>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</si>
  <si>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</si>
  <si>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</si>
  <si>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</si>
  <si>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Sud Yungas</t>
  </si>
  <si>
    <t>Chulumani</t>
  </si>
  <si>
    <t>Irupana</t>
  </si>
  <si>
    <t>Yanacachi</t>
  </si>
  <si>
    <t>Palos Blancos</t>
  </si>
  <si>
    <t>La Asunta</t>
  </si>
  <si>
    <t>Los Andes</t>
  </si>
  <si>
    <t>Pucarani</t>
  </si>
  <si>
    <t>Laja</t>
  </si>
  <si>
    <t>Batallas</t>
  </si>
  <si>
    <t>Puerto Pérez</t>
  </si>
  <si>
    <t>Aroma</t>
  </si>
  <si>
    <t>Sica Sica</t>
  </si>
  <si>
    <t>Umala</t>
  </si>
  <si>
    <t>Ayo Ayo</t>
  </si>
  <si>
    <t>Calamarca</t>
  </si>
  <si>
    <t>Patacamaya</t>
  </si>
  <si>
    <t>Colquencha</t>
  </si>
  <si>
    <t>Collana</t>
  </si>
  <si>
    <t>Nor Yungas</t>
  </si>
  <si>
    <t>Coroico</t>
  </si>
  <si>
    <t>Coripata</t>
  </si>
  <si>
    <t>Abel Iturralde</t>
  </si>
  <si>
    <t>Ixiamas</t>
  </si>
  <si>
    <t>San Buenaventura</t>
  </si>
  <si>
    <t>Bautista Saavedra</t>
  </si>
  <si>
    <t>General Juan José Pérez (Charazani)</t>
  </si>
  <si>
    <t>Curva</t>
  </si>
  <si>
    <t>Manco Kapac</t>
  </si>
  <si>
    <t>Copacabana</t>
  </si>
  <si>
    <t>San Pedro de Tiquina</t>
  </si>
  <si>
    <t>Tito Yupanqui</t>
  </si>
  <si>
    <t>Gualberto Villarroel</t>
  </si>
  <si>
    <t>San Pedro de Curahuara</t>
  </si>
  <si>
    <t>Gualberto Villarroe</t>
  </si>
  <si>
    <t>Papel Pampa</t>
  </si>
  <si>
    <t>Chacarilla</t>
  </si>
  <si>
    <t>General José Manuel Pando</t>
  </si>
  <si>
    <t>Santiago de Machaca</t>
  </si>
  <si>
    <t>Catacora</t>
  </si>
  <si>
    <t>Caranavi</t>
  </si>
  <si>
    <t>Alto Beni</t>
  </si>
  <si>
    <t>Cercado</t>
  </si>
  <si>
    <t>Campero</t>
  </si>
  <si>
    <t>Aiquile</t>
  </si>
  <si>
    <t>Pasorapa</t>
  </si>
  <si>
    <t>Omereque</t>
  </si>
  <si>
    <t>Ayopaya</t>
  </si>
  <si>
    <t>Independencia</t>
  </si>
  <si>
    <t>Morochata</t>
  </si>
  <si>
    <t>Cocapata</t>
  </si>
  <si>
    <t>Esteban Arze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</si>
  <si>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</si>
  <si>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</si>
  <si>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</si>
  <si>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</si>
  <si>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</si>
  <si>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</si>
  <si>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</si>
  <si>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</si>
  <si>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</si>
  <si>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Santivañez</t>
  </si>
  <si>
    <t>Sicaya</t>
  </si>
  <si>
    <t>Germán Jordán</t>
  </si>
  <si>
    <t>Cliza</t>
  </si>
  <si>
    <t>Toco</t>
  </si>
  <si>
    <t>Tolata</t>
  </si>
  <si>
    <t>Quillacollo</t>
  </si>
  <si>
    <t>Sipe Sipe</t>
  </si>
  <si>
    <t>Tiquipaya</t>
  </si>
  <si>
    <t>Vinto</t>
  </si>
  <si>
    <t>Colcapirhua</t>
  </si>
  <si>
    <t>Chapare</t>
  </si>
  <si>
    <t>Sacaba</t>
  </si>
  <si>
    <t>Colomi</t>
  </si>
  <si>
    <t>Villa Tunari</t>
  </si>
  <si>
    <t>Tapacarí</t>
  </si>
  <si>
    <t>Carrasco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</si>
  <si>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</si>
  <si>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</si>
  <si>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</si>
  <si>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</si>
  <si>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</si>
  <si>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</si>
  <si>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</si>
  <si>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</si>
  <si>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</si>
  <si>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</si>
  <si>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</si>
  <si>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</si>
  <si>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</si>
  <si>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</si>
  <si>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 (Villa Gualberto Villarroel)</t>
  </si>
  <si>
    <t>Bolivar</t>
  </si>
  <si>
    <t>Tiraque</t>
  </si>
  <si>
    <t>Shinahota</t>
  </si>
  <si>
    <t>Caracollo</t>
  </si>
  <si>
    <t>El Choro</t>
  </si>
  <si>
    <t>Soracachi</t>
  </si>
  <si>
    <t>Abaroa</t>
  </si>
  <si>
    <t>Challapata</t>
  </si>
  <si>
    <t>Santuario de Quillacas</t>
  </si>
  <si>
    <t>Carangas</t>
  </si>
  <si>
    <t>Corque</t>
  </si>
  <si>
    <t>Choquecota</t>
  </si>
  <si>
    <t>Sajama</t>
  </si>
  <si>
    <t>Curahuara de Carangas</t>
  </si>
  <si>
    <t>Turco</t>
  </si>
  <si>
    <t>Litoral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</si>
  <si>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</si>
  <si>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</si>
  <si>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</si>
  <si>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</si>
  <si>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</si>
  <si>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</si>
  <si>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</si>
  <si>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</si>
  <si>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Pantaleón Dalence</t>
  </si>
  <si>
    <t>Huanuni</t>
  </si>
  <si>
    <t>Machacamarca</t>
  </si>
  <si>
    <t>Ladislao Cabrera</t>
  </si>
  <si>
    <t>Salinas de Garcí Mendoza</t>
  </si>
  <si>
    <t>Pampa Aullagas</t>
  </si>
  <si>
    <t>Sabaya</t>
  </si>
  <si>
    <t>Coipasa</t>
  </si>
  <si>
    <t>Chipaya</t>
  </si>
  <si>
    <t>Saucarí</t>
  </si>
  <si>
    <t>Toledo</t>
  </si>
  <si>
    <t>Tomás Barrón</t>
  </si>
  <si>
    <t>Eucaliptus</t>
  </si>
  <si>
    <t>Sur Carangas</t>
  </si>
  <si>
    <t>Santiago de Andamarca</t>
  </si>
  <si>
    <t>Belén de Andamarca</t>
  </si>
  <si>
    <t>San Pedro de Totora</t>
  </si>
  <si>
    <t>Sebastián Pagador</t>
  </si>
  <si>
    <t>Santiago de Huari</t>
  </si>
  <si>
    <t>Mejillones</t>
  </si>
  <si>
    <t>La Rivera</t>
  </si>
  <si>
    <t>Todos Santos</t>
  </si>
  <si>
    <t>Nor Carangas</t>
  </si>
  <si>
    <t>Huayllamarca (Santiago de Huayllamarca)</t>
  </si>
  <si>
    <t>Potosí</t>
  </si>
  <si>
    <t>Tomás Frías</t>
  </si>
  <si>
    <t>Tinguipaya</t>
  </si>
  <si>
    <t>Yocalla</t>
  </si>
  <si>
    <t>Belén de Urmiri</t>
  </si>
  <si>
    <t>Rafael Bustillo</t>
  </si>
  <si>
    <t>Uncía</t>
  </si>
  <si>
    <t>Chayanta</t>
  </si>
  <si>
    <t>Llallagua</t>
  </si>
  <si>
    <t>Chuquihuta - Ayllu Jucumani</t>
  </si>
  <si>
    <t>Cornelio Saavedra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</si>
  <si>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</si>
  <si>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</si>
  <si>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</si>
  <si>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</si>
  <si>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</si>
  <si>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</si>
  <si>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</si>
  <si>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</si>
  <si>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Chárcas</t>
  </si>
  <si>
    <t>San Pedro de Buena Vista</t>
  </si>
  <si>
    <t>Toro Toro</t>
  </si>
  <si>
    <t>Nor Chichas</t>
  </si>
  <si>
    <t>Cotagaita</t>
  </si>
  <si>
    <t>Vitichi</t>
  </si>
  <si>
    <t>Alonso de Ibáñez</t>
  </si>
  <si>
    <t>Sacaca (Villa de Sacaca)</t>
  </si>
  <si>
    <t>Caripuyo</t>
  </si>
  <si>
    <t>Sur Chichas</t>
  </si>
  <si>
    <t>Tupiza</t>
  </si>
  <si>
    <t>Atocha</t>
  </si>
  <si>
    <t>Nor Lipez</t>
  </si>
  <si>
    <t>Colcha ''K'' (Villa Martin)</t>
  </si>
  <si>
    <t>San Pedro de Quemes</t>
  </si>
  <si>
    <t>Sur Lipez</t>
  </si>
  <si>
    <t>San Pablo de Lipez</t>
  </si>
  <si>
    <t>Mojinete</t>
  </si>
  <si>
    <t>San Antonio de Esmoruco</t>
  </si>
  <si>
    <t>José María Linares</t>
  </si>
  <si>
    <t>Puna</t>
  </si>
  <si>
    <t>Caiza "D"</t>
  </si>
  <si>
    <t>Ckochas</t>
  </si>
  <si>
    <t>Antonio Quijarro</t>
  </si>
  <si>
    <t>Uyuni</t>
  </si>
  <si>
    <t>Tomave</t>
  </si>
  <si>
    <t>Porco</t>
  </si>
  <si>
    <t>TIOC-Jatun Ayllu Yura</t>
  </si>
  <si>
    <t>General Bilbao</t>
  </si>
  <si>
    <t>Arampampa</t>
  </si>
  <si>
    <t>Acasio</t>
  </si>
  <si>
    <t>Daniel Campos</t>
  </si>
  <si>
    <t>Llica</t>
  </si>
  <si>
    <t>Tahua</t>
  </si>
  <si>
    <t>Modesto Omiste</t>
  </si>
  <si>
    <t>Villazón</t>
  </si>
  <si>
    <t>Enrique Baldivieso</t>
  </si>
  <si>
    <t>San Agustín</t>
  </si>
  <si>
    <t>Arce</t>
  </si>
  <si>
    <t>Padcaya</t>
  </si>
  <si>
    <t>Bermejo</t>
  </si>
  <si>
    <t>Gran Chaco</t>
  </si>
  <si>
    <t>Yacuiba</t>
  </si>
  <si>
    <t>Caraparí</t>
  </si>
  <si>
    <t>Villa Montes</t>
  </si>
  <si>
    <t>Avilés</t>
  </si>
  <si>
    <t>Uriondo</t>
  </si>
  <si>
    <t>Yunchará</t>
  </si>
  <si>
    <t>Méndez</t>
  </si>
  <si>
    <t>Villa San Lorenzo</t>
  </si>
  <si>
    <t>El Puente</t>
  </si>
  <si>
    <t>O'Connor</t>
  </si>
  <si>
    <t>Andrés Ibáñez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</si>
  <si>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</si>
  <si>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</si>
  <si>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</si>
  <si>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</si>
  <si>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</si>
  <si>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</si>
  <si>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</si>
  <si>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Velasco</t>
  </si>
  <si>
    <t>San Ignacio de Velasco</t>
  </si>
  <si>
    <t>San Miguel de Velasco</t>
  </si>
  <si>
    <t>San Rafael</t>
  </si>
  <si>
    <t>Ichilo</t>
  </si>
  <si>
    <t>Buena Vista</t>
  </si>
  <si>
    <t>San Carlos</t>
  </si>
  <si>
    <t>Yapacaní</t>
  </si>
  <si>
    <t>San Juan</t>
  </si>
  <si>
    <t>Chiquitos</t>
  </si>
  <si>
    <t>San José de Chiquitos</t>
  </si>
  <si>
    <t>Pailón</t>
  </si>
  <si>
    <t>Roboré</t>
  </si>
  <si>
    <t>Sara</t>
  </si>
  <si>
    <t>Portachuelo</t>
  </si>
  <si>
    <t>Santa Rosa del Sara</t>
  </si>
  <si>
    <t>Colpa Bélgica</t>
  </si>
  <si>
    <t>Cordillera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</si>
  <si>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</si>
  <si>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</si>
  <si>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</si>
  <si>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</si>
  <si>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</si>
  <si>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</si>
  <si>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</si>
  <si>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</si>
  <si>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</si>
  <si>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</si>
  <si>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Postrervalle</t>
  </si>
  <si>
    <t>Pucará</t>
  </si>
  <si>
    <t>Florida</t>
  </si>
  <si>
    <t>Samaipata</t>
  </si>
  <si>
    <t>Pampa Grande</t>
  </si>
  <si>
    <t>Mairana</t>
  </si>
  <si>
    <t>Quirusillas</t>
  </si>
  <si>
    <t>Obispo Santistéban</t>
  </si>
  <si>
    <t>Montero</t>
  </si>
  <si>
    <t>General Saavedra</t>
  </si>
  <si>
    <t>Mineros</t>
  </si>
  <si>
    <t>Fernández Alonso</t>
  </si>
  <si>
    <t>San Pedro</t>
  </si>
  <si>
    <t>Ñuflo De Chávez</t>
  </si>
  <si>
    <t>Concepción</t>
  </si>
  <si>
    <t>San Javier</t>
  </si>
  <si>
    <t>San Ramón</t>
  </si>
  <si>
    <t>San Julián</t>
  </si>
  <si>
    <t>San Antonio de Lomerio</t>
  </si>
  <si>
    <t>Cuatro Cañadas</t>
  </si>
  <si>
    <t>Angel Sandoval</t>
  </si>
  <si>
    <t>San Matías</t>
  </si>
  <si>
    <t>Manuel María Caballero</t>
  </si>
  <si>
    <t>Comarapa</t>
  </si>
  <si>
    <t>Saipina</t>
  </si>
  <si>
    <t>Germán Busch</t>
  </si>
  <si>
    <t>Puerto Suarez</t>
  </si>
  <si>
    <t>Puerto Quijarro</t>
  </si>
  <si>
    <t>El Carmen Rivero Tórrez</t>
  </si>
  <si>
    <t>Guarayos</t>
  </si>
  <si>
    <t>Ascención de Guarayos</t>
  </si>
  <si>
    <t>Urubichá</t>
  </si>
  <si>
    <t>Trinidad</t>
  </si>
  <si>
    <t>Vaca Diez</t>
  </si>
  <si>
    <t>Riberalta</t>
  </si>
  <si>
    <t>Guayaramerín</t>
  </si>
  <si>
    <t>General José Ballivián</t>
  </si>
  <si>
    <t>Reyes</t>
  </si>
  <si>
    <t>San Borja</t>
  </si>
  <si>
    <t>Santa Rosa</t>
  </si>
  <si>
    <t>Rurrenabaque</t>
  </si>
  <si>
    <t>Yacuma</t>
  </si>
  <si>
    <t>Santa Ana de Yacuma</t>
  </si>
  <si>
    <t>Exaltación</t>
  </si>
  <si>
    <t>Moxos</t>
  </si>
  <si>
    <t>San Ignacio</t>
  </si>
  <si>
    <t>Marbán</t>
  </si>
  <si>
    <t>Loreto</t>
  </si>
  <si>
    <t>San Andrés</t>
  </si>
  <si>
    <t>Mamoré</t>
  </si>
  <si>
    <t>San Joaquín</t>
  </si>
  <si>
    <t>Puerto Siles</t>
  </si>
  <si>
    <t>Iténez</t>
  </si>
  <si>
    <t>Magdalena</t>
  </si>
  <si>
    <t>Baures</t>
  </si>
  <si>
    <t>Huacaraje</t>
  </si>
  <si>
    <t>TIOC-Territorio Indigena Multiétnico</t>
  </si>
  <si>
    <t>Nicolás Suárez</t>
  </si>
  <si>
    <t>Cobija</t>
  </si>
  <si>
    <t>Porvenir</t>
  </si>
  <si>
    <t>Bolpebra</t>
  </si>
  <si>
    <t>Bella Flor</t>
  </si>
  <si>
    <t>Manuripi</t>
  </si>
  <si>
    <t>Puerto Rico</t>
  </si>
  <si>
    <t>Filadelfia</t>
  </si>
  <si>
    <t>Madre de Dios</t>
  </si>
  <si>
    <t>Puerto Gonzalo Moreno</t>
  </si>
  <si>
    <t>San Lorenzo</t>
  </si>
  <si>
    <t>Sena</t>
  </si>
  <si>
    <t>Abuná</t>
  </si>
  <si>
    <t>Santa Rosa del Abuná</t>
  </si>
  <si>
    <t>Federico Román</t>
  </si>
  <si>
    <t>Nueva Esperanza</t>
  </si>
  <si>
    <t>Villa Nueva (Loma Alta)</t>
  </si>
  <si>
    <t>Santos Mercado</t>
  </si>
  <si>
    <t>Promedio</t>
  </si>
  <si>
    <t>Desv.Est.</t>
  </si>
  <si>
    <t>Min</t>
  </si>
  <si>
    <t>Max</t>
  </si>
  <si>
    <t>Obs</t>
  </si>
  <si>
    <t>Tasa de mortalidad infantil (&lt; 1 año) (por 1,000 nacidos vivos) 2019-2023 (CENSO)</t>
  </si>
  <si>
    <t>Número de niños fallecidos antes de cumplir 1 año (2019-2023) (CENSO)</t>
  </si>
  <si>
    <t>CENSO NACIDOS VIVOS (CENSO)(2019-2023)</t>
  </si>
  <si>
    <t>Número de niños fallecidos antes de cumplir 1 año (CENSO) PROMEDIO</t>
  </si>
  <si>
    <t>CENSO NACIDOS VIVOS (CENSO) PROMEDIO</t>
  </si>
  <si>
    <t>Número de niños fallecidos antes de cumplir 1 año (2019-2023)</t>
  </si>
  <si>
    <t>NACIDOS VIVOS (2019-2023)</t>
  </si>
  <si>
    <t>Tasa de mortalidad infantil (&lt; 1 año) (por 1,000 nacidos vivos) 2019-2023</t>
  </si>
  <si>
    <t>Tasa de mortalidad infantil (&lt; 1 año) (por 1,000 nacidos vivos) 2024</t>
  </si>
  <si>
    <t>INFANTIL Número de niños fallecidos antes de cumplir 1 año 2012</t>
  </si>
  <si>
    <t>INFANTIL Número de niños fallecidos antes de cumplir 1 año 2024</t>
  </si>
  <si>
    <t>NIÑEZ Número de niños fallecidos antes de cumplir 5 años 2012</t>
  </si>
  <si>
    <t>NIÑEZ Número de niños fallecidos antes de cumplir 5 años 2024</t>
  </si>
  <si>
    <t>Número de niños fallecidos antes de cumplir 1 año 2024</t>
  </si>
  <si>
    <t>id_departamento</t>
  </si>
  <si>
    <t>ID</t>
  </si>
  <si>
    <t>MORTALIDAD INFANTIL  (1q0) 2008</t>
  </si>
  <si>
    <t>MORTALIDAD INFANTIL  (1q0) 2023 *</t>
  </si>
  <si>
    <t>Diferencia 2008</t>
  </si>
  <si>
    <t>Diferencia 2023</t>
  </si>
  <si>
    <t>(*) Con coeficiente de variación superior a 20% emplearlo solo de forma referencial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</si>
  <si>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</si>
  <si>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</si>
  <si>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</si>
  <si>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</si>
  <si>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</si>
  <si>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</si>
  <si>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</si>
  <si>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</si>
  <si>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</si>
  <si>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</si>
  <si>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 xml:space="preserve">Tasa de mortalidad infantil (&lt; 1 año) (por 1,000 nacidos vivos) </t>
  </si>
  <si>
    <t>Nacidos vivos EDSA 2023 Número de caso sin ponderar</t>
  </si>
  <si>
    <t>Nacidos vivos EDSA 2023 Número de casos ponderador</t>
  </si>
  <si>
    <t>Urbano</t>
  </si>
  <si>
    <t>Rural</t>
  </si>
  <si>
    <t xml:space="preserve">urbano </t>
  </si>
  <si>
    <t xml:space="preserve">Rural </t>
  </si>
  <si>
    <t>Nacidos vivos ENDSA 2008 Número de caso sin ponderar</t>
  </si>
  <si>
    <t>Nacidos vivos ENDSA 2008 Número de casos ponderador</t>
  </si>
  <si>
    <t>Porcentaje de fallecidos por municipio</t>
  </si>
  <si>
    <t>Estimados fallecidos por municipio con EDSA</t>
  </si>
  <si>
    <t>Porcentaje de nacidos por municipio</t>
  </si>
  <si>
    <t>Estimados nacidos por municipio con EDSA</t>
  </si>
  <si>
    <t>CENSO NACIDOS VIVOS 2012</t>
  </si>
  <si>
    <t>Tasa de mortalidad acorde a EDSA distribuido por censo 2024</t>
  </si>
  <si>
    <t>Defunciones aproximadas con EDSA 2023</t>
  </si>
  <si>
    <t>Número de niños fallecidos antes de cumplir 1 año 2012 CENSO</t>
  </si>
  <si>
    <t>Tasa de mortalidad INFANTIL (&lt; 1 año) (por 1,000 nacidos vivos) EDSA 2008</t>
  </si>
  <si>
    <t>Tasa de mortalidad INFANTIL (&lt; 1 año) (por 1,000 nacidos vivos) EDSA 2023</t>
  </si>
  <si>
    <t>Tasa de mortalidad acorde a EDSA distribuido por censo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</si>
</sst>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-* #,##0.00_-;\-* #,##0.00_-;_-* &quot;-&quot;??_-;_-@_-"/>
    <numFmt numFmtId="165" formatCode="_(* #,##0_);_(* \(#,##0\);_(* &quot;-&quot;??_);_(@_)"/>
    <numFmt numFmtId="166" formatCode="_(* #,##0.0_);_(* \(#,##0.0\);_(* &quot;-&quot;??_);_(@_)"/>
    <numFmt numFmtId="167" formatCode="0.0"/>
    <numFmt numFmtId="168" formatCode="_-* #,##0_-;\-* #,##0_-;_-* &quot;-&quot;??_-;_-@"/>
    <numFmt numFmtId="169" formatCode="_-* #,##0_-;\-* #,##0_-;_-* &quot;-&quot;??_-;_-@_-"/>
  </numFmts>
  <fonts count="15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Arial"/>
      <family val="2"/>
    </font>
    <font>
      <b/>
      <sz val="10"/>
      <color theme="1"/>
      <name val="Calibri"/>
      <family val="2"/>
    </font>
    <font>
      <b/>
      <sz val="9"/>
      <color theme="1"/>
      <name val="Arial"/>
      <family val="2"/>
    </font>
    <font>
      <sz val="10"/>
      <color theme="1"/>
      <name val="Calibri"/>
      <family val="2"/>
    </font>
    <font>
      <sz val="11"/>
      <color theme="1"/>
      <name val="Arial"/>
      <family val="2"/>
      <scheme val="minor"/>
    </font>
    <font>
      <b/>
      <sz val="9"/>
      <color theme="1"/>
      <name val="Play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9"/>
      <color theme="1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164" fontId="9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13">
    <xf numFmtId="0" fontId="0" fillId="0" borderId="0" xfId="0"/>
    <xf numFmtId="49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2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/>
    <xf numFmtId="2" fontId="3" fillId="0" borderId="1" xfId="0" applyNumberFormat="1" applyFont="1" applyBorder="1"/>
    <xf numFmtId="165" fontId="4" fillId="0" borderId="1" xfId="0" applyNumberFormat="1" applyFont="1" applyBorder="1" applyAlignment="1">
      <alignment horizontal="right" vertical="top"/>
    </xf>
    <xf numFmtId="165" fontId="3" fillId="0" borderId="3" xfId="0" applyNumberFormat="1" applyFont="1" applyBorder="1"/>
    <xf numFmtId="165" fontId="3" fillId="0" borderId="2" xfId="0" applyNumberFormat="1" applyFont="1" applyBorder="1"/>
    <xf numFmtId="1" fontId="3" fillId="2" borderId="4" xfId="0" applyNumberFormat="1" applyFont="1" applyFill="1" applyBorder="1"/>
    <xf numFmtId="2" fontId="3" fillId="2" borderId="5" xfId="0" applyNumberFormat="1" applyFont="1" applyFill="1" applyBorder="1"/>
    <xf numFmtId="166" fontId="3" fillId="0" borderId="2" xfId="0" applyNumberFormat="1" applyFont="1" applyBorder="1"/>
    <xf numFmtId="1" fontId="3" fillId="2" borderId="1" xfId="0" applyNumberFormat="1" applyFont="1" applyFill="1" applyBorder="1"/>
    <xf numFmtId="43" fontId="3" fillId="2" borderId="1" xfId="0" applyNumberFormat="1" applyFont="1" applyFill="1" applyBorder="1"/>
    <xf numFmtId="165" fontId="3" fillId="0" borderId="1" xfId="0" applyNumberFormat="1" applyFont="1" applyBorder="1"/>
    <xf numFmtId="165" fontId="5" fillId="0" borderId="0" xfId="0" applyNumberFormat="1" applyFont="1"/>
    <xf numFmtId="0" fontId="3" fillId="3" borderId="1" xfId="0" applyFont="1" applyFill="1" applyBorder="1" applyAlignment="1">
      <alignment horizontal="center" vertical="center"/>
    </xf>
    <xf numFmtId="165" fontId="4" fillId="0" borderId="3" xfId="0" applyNumberFormat="1" applyFont="1" applyBorder="1" applyAlignment="1">
      <alignment horizontal="right" vertical="top"/>
    </xf>
    <xf numFmtId="165" fontId="4" fillId="0" borderId="6" xfId="0" applyNumberFormat="1" applyFont="1" applyBorder="1" applyAlignment="1">
      <alignment horizontal="right" vertical="top"/>
    </xf>
    <xf numFmtId="165" fontId="3" fillId="0" borderId="7" xfId="0" applyNumberFormat="1" applyFont="1" applyBorder="1"/>
    <xf numFmtId="0" fontId="5" fillId="0" borderId="0" xfId="0" applyFont="1" applyAlignment="1">
      <alignment horizontal="center" vertical="center"/>
    </xf>
    <xf numFmtId="0" fontId="6" fillId="0" borderId="0" xfId="0" applyFont="1"/>
    <xf numFmtId="2" fontId="3" fillId="0" borderId="8" xfId="0" applyNumberFormat="1" applyFont="1" applyBorder="1"/>
    <xf numFmtId="165" fontId="4" fillId="0" borderId="8" xfId="0" applyNumberFormat="1" applyFont="1" applyBorder="1" applyAlignment="1">
      <alignment horizontal="right" vertical="top"/>
    </xf>
    <xf numFmtId="165" fontId="4" fillId="0" borderId="2" xfId="0" applyNumberFormat="1" applyFont="1" applyBorder="1" applyAlignment="1">
      <alignment horizontal="right" vertical="top"/>
    </xf>
    <xf numFmtId="2" fontId="3" fillId="0" borderId="0" xfId="0" applyNumberFormat="1" applyFont="1"/>
    <xf numFmtId="165" fontId="4" fillId="0" borderId="0" xfId="0" applyNumberFormat="1" applyFont="1" applyAlignment="1">
      <alignment horizontal="right" vertical="top"/>
    </xf>
    <xf numFmtId="165" fontId="3" fillId="0" borderId="0" xfId="0" applyNumberFormat="1" applyFont="1"/>
    <xf numFmtId="3" fontId="7" fillId="0" borderId="0" xfId="0" applyNumberFormat="1" applyFont="1" applyAlignment="1">
      <alignment horizontal="right" vertical="center"/>
    </xf>
    <xf numFmtId="0" fontId="3" fillId="0" borderId="0" xfId="0" applyFont="1"/>
    <xf numFmtId="0" fontId="8" fillId="0" borderId="1" xfId="0" applyFont="1" applyBorder="1"/>
    <xf numFmtId="167" fontId="3" fillId="0" borderId="0" xfId="0" applyNumberFormat="1" applyFont="1"/>
    <xf numFmtId="0" fontId="8" fillId="0" borderId="0" xfId="0" applyFont="1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top" wrapText="1"/>
    </xf>
    <xf numFmtId="43" fontId="3" fillId="0" borderId="0" xfId="0" applyNumberFormat="1" applyFont="1"/>
    <xf numFmtId="167" fontId="3" fillId="2" borderId="5" xfId="0" applyNumberFormat="1" applyFont="1" applyFill="1" applyBorder="1"/>
    <xf numFmtId="165" fontId="4" fillId="0" borderId="7" xfId="0" applyNumberFormat="1" applyFont="1" applyBorder="1" applyAlignment="1">
      <alignment horizontal="right" vertical="top"/>
    </xf>
    <xf numFmtId="165" fontId="3" fillId="0" borderId="6" xfId="0" applyNumberFormat="1" applyFont="1" applyBorder="1"/>
    <xf numFmtId="0" fontId="9" fillId="0" borderId="0" xfId="0" applyFont="1"/>
    <xf numFmtId="0" fontId="2" fillId="0" borderId="1" xfId="0" applyFont="1" applyBorder="1" applyAlignment="1">
      <alignment vertical="center" wrapText="1"/>
    </xf>
    <xf numFmtId="167" fontId="3" fillId="0" borderId="1" xfId="0" applyNumberFormat="1" applyFont="1" applyBorder="1"/>
    <xf numFmtId="2" fontId="5" fillId="0" borderId="0" xfId="0" applyNumberFormat="1" applyFont="1"/>
    <xf numFmtId="0" fontId="3" fillId="3" borderId="1" xfId="0" applyFont="1" applyFill="1" applyBorder="1"/>
    <xf numFmtId="0" fontId="2" fillId="0" borderId="1" xfId="0" applyFont="1" applyBorder="1" applyAlignment="1">
      <alignment wrapText="1"/>
    </xf>
    <xf numFmtId="1" fontId="3" fillId="0" borderId="1" xfId="0" applyNumberFormat="1" applyFont="1" applyBorder="1"/>
    <xf numFmtId="1" fontId="3" fillId="0" borderId="0" xfId="0" applyNumberFormat="1" applyFont="1"/>
    <xf numFmtId="0" fontId="2" fillId="0" borderId="1" xfId="0" applyFont="1" applyBorder="1"/>
    <xf numFmtId="168" fontId="3" fillId="0" borderId="1" xfId="0" applyNumberFormat="1" applyFont="1" applyBorder="1"/>
    <xf numFmtId="0" fontId="2" fillId="4" borderId="1" xfId="0" applyFont="1" applyFill="1" applyBorder="1"/>
    <xf numFmtId="0" fontId="10" fillId="5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2" fillId="0" borderId="0" xfId="0" applyFont="1"/>
    <xf numFmtId="0" fontId="5" fillId="0" borderId="1" xfId="0" applyFont="1" applyBorder="1" applyAlignment="1">
      <alignment horizontal="center" vertical="center"/>
    </xf>
    <xf numFmtId="0" fontId="3" fillId="0" borderId="3" xfId="0" applyFont="1" applyBorder="1"/>
    <xf numFmtId="0" fontId="2" fillId="0" borderId="9" xfId="0" applyFont="1" applyBorder="1" applyAlignment="1">
      <alignment horizontal="center" vertical="center" wrapText="1"/>
    </xf>
    <xf numFmtId="0" fontId="3" fillId="0" borderId="9" xfId="0" applyFont="1" applyBorder="1"/>
    <xf numFmtId="2" fontId="3" fillId="0" borderId="9" xfId="0" applyNumberFormat="1" applyFont="1" applyBorder="1"/>
    <xf numFmtId="0" fontId="11" fillId="0" borderId="9" xfId="0" applyFont="1" applyBorder="1" applyAlignment="1">
      <alignment wrapText="1"/>
    </xf>
    <xf numFmtId="169" fontId="0" fillId="0" borderId="9" xfId="1" applyNumberFormat="1" applyFont="1" applyBorder="1" applyAlignment="1"/>
    <xf numFmtId="169" fontId="3" fillId="0" borderId="9" xfId="1" applyNumberFormat="1" applyFont="1" applyBorder="1"/>
    <xf numFmtId="166" fontId="3" fillId="0" borderId="0" xfId="0" applyNumberFormat="1" applyFont="1"/>
    <xf numFmtId="0" fontId="3" fillId="0" borderId="6" xfId="0" applyFont="1" applyBorder="1"/>
    <xf numFmtId="1" fontId="3" fillId="2" borderId="6" xfId="0" applyNumberFormat="1" applyFont="1" applyFill="1" applyBorder="1"/>
    <xf numFmtId="2" fontId="3" fillId="2" borderId="2" xfId="0" applyNumberFormat="1" applyFont="1" applyFill="1" applyBorder="1"/>
    <xf numFmtId="43" fontId="3" fillId="2" borderId="9" xfId="0" applyNumberFormat="1" applyFont="1" applyFill="1" applyBorder="1"/>
    <xf numFmtId="165" fontId="3" fillId="0" borderId="9" xfId="0" applyNumberFormat="1" applyFont="1" applyBorder="1"/>
    <xf numFmtId="2" fontId="3" fillId="2" borderId="9" xfId="0" applyNumberFormat="1" applyFont="1" applyFill="1" applyBorder="1"/>
    <xf numFmtId="0" fontId="0" fillId="0" borderId="9" xfId="0" applyBorder="1"/>
    <xf numFmtId="49" fontId="2" fillId="0" borderId="1" xfId="2" applyNumberFormat="1" applyFont="1" applyBorder="1" applyAlignment="1">
      <alignment horizontal="center" vertical="center" wrapText="1"/>
    </xf>
    <xf numFmtId="0" fontId="2" fillId="0" borderId="1" xfId="2" applyFont="1" applyBorder="1" applyAlignment="1">
      <alignment horizontal="center" vertical="center" wrapText="1"/>
    </xf>
    <xf numFmtId="0" fontId="2" fillId="0" borderId="2" xfId="2" applyFont="1" applyBorder="1" applyAlignment="1">
      <alignment horizontal="center" vertical="center" wrapText="1"/>
    </xf>
    <xf numFmtId="0" fontId="2" fillId="0" borderId="0" xfId="2" applyFont="1" applyAlignment="1">
      <alignment horizontal="center" vertical="center" wrapText="1"/>
    </xf>
    <xf numFmtId="0" fontId="1" fillId="0" borderId="0" xfId="2"/>
    <xf numFmtId="0" fontId="3" fillId="0" borderId="0" xfId="2" applyFont="1" applyAlignment="1">
      <alignment wrapText="1"/>
    </xf>
    <xf numFmtId="0" fontId="2" fillId="0" borderId="1" xfId="2" applyFont="1" applyBorder="1" applyAlignment="1">
      <alignment horizontal="center" wrapText="1"/>
    </xf>
    <xf numFmtId="0" fontId="3" fillId="0" borderId="0" xfId="2" applyFont="1"/>
    <xf numFmtId="0" fontId="3" fillId="0" borderId="1" xfId="2" applyFont="1" applyBorder="1" applyAlignment="1">
      <alignment horizontal="center" vertical="center"/>
    </xf>
    <xf numFmtId="0" fontId="3" fillId="0" borderId="1" xfId="2" applyFont="1" applyBorder="1"/>
    <xf numFmtId="9" fontId="0" fillId="0" borderId="0" xfId="3" applyFont="1"/>
    <xf numFmtId="169" fontId="1" fillId="0" borderId="0" xfId="2" applyNumberFormat="1"/>
    <xf numFmtId="1" fontId="0" fillId="0" borderId="0" xfId="3" applyNumberFormat="1" applyFont="1"/>
    <xf numFmtId="0" fontId="2" fillId="0" borderId="1" xfId="2" applyFont="1" applyBorder="1"/>
    <xf numFmtId="0" fontId="3" fillId="0" borderId="6" xfId="2" applyFont="1" applyBorder="1"/>
    <xf numFmtId="0" fontId="2" fillId="0" borderId="1" xfId="2" applyFont="1" applyBorder="1" applyAlignment="1">
      <alignment wrapText="1"/>
    </xf>
    <xf numFmtId="0" fontId="13" fillId="0" borderId="9" xfId="2" applyFont="1" applyBorder="1" applyAlignment="1">
      <alignment wrapText="1"/>
    </xf>
    <xf numFmtId="2" fontId="3" fillId="0" borderId="1" xfId="2" applyNumberFormat="1" applyFont="1" applyBorder="1" applyAlignment="1">
      <alignment wrapText="1"/>
    </xf>
    <xf numFmtId="169" fontId="5" fillId="8" borderId="9" xfId="4" applyNumberFormat="1" applyFont="1" applyFill="1" applyBorder="1" applyAlignment="1"/>
    <xf numFmtId="169" fontId="5" fillId="0" borderId="9" xfId="4" applyNumberFormat="1" applyFont="1" applyFill="1" applyBorder="1" applyAlignment="1"/>
    <xf numFmtId="169" fontId="4" fillId="0" borderId="9" xfId="4" applyNumberFormat="1" applyFont="1" applyFill="1" applyBorder="1"/>
    <xf numFmtId="2" fontId="3" fillId="0" borderId="6" xfId="2" applyNumberFormat="1" applyFont="1" applyBorder="1" applyAlignment="1">
      <alignment wrapText="1"/>
    </xf>
    <xf numFmtId="0" fontId="14" fillId="0" borderId="0" xfId="2" applyFont="1"/>
    <xf numFmtId="0" fontId="3" fillId="0" borderId="9" xfId="2" applyFont="1" applyBorder="1"/>
    <xf numFmtId="0" fontId="3" fillId="3" borderId="1" xfId="2" applyFont="1" applyFill="1" applyBorder="1" applyAlignment="1">
      <alignment horizontal="center" vertical="center"/>
    </xf>
    <xf numFmtId="0" fontId="12" fillId="8" borderId="0" xfId="2" applyFont="1" applyFill="1" applyAlignment="1">
      <alignment horizontal="center" vertical="center" wrapText="1"/>
    </xf>
    <xf numFmtId="0" fontId="2" fillId="8" borderId="1" xfId="2" applyFont="1" applyFill="1" applyBorder="1" applyAlignment="1">
      <alignment horizontal="center" vertical="center" wrapText="1"/>
    </xf>
    <xf numFmtId="0" fontId="2" fillId="9" borderId="0" xfId="2" applyFont="1" applyFill="1" applyAlignment="1">
      <alignment horizontal="center" vertical="center" wrapText="1"/>
    </xf>
    <xf numFmtId="0" fontId="1" fillId="9" borderId="0" xfId="2" applyFill="1" applyAlignment="1">
      <alignment wrapText="1"/>
    </xf>
    <xf numFmtId="165" fontId="4" fillId="8" borderId="1" xfId="2" applyNumberFormat="1" applyFont="1" applyFill="1" applyBorder="1" applyAlignment="1">
      <alignment horizontal="right" vertical="top"/>
    </xf>
    <xf numFmtId="165" fontId="3" fillId="8" borderId="3" xfId="2" applyNumberFormat="1" applyFont="1" applyFill="1" applyBorder="1"/>
    <xf numFmtId="1" fontId="1" fillId="8" borderId="0" xfId="2" applyNumberFormat="1" applyFill="1"/>
    <xf numFmtId="0" fontId="2" fillId="9" borderId="0" xfId="2" applyFont="1" applyFill="1" applyAlignment="1">
      <alignment wrapText="1"/>
    </xf>
    <xf numFmtId="0" fontId="13" fillId="9" borderId="9" xfId="2" applyFont="1" applyFill="1" applyBorder="1" applyAlignment="1">
      <alignment wrapText="1"/>
    </xf>
    <xf numFmtId="165" fontId="4" fillId="8" borderId="3" xfId="2" applyNumberFormat="1" applyFont="1" applyFill="1" applyBorder="1" applyAlignment="1">
      <alignment horizontal="right" vertical="top"/>
    </xf>
    <xf numFmtId="165" fontId="4" fillId="8" borderId="6" xfId="2" applyNumberFormat="1" applyFont="1" applyFill="1" applyBorder="1" applyAlignment="1">
      <alignment horizontal="right" vertical="top"/>
    </xf>
    <xf numFmtId="165" fontId="3" fillId="8" borderId="7" xfId="2" applyNumberFormat="1" applyFont="1" applyFill="1" applyBorder="1"/>
    <xf numFmtId="0" fontId="1" fillId="8" borderId="0" xfId="0" applyFont="1" applyFill="1" applyAlignment="1">
      <alignment wrapText="1"/>
    </xf>
    <xf numFmtId="0" fontId="0" fillId="8" borderId="0" xfId="0" applyFill="1"/>
  </cellXfs>
  <cellStyles count="5">
    <cellStyle name="Millares" xfId="1" builtinId="3"/>
    <cellStyle name="Millares 2" xfId="4" xr:uid="{0D4ADEDF-FCB0-4602-B08C-4E9D7C77363E}"/>
    <cellStyle name="Normal" xfId="0" builtinId="0"/>
    <cellStyle name="Normal 2" xfId="2" xr:uid="{1286AAEE-749C-4DC7-AEFB-71598B2B942B}"/>
    <cellStyle name="Porcentaje 2" xfId="3" xr:uid="{1D04A9CB-6145-43B7-A6B3-FEC6A739B97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114300</xdr:colOff>
      <xdr:row>0</xdr:row>
      <xdr:rowOff>0</xdr:rowOff>
    </xdr:from>
    <xdr:ext cx="6143625" cy="40481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AB1000"/>
  <sheetViews>
    <sheetView topLeftCell="E1" workbookViewId="0">
      <selection activeCell="J19" sqref="J19"/>
    </sheetView>
  </sheetViews>
  <sheetFormatPr baseColWidth="10" defaultColWidth="12.59765625" defaultRowHeight="15" customHeight="1"/>
  <cols>
    <col min="1" max="1" width="12.59765625" customWidth="1"/>
    <col min="2" max="2" width="14.09765625" customWidth="1"/>
    <col min="3" max="3" width="9.3984375" customWidth="1"/>
    <col min="4" max="4" width="11.69921875" customWidth="1"/>
    <col min="5" max="5" width="23.3984375" customWidth="1"/>
    <col min="6" max="6" width="20" customWidth="1"/>
    <col min="7" max="7" width="18.3984375" customWidth="1"/>
    <col min="8" max="8" width="14.69921875" customWidth="1"/>
    <col min="9" max="9" width="9.3984375" customWidth="1"/>
    <col min="10" max="10" width="13.69921875" customWidth="1"/>
    <col min="11" max="11" width="19.69921875" customWidth="1"/>
    <col min="12" max="12" width="14.09765625" customWidth="1"/>
    <col min="13" max="13" width="20" customWidth="1"/>
    <col min="14" max="28" width="9.3984375" customWidth="1"/>
  </cols>
  <sheetData>
    <row r="1" spans="1:28" ht="60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/>
      <c r="I1" s="4"/>
      <c r="J1" s="2" t="s">
        <v>7</v>
      </c>
      <c r="K1" s="2" t="s">
        <v>8</v>
      </c>
      <c r="L1" s="2" t="s">
        <v>9</v>
      </c>
      <c r="M1" s="5" t="s">
        <v>10</v>
      </c>
      <c r="N1" s="3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spans="1:28" ht="14.4">
      <c r="A2" s="6">
        <v>10101</v>
      </c>
      <c r="B2" s="7" t="s">
        <v>11</v>
      </c>
      <c r="C2" s="7" t="s">
        <v>12</v>
      </c>
      <c r="D2" s="7" t="s">
        <v>13</v>
      </c>
      <c r="E2" s="8">
        <f t="shared" ref="E2:E256" si="0">(F2/G2)*1000</f>
        <v>21.000981354268891</v>
      </c>
      <c r="F2" s="9">
        <v>107</v>
      </c>
      <c r="G2" s="10">
        <v>5095</v>
      </c>
      <c r="H2" s="11"/>
      <c r="J2" s="7" t="s">
        <v>11</v>
      </c>
      <c r="K2" s="12">
        <f t="shared" ref="K2:L2" si="1">SUM(F2:F30)</f>
        <v>287</v>
      </c>
      <c r="L2" s="12">
        <f t="shared" si="1"/>
        <v>11564</v>
      </c>
      <c r="M2" s="13">
        <f t="shared" ref="M2:M12" si="2">(K2/L2)*1000</f>
        <v>24.818401937046005</v>
      </c>
      <c r="N2" s="14"/>
    </row>
    <row r="3" spans="1:28" ht="14.4">
      <c r="A3" s="6">
        <v>10102</v>
      </c>
      <c r="B3" s="7" t="s">
        <v>11</v>
      </c>
      <c r="C3" s="7" t="s">
        <v>12</v>
      </c>
      <c r="D3" s="7" t="s">
        <v>14</v>
      </c>
      <c r="E3" s="8">
        <f t="shared" si="0"/>
        <v>23.668639053254438</v>
      </c>
      <c r="F3" s="9">
        <v>4</v>
      </c>
      <c r="G3" s="10">
        <v>169</v>
      </c>
      <c r="H3" s="11"/>
      <c r="J3" s="7" t="s">
        <v>15</v>
      </c>
      <c r="K3" s="15">
        <f t="shared" ref="K3:L3" si="3">+SUM(F31:F117)</f>
        <v>1725</v>
      </c>
      <c r="L3" s="15">
        <f t="shared" si="3"/>
        <v>54260</v>
      </c>
      <c r="M3" s="13">
        <f t="shared" si="2"/>
        <v>31.791374861776632</v>
      </c>
      <c r="N3" s="14"/>
    </row>
    <row r="4" spans="1:28" ht="14.4">
      <c r="A4" s="6">
        <v>10103</v>
      </c>
      <c r="B4" s="7" t="s">
        <v>11</v>
      </c>
      <c r="C4" s="7" t="s">
        <v>12</v>
      </c>
      <c r="D4" s="7" t="s">
        <v>16</v>
      </c>
      <c r="E4" s="8">
        <f t="shared" si="0"/>
        <v>33.163265306122454</v>
      </c>
      <c r="F4" s="9">
        <v>13</v>
      </c>
      <c r="G4" s="10">
        <v>392</v>
      </c>
      <c r="H4" s="11"/>
      <c r="J4" s="7" t="s">
        <v>17</v>
      </c>
      <c r="K4" s="15">
        <f t="shared" ref="K4:L4" si="4">+SUM(F118:F165)</f>
        <v>911</v>
      </c>
      <c r="L4" s="15">
        <f t="shared" si="4"/>
        <v>37795</v>
      </c>
      <c r="M4" s="13">
        <f t="shared" si="2"/>
        <v>24.103717422939543</v>
      </c>
      <c r="N4" s="14"/>
    </row>
    <row r="5" spans="1:28" ht="14.4">
      <c r="A5" s="6">
        <v>10201</v>
      </c>
      <c r="B5" s="7" t="s">
        <v>11</v>
      </c>
      <c r="C5" s="7" t="s">
        <v>18</v>
      </c>
      <c r="D5" s="7" t="s">
        <v>19</v>
      </c>
      <c r="E5" s="8">
        <f t="shared" si="0"/>
        <v>26.200873362445414</v>
      </c>
      <c r="F5" s="9">
        <v>6</v>
      </c>
      <c r="G5" s="10">
        <v>229</v>
      </c>
      <c r="H5" s="11"/>
      <c r="J5" s="7" t="s">
        <v>20</v>
      </c>
      <c r="K5" s="15">
        <f t="shared" ref="K5:L5" si="5">+SUM(F166:F200)</f>
        <v>209</v>
      </c>
      <c r="L5" s="15">
        <f t="shared" si="5"/>
        <v>10072</v>
      </c>
      <c r="M5" s="13">
        <f t="shared" si="2"/>
        <v>20.750595710881651</v>
      </c>
      <c r="N5" s="14"/>
    </row>
    <row r="6" spans="1:28" ht="14.4">
      <c r="A6" s="6">
        <v>10202</v>
      </c>
      <c r="B6" s="7" t="s">
        <v>11</v>
      </c>
      <c r="C6" s="7" t="s">
        <v>18</v>
      </c>
      <c r="D6" s="7" t="s">
        <v>21</v>
      </c>
      <c r="E6" s="8">
        <f t="shared" si="0"/>
        <v>21.582733812949641</v>
      </c>
      <c r="F6" s="9">
        <v>6</v>
      </c>
      <c r="G6" s="10">
        <v>278</v>
      </c>
      <c r="H6" s="11"/>
      <c r="J6" s="7" t="s">
        <v>22</v>
      </c>
      <c r="K6" s="15">
        <f t="shared" ref="K6:L6" si="6">+SUM(F201:F242)</f>
        <v>770</v>
      </c>
      <c r="L6" s="15">
        <f t="shared" si="6"/>
        <v>18587</v>
      </c>
      <c r="M6" s="13">
        <f t="shared" si="2"/>
        <v>41.426803679991394</v>
      </c>
      <c r="N6" s="14"/>
    </row>
    <row r="7" spans="1:28" ht="14.4">
      <c r="A7" s="6">
        <v>10301</v>
      </c>
      <c r="B7" s="7" t="s">
        <v>11</v>
      </c>
      <c r="C7" s="7" t="s">
        <v>23</v>
      </c>
      <c r="D7" s="7" t="s">
        <v>24</v>
      </c>
      <c r="E7" s="8">
        <f t="shared" si="0"/>
        <v>36.199095022624441</v>
      </c>
      <c r="F7" s="9">
        <v>8</v>
      </c>
      <c r="G7" s="10">
        <v>221</v>
      </c>
      <c r="H7" s="11"/>
      <c r="J7" s="7" t="s">
        <v>25</v>
      </c>
      <c r="K7" s="15">
        <f t="shared" ref="K7:L7" si="7">+SUM(F243:F253)</f>
        <v>157</v>
      </c>
      <c r="L7" s="15">
        <f t="shared" si="7"/>
        <v>9314</v>
      </c>
      <c r="M7" s="13">
        <f t="shared" si="2"/>
        <v>16.856345286665235</v>
      </c>
      <c r="N7" s="14"/>
    </row>
    <row r="8" spans="1:28" ht="14.4">
      <c r="A8" s="6">
        <v>10302</v>
      </c>
      <c r="B8" s="7" t="s">
        <v>11</v>
      </c>
      <c r="C8" s="7" t="s">
        <v>23</v>
      </c>
      <c r="D8" s="7" t="s">
        <v>26</v>
      </c>
      <c r="E8" s="8">
        <f t="shared" si="0"/>
        <v>58.18181818181818</v>
      </c>
      <c r="F8" s="9">
        <v>16</v>
      </c>
      <c r="G8" s="10">
        <v>275</v>
      </c>
      <c r="H8" s="11"/>
      <c r="J8" s="7" t="s">
        <v>27</v>
      </c>
      <c r="K8" s="15">
        <f t="shared" ref="K8:L8" si="8">+SUM(F254:F309)</f>
        <v>965</v>
      </c>
      <c r="L8" s="15">
        <f t="shared" si="8"/>
        <v>62306</v>
      </c>
      <c r="M8" s="13">
        <f t="shared" si="2"/>
        <v>15.488074984752673</v>
      </c>
      <c r="N8" s="14"/>
    </row>
    <row r="9" spans="1:28" ht="14.4">
      <c r="A9" s="6">
        <v>10303</v>
      </c>
      <c r="B9" s="7" t="s">
        <v>11</v>
      </c>
      <c r="C9" s="7" t="s">
        <v>23</v>
      </c>
      <c r="D9" s="7" t="s">
        <v>28</v>
      </c>
      <c r="E9" s="8">
        <f t="shared" si="0"/>
        <v>53.030303030303031</v>
      </c>
      <c r="F9" s="9">
        <v>7</v>
      </c>
      <c r="G9" s="10">
        <v>132</v>
      </c>
      <c r="H9" s="11"/>
      <c r="J9" s="7" t="s">
        <v>29</v>
      </c>
      <c r="K9" s="15">
        <f t="shared" ref="K9:L9" si="9">+SUM(F310:F329)</f>
        <v>322</v>
      </c>
      <c r="L9" s="15">
        <f t="shared" si="9"/>
        <v>12026</v>
      </c>
      <c r="M9" s="13">
        <f t="shared" si="2"/>
        <v>26.775320139697321</v>
      </c>
      <c r="N9" s="14"/>
    </row>
    <row r="10" spans="1:28" ht="14.4">
      <c r="A10" s="6">
        <v>10304</v>
      </c>
      <c r="B10" s="7" t="s">
        <v>11</v>
      </c>
      <c r="C10" s="7" t="s">
        <v>23</v>
      </c>
      <c r="D10" s="7" t="s">
        <v>30</v>
      </c>
      <c r="E10" s="8">
        <f t="shared" si="0"/>
        <v>14.388489208633095</v>
      </c>
      <c r="F10" s="9">
        <v>2</v>
      </c>
      <c r="G10" s="10">
        <v>139</v>
      </c>
      <c r="H10" s="11"/>
      <c r="J10" s="67" t="s">
        <v>31</v>
      </c>
      <c r="K10" s="68">
        <f>+SUM(F330:F344)</f>
        <v>15</v>
      </c>
      <c r="L10" s="68">
        <f t="shared" ref="L10" si="10">+SUM(G330:G344)</f>
        <v>3404</v>
      </c>
      <c r="M10" s="69">
        <f t="shared" si="2"/>
        <v>4.4065804935370156</v>
      </c>
      <c r="N10" s="14"/>
    </row>
    <row r="11" spans="1:28" ht="14.4">
      <c r="A11" s="6">
        <v>10401</v>
      </c>
      <c r="B11" s="7" t="s">
        <v>11</v>
      </c>
      <c r="C11" s="7" t="s">
        <v>32</v>
      </c>
      <c r="D11" s="7" t="s">
        <v>33</v>
      </c>
      <c r="E11" s="8">
        <f t="shared" si="0"/>
        <v>37.634408602150536</v>
      </c>
      <c r="F11" s="9">
        <v>7</v>
      </c>
      <c r="G11" s="10">
        <v>186</v>
      </c>
      <c r="H11" s="11"/>
      <c r="J11" s="61" t="s">
        <v>34</v>
      </c>
      <c r="K11" s="70">
        <f t="shared" ref="K11:L11" si="11">SUM(K2:K10)</f>
        <v>5361</v>
      </c>
      <c r="L11" s="71">
        <f t="shared" si="11"/>
        <v>219328</v>
      </c>
      <c r="M11" s="72">
        <f t="shared" si="2"/>
        <v>24.442843594981031</v>
      </c>
      <c r="N11" s="66"/>
    </row>
    <row r="12" spans="1:28" ht="14.4">
      <c r="A12" s="6">
        <v>10402</v>
      </c>
      <c r="B12" s="7" t="s">
        <v>11</v>
      </c>
      <c r="C12" s="7" t="s">
        <v>32</v>
      </c>
      <c r="D12" s="7" t="s">
        <v>32</v>
      </c>
      <c r="E12" s="8">
        <f t="shared" si="0"/>
        <v>30.303030303030305</v>
      </c>
      <c r="F12" s="9">
        <v>6</v>
      </c>
      <c r="G12" s="10">
        <v>198</v>
      </c>
      <c r="H12" s="11"/>
      <c r="J12" s="61" t="s">
        <v>323</v>
      </c>
      <c r="K12" s="73">
        <v>69</v>
      </c>
      <c r="L12" s="73">
        <v>3036</v>
      </c>
      <c r="M12" s="72">
        <f t="shared" si="2"/>
        <v>22.727272727272727</v>
      </c>
    </row>
    <row r="13" spans="1:28" ht="14.4">
      <c r="A13" s="6">
        <v>10403</v>
      </c>
      <c r="B13" s="7" t="s">
        <v>11</v>
      </c>
      <c r="C13" s="7" t="s">
        <v>32</v>
      </c>
      <c r="D13" s="7" t="s">
        <v>35</v>
      </c>
      <c r="E13" s="8">
        <f t="shared" si="0"/>
        <v>15.503875968992247</v>
      </c>
      <c r="F13" s="9">
        <v>2</v>
      </c>
      <c r="G13" s="10">
        <v>129</v>
      </c>
      <c r="H13" s="11"/>
      <c r="L13" s="18"/>
    </row>
    <row r="14" spans="1:28" ht="14.4">
      <c r="A14" s="6">
        <v>10404</v>
      </c>
      <c r="B14" s="7" t="s">
        <v>11</v>
      </c>
      <c r="C14" s="7" t="s">
        <v>32</v>
      </c>
      <c r="D14" s="7" t="s">
        <v>36</v>
      </c>
      <c r="E14" s="8">
        <f t="shared" si="0"/>
        <v>0</v>
      </c>
      <c r="F14" s="9">
        <v>0</v>
      </c>
      <c r="G14" s="10">
        <v>64</v>
      </c>
      <c r="H14" s="11"/>
    </row>
    <row r="15" spans="1:28" ht="14.4">
      <c r="A15" s="6">
        <v>10405</v>
      </c>
      <c r="B15" s="7" t="s">
        <v>11</v>
      </c>
      <c r="C15" s="7" t="s">
        <v>32</v>
      </c>
      <c r="D15" s="7" t="s">
        <v>37</v>
      </c>
      <c r="E15" s="8">
        <f t="shared" si="0"/>
        <v>28.985507246376812</v>
      </c>
      <c r="F15" s="9">
        <v>2</v>
      </c>
      <c r="G15" s="10">
        <v>69</v>
      </c>
      <c r="H15" s="11"/>
    </row>
    <row r="16" spans="1:28" ht="14.4">
      <c r="A16" s="6">
        <v>10501</v>
      </c>
      <c r="B16" s="7" t="s">
        <v>11</v>
      </c>
      <c r="C16" s="7" t="s">
        <v>38</v>
      </c>
      <c r="D16" s="7" t="s">
        <v>39</v>
      </c>
      <c r="E16" s="8">
        <f t="shared" si="0"/>
        <v>35.78947368421052</v>
      </c>
      <c r="F16" s="9">
        <v>17</v>
      </c>
      <c r="G16" s="10">
        <v>475</v>
      </c>
      <c r="H16" s="11"/>
    </row>
    <row r="17" spans="1:8" ht="14.4">
      <c r="A17" s="6">
        <v>10502</v>
      </c>
      <c r="B17" s="7" t="s">
        <v>11</v>
      </c>
      <c r="C17" s="7" t="s">
        <v>38</v>
      </c>
      <c r="D17" s="7" t="s">
        <v>40</v>
      </c>
      <c r="E17" s="8">
        <f t="shared" si="0"/>
        <v>12.048192771084338</v>
      </c>
      <c r="F17" s="9">
        <v>2</v>
      </c>
      <c r="G17" s="10">
        <v>166</v>
      </c>
      <c r="H17" s="11"/>
    </row>
    <row r="18" spans="1:8" ht="14.4">
      <c r="A18" s="6">
        <v>10601</v>
      </c>
      <c r="B18" s="7" t="s">
        <v>11</v>
      </c>
      <c r="C18" s="7" t="s">
        <v>41</v>
      </c>
      <c r="D18" s="7" t="s">
        <v>42</v>
      </c>
      <c r="E18" s="8">
        <f t="shared" si="0"/>
        <v>42.071197411003233</v>
      </c>
      <c r="F18" s="9">
        <v>13</v>
      </c>
      <c r="G18" s="10">
        <v>309</v>
      </c>
      <c r="H18" s="11"/>
    </row>
    <row r="19" spans="1:8" ht="14.4">
      <c r="A19" s="6">
        <v>10602</v>
      </c>
      <c r="B19" s="7" t="s">
        <v>11</v>
      </c>
      <c r="C19" s="7" t="s">
        <v>41</v>
      </c>
      <c r="D19" s="7" t="s">
        <v>41</v>
      </c>
      <c r="E19" s="8">
        <f t="shared" si="0"/>
        <v>13.157894736842104</v>
      </c>
      <c r="F19" s="9">
        <v>2</v>
      </c>
      <c r="G19" s="10">
        <v>152</v>
      </c>
      <c r="H19" s="11"/>
    </row>
    <row r="20" spans="1:8" ht="14.4">
      <c r="A20" s="6">
        <v>10701</v>
      </c>
      <c r="B20" s="7" t="s">
        <v>11</v>
      </c>
      <c r="C20" s="7" t="s">
        <v>43</v>
      </c>
      <c r="D20" s="7" t="s">
        <v>44</v>
      </c>
      <c r="E20" s="8">
        <f t="shared" si="0"/>
        <v>10.452961672473869</v>
      </c>
      <c r="F20" s="9">
        <v>3</v>
      </c>
      <c r="G20" s="10">
        <v>287</v>
      </c>
      <c r="H20" s="11"/>
    </row>
    <row r="21" spans="1:8" ht="15.75" customHeight="1">
      <c r="A21" s="6">
        <v>10702</v>
      </c>
      <c r="B21" s="7" t="s">
        <v>11</v>
      </c>
      <c r="C21" s="7" t="s">
        <v>43</v>
      </c>
      <c r="D21" s="7" t="s">
        <v>45</v>
      </c>
      <c r="E21" s="8">
        <f t="shared" si="0"/>
        <v>31.563845050215207</v>
      </c>
      <c r="F21" s="9">
        <v>22</v>
      </c>
      <c r="G21" s="10">
        <v>697</v>
      </c>
      <c r="H21" s="11"/>
    </row>
    <row r="22" spans="1:8" ht="15.75" customHeight="1">
      <c r="A22" s="6">
        <v>10703</v>
      </c>
      <c r="B22" s="7" t="s">
        <v>11</v>
      </c>
      <c r="C22" s="7" t="s">
        <v>43</v>
      </c>
      <c r="D22" s="7" t="s">
        <v>46</v>
      </c>
      <c r="E22" s="8">
        <f t="shared" si="0"/>
        <v>26.470588235294116</v>
      </c>
      <c r="F22" s="9">
        <v>9</v>
      </c>
      <c r="G22" s="10">
        <v>340</v>
      </c>
      <c r="H22" s="11"/>
    </row>
    <row r="23" spans="1:8" ht="15.75" customHeight="1">
      <c r="A23" s="6">
        <v>10704</v>
      </c>
      <c r="B23" s="7" t="s">
        <v>11</v>
      </c>
      <c r="C23" s="7" t="s">
        <v>43</v>
      </c>
      <c r="D23" s="7" t="s">
        <v>47</v>
      </c>
      <c r="E23" s="8">
        <f t="shared" si="0"/>
        <v>41.56479217603912</v>
      </c>
      <c r="F23" s="9">
        <v>17</v>
      </c>
      <c r="G23" s="10">
        <v>409</v>
      </c>
      <c r="H23" s="11"/>
    </row>
    <row r="24" spans="1:8" ht="15.75" customHeight="1">
      <c r="A24" s="6">
        <v>10801</v>
      </c>
      <c r="B24" s="7" t="s">
        <v>11</v>
      </c>
      <c r="C24" s="7" t="s">
        <v>48</v>
      </c>
      <c r="D24" s="7" t="s">
        <v>49</v>
      </c>
      <c r="E24" s="8">
        <f t="shared" si="0"/>
        <v>5</v>
      </c>
      <c r="F24" s="9">
        <v>1</v>
      </c>
      <c r="G24" s="10">
        <v>200</v>
      </c>
      <c r="H24" s="11"/>
    </row>
    <row r="25" spans="1:8" ht="15.75" customHeight="1">
      <c r="A25" s="6">
        <v>10901</v>
      </c>
      <c r="B25" s="7" t="s">
        <v>11</v>
      </c>
      <c r="C25" s="7" t="s">
        <v>50</v>
      </c>
      <c r="D25" s="7" t="s">
        <v>51</v>
      </c>
      <c r="E25" s="8">
        <f t="shared" si="0"/>
        <v>15.151515151515152</v>
      </c>
      <c r="F25" s="9">
        <v>1</v>
      </c>
      <c r="G25" s="10">
        <v>66</v>
      </c>
      <c r="H25" s="11"/>
    </row>
    <row r="26" spans="1:8" ht="15.75" customHeight="1">
      <c r="A26" s="6">
        <v>10902</v>
      </c>
      <c r="B26" s="7" t="s">
        <v>11</v>
      </c>
      <c r="C26" s="7" t="s">
        <v>50</v>
      </c>
      <c r="D26" s="7" t="s">
        <v>52</v>
      </c>
      <c r="E26" s="8">
        <f t="shared" si="0"/>
        <v>17.073170731707318</v>
      </c>
      <c r="F26" s="9">
        <v>7</v>
      </c>
      <c r="G26" s="10">
        <v>410</v>
      </c>
      <c r="H26" s="11"/>
    </row>
    <row r="27" spans="1:8" ht="15.75" customHeight="1">
      <c r="A27" s="6">
        <v>10903</v>
      </c>
      <c r="B27" s="7" t="s">
        <v>11</v>
      </c>
      <c r="C27" s="7" t="s">
        <v>50</v>
      </c>
      <c r="D27" s="7" t="s">
        <v>53</v>
      </c>
      <c r="E27" s="8">
        <f t="shared" si="0"/>
        <v>14.492753623188406</v>
      </c>
      <c r="F27" s="9">
        <v>1</v>
      </c>
      <c r="G27" s="10">
        <v>69</v>
      </c>
      <c r="H27" s="11"/>
    </row>
    <row r="28" spans="1:8" ht="15.75" customHeight="1">
      <c r="A28" s="6">
        <v>11001</v>
      </c>
      <c r="B28" s="7" t="s">
        <v>11</v>
      </c>
      <c r="C28" s="7" t="s">
        <v>54</v>
      </c>
      <c r="D28" s="7" t="s">
        <v>55</v>
      </c>
      <c r="E28" s="8">
        <f t="shared" si="0"/>
        <v>19.417475728155338</v>
      </c>
      <c r="F28" s="9">
        <v>4</v>
      </c>
      <c r="G28" s="10">
        <v>206</v>
      </c>
      <c r="H28" s="11"/>
    </row>
    <row r="29" spans="1:8" ht="15.75" customHeight="1">
      <c r="A29" s="6">
        <v>11002</v>
      </c>
      <c r="B29" s="7" t="s">
        <v>11</v>
      </c>
      <c r="C29" s="7" t="s">
        <v>54</v>
      </c>
      <c r="D29" s="7" t="s">
        <v>56</v>
      </c>
      <c r="E29" s="8">
        <f t="shared" si="0"/>
        <v>16.949152542372882</v>
      </c>
      <c r="F29" s="9">
        <v>1</v>
      </c>
      <c r="G29" s="10">
        <v>59</v>
      </c>
      <c r="H29" s="11"/>
    </row>
    <row r="30" spans="1:8" ht="15.75" customHeight="1">
      <c r="A30" s="6">
        <v>11003</v>
      </c>
      <c r="B30" s="7" t="s">
        <v>11</v>
      </c>
      <c r="C30" s="7" t="s">
        <v>54</v>
      </c>
      <c r="D30" s="7" t="s">
        <v>57</v>
      </c>
      <c r="E30" s="8">
        <f t="shared" si="0"/>
        <v>6.9930069930069934</v>
      </c>
      <c r="F30" s="9">
        <v>1</v>
      </c>
      <c r="G30" s="10">
        <v>143</v>
      </c>
      <c r="H30" s="11"/>
    </row>
    <row r="31" spans="1:8" ht="15.75" customHeight="1">
      <c r="A31" s="6">
        <v>20101</v>
      </c>
      <c r="B31" s="7" t="s">
        <v>15</v>
      </c>
      <c r="C31" s="7" t="s">
        <v>58</v>
      </c>
      <c r="D31" s="7" t="s">
        <v>59</v>
      </c>
      <c r="E31" s="8">
        <f t="shared" si="0"/>
        <v>31.257362758187384</v>
      </c>
      <c r="F31" s="9">
        <v>398</v>
      </c>
      <c r="G31" s="10">
        <v>12733</v>
      </c>
      <c r="H31" s="11"/>
    </row>
    <row r="32" spans="1:8" ht="15.75" customHeight="1">
      <c r="A32" s="6">
        <v>20102</v>
      </c>
      <c r="B32" s="7" t="s">
        <v>15</v>
      </c>
      <c r="C32" s="7" t="s">
        <v>58</v>
      </c>
      <c r="D32" s="7" t="s">
        <v>60</v>
      </c>
      <c r="E32" s="8">
        <f t="shared" si="0"/>
        <v>61.170212765957444</v>
      </c>
      <c r="F32" s="9">
        <v>23</v>
      </c>
      <c r="G32" s="10">
        <v>376</v>
      </c>
      <c r="H32" s="11"/>
    </row>
    <row r="33" spans="1:8" ht="15.75" customHeight="1">
      <c r="A33" s="6">
        <v>20103</v>
      </c>
      <c r="B33" s="7" t="s">
        <v>15</v>
      </c>
      <c r="C33" s="7" t="s">
        <v>58</v>
      </c>
      <c r="D33" s="7" t="s">
        <v>61</v>
      </c>
      <c r="E33" s="8">
        <f t="shared" si="0"/>
        <v>37.542662116040958</v>
      </c>
      <c r="F33" s="9">
        <v>11</v>
      </c>
      <c r="G33" s="10">
        <v>293</v>
      </c>
      <c r="H33" s="11"/>
    </row>
    <row r="34" spans="1:8" ht="15.75" customHeight="1">
      <c r="A34" s="6">
        <v>20104</v>
      </c>
      <c r="B34" s="7" t="s">
        <v>15</v>
      </c>
      <c r="C34" s="7" t="s">
        <v>58</v>
      </c>
      <c r="D34" s="7" t="s">
        <v>62</v>
      </c>
      <c r="E34" s="8">
        <f t="shared" si="0"/>
        <v>53.533190578158461</v>
      </c>
      <c r="F34" s="9">
        <v>25</v>
      </c>
      <c r="G34" s="10">
        <v>467</v>
      </c>
      <c r="H34" s="11"/>
    </row>
    <row r="35" spans="1:8" ht="15.75" customHeight="1">
      <c r="A35" s="6">
        <v>20105</v>
      </c>
      <c r="B35" s="7" t="s">
        <v>15</v>
      </c>
      <c r="C35" s="7" t="s">
        <v>58</v>
      </c>
      <c r="D35" s="7" t="s">
        <v>63</v>
      </c>
      <c r="E35" s="8">
        <f t="shared" si="0"/>
        <v>29.95727831614046</v>
      </c>
      <c r="F35" s="9">
        <v>575</v>
      </c>
      <c r="G35" s="10">
        <v>19194</v>
      </c>
      <c r="H35" s="11"/>
    </row>
    <row r="36" spans="1:8" ht="15.75" customHeight="1">
      <c r="A36" s="6">
        <v>20201</v>
      </c>
      <c r="B36" s="7" t="s">
        <v>15</v>
      </c>
      <c r="C36" s="7" t="s">
        <v>64</v>
      </c>
      <c r="D36" s="7" t="s">
        <v>65</v>
      </c>
      <c r="E36" s="8">
        <f t="shared" si="0"/>
        <v>3.7878787878787881</v>
      </c>
      <c r="F36" s="9">
        <v>3</v>
      </c>
      <c r="G36" s="10">
        <v>792</v>
      </c>
      <c r="H36" s="11"/>
    </row>
    <row r="37" spans="1:8" ht="15.75" customHeight="1">
      <c r="A37" s="6">
        <v>20202</v>
      </c>
      <c r="B37" s="7" t="s">
        <v>15</v>
      </c>
      <c r="C37" s="7" t="s">
        <v>64</v>
      </c>
      <c r="D37" s="7" t="s">
        <v>66</v>
      </c>
      <c r="E37" s="8">
        <f t="shared" si="0"/>
        <v>32.11009174311927</v>
      </c>
      <c r="F37" s="9">
        <v>7</v>
      </c>
      <c r="G37" s="10">
        <v>218</v>
      </c>
      <c r="H37" s="11"/>
    </row>
    <row r="38" spans="1:8" ht="15.75" customHeight="1">
      <c r="A38" s="6">
        <v>20203</v>
      </c>
      <c r="B38" s="7" t="s">
        <v>15</v>
      </c>
      <c r="C38" s="7" t="s">
        <v>64</v>
      </c>
      <c r="D38" s="7" t="s">
        <v>67</v>
      </c>
      <c r="E38" s="8">
        <f t="shared" si="0"/>
        <v>30.303030303030305</v>
      </c>
      <c r="F38" s="9">
        <v>3</v>
      </c>
      <c r="G38" s="10">
        <v>99</v>
      </c>
      <c r="H38" s="11"/>
    </row>
    <row r="39" spans="1:8" ht="15.75" customHeight="1">
      <c r="A39" s="6">
        <v>20204</v>
      </c>
      <c r="B39" s="7" t="s">
        <v>15</v>
      </c>
      <c r="C39" s="7" t="s">
        <v>64</v>
      </c>
      <c r="D39" s="7" t="s">
        <v>68</v>
      </c>
      <c r="E39" s="8">
        <f t="shared" si="0"/>
        <v>36.36363636363636</v>
      </c>
      <c r="F39" s="9">
        <v>4</v>
      </c>
      <c r="G39" s="10">
        <v>110</v>
      </c>
      <c r="H39" s="11"/>
    </row>
    <row r="40" spans="1:8" ht="15.75" customHeight="1">
      <c r="A40" s="6">
        <v>20205</v>
      </c>
      <c r="B40" s="7" t="s">
        <v>15</v>
      </c>
      <c r="C40" s="7" t="s">
        <v>64</v>
      </c>
      <c r="D40" s="7" t="s">
        <v>69</v>
      </c>
      <c r="E40" s="8">
        <f t="shared" si="0"/>
        <v>0</v>
      </c>
      <c r="F40" s="9">
        <v>0</v>
      </c>
      <c r="G40" s="10">
        <v>58</v>
      </c>
      <c r="H40" s="11"/>
    </row>
    <row r="41" spans="1:8" ht="15.75" customHeight="1">
      <c r="A41" s="6">
        <v>20206</v>
      </c>
      <c r="B41" s="7" t="s">
        <v>15</v>
      </c>
      <c r="C41" s="7" t="s">
        <v>64</v>
      </c>
      <c r="D41" s="7" t="s">
        <v>70</v>
      </c>
      <c r="E41" s="8">
        <f t="shared" si="0"/>
        <v>27.027027027027028</v>
      </c>
      <c r="F41" s="9">
        <v>2</v>
      </c>
      <c r="G41" s="10">
        <v>74</v>
      </c>
      <c r="H41" s="11"/>
    </row>
    <row r="42" spans="1:8" ht="15.75" customHeight="1">
      <c r="A42" s="6">
        <v>20301</v>
      </c>
      <c r="B42" s="7" t="s">
        <v>15</v>
      </c>
      <c r="C42" s="7" t="s">
        <v>71</v>
      </c>
      <c r="D42" s="7" t="s">
        <v>72</v>
      </c>
      <c r="E42" s="8">
        <f t="shared" si="0"/>
        <v>11.173184357541899</v>
      </c>
      <c r="F42" s="9">
        <v>2</v>
      </c>
      <c r="G42" s="10">
        <v>179</v>
      </c>
      <c r="H42" s="11"/>
    </row>
    <row r="43" spans="1:8" ht="15.75" customHeight="1">
      <c r="A43" s="6">
        <v>20302</v>
      </c>
      <c r="B43" s="7" t="s">
        <v>15</v>
      </c>
      <c r="C43" s="7" t="s">
        <v>71</v>
      </c>
      <c r="D43" s="7" t="s">
        <v>73</v>
      </c>
      <c r="E43" s="8">
        <f t="shared" si="0"/>
        <v>16</v>
      </c>
      <c r="F43" s="9">
        <v>4</v>
      </c>
      <c r="G43" s="10">
        <v>250</v>
      </c>
      <c r="H43" s="11"/>
    </row>
    <row r="44" spans="1:8" ht="15.75" customHeight="1">
      <c r="A44" s="6">
        <v>20303</v>
      </c>
      <c r="B44" s="7" t="s">
        <v>15</v>
      </c>
      <c r="C44" s="7" t="s">
        <v>71</v>
      </c>
      <c r="D44" s="7" t="s">
        <v>74</v>
      </c>
      <c r="E44" s="8">
        <f t="shared" si="0"/>
        <v>0</v>
      </c>
      <c r="F44" s="9">
        <v>0</v>
      </c>
      <c r="G44" s="10">
        <v>173</v>
      </c>
      <c r="H44" s="11"/>
    </row>
    <row r="45" spans="1:8" ht="15.75" customHeight="1">
      <c r="A45" s="6">
        <v>20304</v>
      </c>
      <c r="B45" s="7" t="s">
        <v>15</v>
      </c>
      <c r="C45" s="7" t="s">
        <v>71</v>
      </c>
      <c r="D45" s="7" t="s">
        <v>75</v>
      </c>
      <c r="E45" s="8">
        <f t="shared" si="0"/>
        <v>0</v>
      </c>
      <c r="F45" s="9">
        <v>0</v>
      </c>
      <c r="G45" s="10">
        <v>68</v>
      </c>
      <c r="H45" s="11"/>
    </row>
    <row r="46" spans="1:8" ht="15.75" customHeight="1">
      <c r="A46" s="6">
        <v>20305</v>
      </c>
      <c r="B46" s="7" t="s">
        <v>15</v>
      </c>
      <c r="C46" s="7" t="s">
        <v>71</v>
      </c>
      <c r="D46" s="7" t="s">
        <v>76</v>
      </c>
      <c r="E46" s="8">
        <f t="shared" si="0"/>
        <v>0</v>
      </c>
      <c r="F46" s="9">
        <v>0</v>
      </c>
      <c r="G46" s="10">
        <v>62</v>
      </c>
      <c r="H46" s="11"/>
    </row>
    <row r="47" spans="1:8" ht="15.75" customHeight="1">
      <c r="A47" s="6">
        <v>20306</v>
      </c>
      <c r="B47" s="7" t="s">
        <v>15</v>
      </c>
      <c r="C47" s="7" t="s">
        <v>71</v>
      </c>
      <c r="D47" s="7" t="s">
        <v>77</v>
      </c>
      <c r="E47" s="8">
        <f t="shared" si="0"/>
        <v>19.417475728155338</v>
      </c>
      <c r="F47" s="9">
        <v>2</v>
      </c>
      <c r="G47" s="10">
        <v>103</v>
      </c>
      <c r="H47" s="11"/>
    </row>
    <row r="48" spans="1:8" ht="15.75" customHeight="1">
      <c r="A48" s="6">
        <v>20307</v>
      </c>
      <c r="B48" s="7" t="s">
        <v>15</v>
      </c>
      <c r="C48" s="7" t="s">
        <v>71</v>
      </c>
      <c r="D48" s="7" t="s">
        <v>78</v>
      </c>
      <c r="E48" s="8">
        <f t="shared" si="0"/>
        <v>0</v>
      </c>
      <c r="F48" s="9">
        <v>0</v>
      </c>
      <c r="G48" s="10">
        <v>13</v>
      </c>
      <c r="H48" s="11"/>
    </row>
    <row r="49" spans="1:8" ht="15.75" customHeight="1">
      <c r="A49" s="6">
        <v>20308</v>
      </c>
      <c r="B49" s="7" t="s">
        <v>15</v>
      </c>
      <c r="C49" s="7" t="s">
        <v>71</v>
      </c>
      <c r="D49" s="7" t="s">
        <v>79</v>
      </c>
      <c r="E49" s="8">
        <f t="shared" si="0"/>
        <v>0</v>
      </c>
      <c r="F49" s="9">
        <v>0</v>
      </c>
      <c r="G49" s="10">
        <v>101</v>
      </c>
      <c r="H49" s="11"/>
    </row>
    <row r="50" spans="1:8" ht="15.75" customHeight="1">
      <c r="A50" s="6">
        <v>20401</v>
      </c>
      <c r="B50" s="7" t="s">
        <v>15</v>
      </c>
      <c r="C50" s="7" t="s">
        <v>80</v>
      </c>
      <c r="D50" s="7" t="s">
        <v>81</v>
      </c>
      <c r="E50" s="8">
        <f t="shared" si="0"/>
        <v>38.216560509554135</v>
      </c>
      <c r="F50" s="9">
        <v>6</v>
      </c>
      <c r="G50" s="10">
        <v>157</v>
      </c>
      <c r="H50" s="11"/>
    </row>
    <row r="51" spans="1:8" ht="15.75" customHeight="1">
      <c r="A51" s="6">
        <v>20402</v>
      </c>
      <c r="B51" s="7" t="s">
        <v>15</v>
      </c>
      <c r="C51" s="7" t="s">
        <v>80</v>
      </c>
      <c r="D51" s="7" t="s">
        <v>82</v>
      </c>
      <c r="E51" s="8">
        <f t="shared" si="0"/>
        <v>52.434456928838955</v>
      </c>
      <c r="F51" s="9">
        <v>14</v>
      </c>
      <c r="G51" s="10">
        <v>267</v>
      </c>
      <c r="H51" s="11"/>
    </row>
    <row r="52" spans="1:8" ht="15.75" customHeight="1">
      <c r="A52" s="6">
        <v>20403</v>
      </c>
      <c r="B52" s="7" t="s">
        <v>15</v>
      </c>
      <c r="C52" s="7" t="s">
        <v>80</v>
      </c>
      <c r="D52" s="7" t="s">
        <v>83</v>
      </c>
      <c r="E52" s="8">
        <f t="shared" si="0"/>
        <v>61.135371179039296</v>
      </c>
      <c r="F52" s="9">
        <v>14</v>
      </c>
      <c r="G52" s="10">
        <v>229</v>
      </c>
      <c r="H52" s="11"/>
    </row>
    <row r="53" spans="1:8" ht="15.75" customHeight="1">
      <c r="A53" s="6">
        <v>20404</v>
      </c>
      <c r="B53" s="7" t="s">
        <v>15</v>
      </c>
      <c r="C53" s="7" t="s">
        <v>80</v>
      </c>
      <c r="D53" s="7" t="s">
        <v>84</v>
      </c>
      <c r="E53" s="8">
        <f t="shared" si="0"/>
        <v>87.378640776699029</v>
      </c>
      <c r="F53" s="9">
        <v>9</v>
      </c>
      <c r="G53" s="10">
        <v>103</v>
      </c>
      <c r="H53" s="11"/>
    </row>
    <row r="54" spans="1:8" ht="15.75" customHeight="1">
      <c r="A54" s="6">
        <v>20405</v>
      </c>
      <c r="B54" s="7" t="s">
        <v>15</v>
      </c>
      <c r="C54" s="7" t="s">
        <v>80</v>
      </c>
      <c r="D54" s="7" t="s">
        <v>85</v>
      </c>
      <c r="E54" s="8">
        <f t="shared" si="0"/>
        <v>33.333333333333336</v>
      </c>
      <c r="F54" s="9">
        <v>3</v>
      </c>
      <c r="G54" s="10">
        <v>90</v>
      </c>
      <c r="H54" s="11"/>
    </row>
    <row r="55" spans="1:8" ht="15.75" customHeight="1">
      <c r="A55" s="6">
        <v>20501</v>
      </c>
      <c r="B55" s="7" t="s">
        <v>15</v>
      </c>
      <c r="C55" s="7" t="s">
        <v>86</v>
      </c>
      <c r="D55" s="7" t="s">
        <v>87</v>
      </c>
      <c r="E55" s="8">
        <f t="shared" si="0"/>
        <v>30.042918454935624</v>
      </c>
      <c r="F55" s="9">
        <v>7</v>
      </c>
      <c r="G55" s="10">
        <v>233</v>
      </c>
      <c r="H55" s="11"/>
    </row>
    <row r="56" spans="1:8" ht="15.75" customHeight="1">
      <c r="A56" s="6">
        <v>20502</v>
      </c>
      <c r="B56" s="7" t="s">
        <v>15</v>
      </c>
      <c r="C56" s="7" t="s">
        <v>86</v>
      </c>
      <c r="D56" s="7" t="s">
        <v>88</v>
      </c>
      <c r="E56" s="8">
        <f t="shared" si="0"/>
        <v>47.846889952153113</v>
      </c>
      <c r="F56" s="9">
        <v>10</v>
      </c>
      <c r="G56" s="10">
        <v>209</v>
      </c>
      <c r="H56" s="11"/>
    </row>
    <row r="57" spans="1:8" ht="15.75" customHeight="1">
      <c r="A57" s="6">
        <v>20503</v>
      </c>
      <c r="B57" s="7" t="s">
        <v>15</v>
      </c>
      <c r="C57" s="7" t="s">
        <v>86</v>
      </c>
      <c r="D57" s="7" t="s">
        <v>89</v>
      </c>
      <c r="E57" s="8">
        <f t="shared" si="0"/>
        <v>38.095238095238102</v>
      </c>
      <c r="F57" s="9">
        <v>4</v>
      </c>
      <c r="G57" s="10">
        <v>105</v>
      </c>
      <c r="H57" s="11"/>
    </row>
    <row r="58" spans="1:8" ht="15.75" customHeight="1">
      <c r="A58" s="6">
        <v>20601</v>
      </c>
      <c r="B58" s="7" t="s">
        <v>15</v>
      </c>
      <c r="C58" s="7" t="s">
        <v>90</v>
      </c>
      <c r="D58" s="7" t="s">
        <v>91</v>
      </c>
      <c r="E58" s="8">
        <f t="shared" si="0"/>
        <v>43.478260869565219</v>
      </c>
      <c r="F58" s="9">
        <v>20</v>
      </c>
      <c r="G58" s="10">
        <v>460</v>
      </c>
      <c r="H58" s="11"/>
    </row>
    <row r="59" spans="1:8" ht="15.75" customHeight="1">
      <c r="A59" s="6">
        <v>20602</v>
      </c>
      <c r="B59" s="7" t="s">
        <v>15</v>
      </c>
      <c r="C59" s="7" t="s">
        <v>90</v>
      </c>
      <c r="D59" s="7" t="s">
        <v>92</v>
      </c>
      <c r="E59" s="8">
        <f t="shared" si="0"/>
        <v>77.881619937694694</v>
      </c>
      <c r="F59" s="9">
        <v>25</v>
      </c>
      <c r="G59" s="10">
        <v>321</v>
      </c>
      <c r="H59" s="11"/>
    </row>
    <row r="60" spans="1:8" ht="15.75" customHeight="1">
      <c r="A60" s="6">
        <v>20603</v>
      </c>
      <c r="B60" s="7" t="s">
        <v>15</v>
      </c>
      <c r="C60" s="7" t="s">
        <v>90</v>
      </c>
      <c r="D60" s="7" t="s">
        <v>93</v>
      </c>
      <c r="E60" s="8">
        <f t="shared" si="0"/>
        <v>38.461538461538467</v>
      </c>
      <c r="F60" s="9">
        <v>7</v>
      </c>
      <c r="G60" s="10">
        <v>182</v>
      </c>
      <c r="H60" s="11"/>
    </row>
    <row r="61" spans="1:8" ht="15.75" customHeight="1">
      <c r="A61" s="6">
        <v>20604</v>
      </c>
      <c r="B61" s="7" t="s">
        <v>15</v>
      </c>
      <c r="C61" s="7" t="s">
        <v>90</v>
      </c>
      <c r="D61" s="7" t="s">
        <v>94</v>
      </c>
      <c r="E61" s="8">
        <f t="shared" si="0"/>
        <v>94.339622641509436</v>
      </c>
      <c r="F61" s="9">
        <v>5</v>
      </c>
      <c r="G61" s="10">
        <v>53</v>
      </c>
      <c r="H61" s="11"/>
    </row>
    <row r="62" spans="1:8" ht="15.75" customHeight="1">
      <c r="A62" s="6">
        <v>20605</v>
      </c>
      <c r="B62" s="7" t="s">
        <v>15</v>
      </c>
      <c r="C62" s="7" t="s">
        <v>90</v>
      </c>
      <c r="D62" s="7" t="s">
        <v>95</v>
      </c>
      <c r="E62" s="8">
        <f t="shared" si="0"/>
        <v>39.215686274509807</v>
      </c>
      <c r="F62" s="9">
        <v>2</v>
      </c>
      <c r="G62" s="10">
        <v>51</v>
      </c>
      <c r="H62" s="11"/>
    </row>
    <row r="63" spans="1:8" ht="15.75" customHeight="1">
      <c r="A63" s="6">
        <v>20606</v>
      </c>
      <c r="B63" s="7" t="s">
        <v>15</v>
      </c>
      <c r="C63" s="7" t="s">
        <v>90</v>
      </c>
      <c r="D63" s="7" t="s">
        <v>96</v>
      </c>
      <c r="E63" s="8">
        <f t="shared" si="0"/>
        <v>50.78125</v>
      </c>
      <c r="F63" s="9">
        <v>13</v>
      </c>
      <c r="G63" s="10">
        <v>256</v>
      </c>
      <c r="H63" s="11"/>
    </row>
    <row r="64" spans="1:8" ht="15.75" customHeight="1">
      <c r="A64" s="6">
        <v>20607</v>
      </c>
      <c r="B64" s="7" t="s">
        <v>15</v>
      </c>
      <c r="C64" s="7" t="s">
        <v>90</v>
      </c>
      <c r="D64" s="7" t="s">
        <v>97</v>
      </c>
      <c r="E64" s="8">
        <f t="shared" si="0"/>
        <v>34.759358288770052</v>
      </c>
      <c r="F64" s="9">
        <v>13</v>
      </c>
      <c r="G64" s="10">
        <v>374</v>
      </c>
      <c r="H64" s="11"/>
    </row>
    <row r="65" spans="1:8" ht="15.75" customHeight="1">
      <c r="A65" s="6">
        <v>20608</v>
      </c>
      <c r="B65" s="7" t="s">
        <v>15</v>
      </c>
      <c r="C65" s="7" t="s">
        <v>90</v>
      </c>
      <c r="D65" s="7" t="s">
        <v>98</v>
      </c>
      <c r="E65" s="8">
        <f t="shared" si="0"/>
        <v>37.974683544303801</v>
      </c>
      <c r="F65" s="9">
        <v>9</v>
      </c>
      <c r="G65" s="10">
        <v>237</v>
      </c>
      <c r="H65" s="11"/>
    </row>
    <row r="66" spans="1:8" ht="15.75" customHeight="1">
      <c r="A66" s="6">
        <v>20701</v>
      </c>
      <c r="B66" s="7" t="s">
        <v>15</v>
      </c>
      <c r="C66" s="7" t="s">
        <v>99</v>
      </c>
      <c r="D66" s="7" t="s">
        <v>100</v>
      </c>
      <c r="E66" s="8">
        <f t="shared" si="0"/>
        <v>43.981481481481481</v>
      </c>
      <c r="F66" s="9">
        <v>19</v>
      </c>
      <c r="G66" s="10">
        <v>432</v>
      </c>
      <c r="H66" s="11"/>
    </row>
    <row r="67" spans="1:8" ht="15.75" customHeight="1">
      <c r="A67" s="6">
        <v>20702</v>
      </c>
      <c r="B67" s="7" t="s">
        <v>15</v>
      </c>
      <c r="C67" s="7" t="s">
        <v>99</v>
      </c>
      <c r="D67" s="7" t="s">
        <v>101</v>
      </c>
      <c r="E67" s="8">
        <f t="shared" si="0"/>
        <v>45.161290322580641</v>
      </c>
      <c r="F67" s="9">
        <v>7</v>
      </c>
      <c r="G67" s="10">
        <v>155</v>
      </c>
      <c r="H67" s="11"/>
    </row>
    <row r="68" spans="1:8" ht="15.75" customHeight="1">
      <c r="A68" s="6">
        <v>20801</v>
      </c>
      <c r="B68" s="7" t="s">
        <v>15</v>
      </c>
      <c r="C68" s="7" t="s">
        <v>102</v>
      </c>
      <c r="D68" s="7" t="s">
        <v>103</v>
      </c>
      <c r="E68" s="8">
        <f t="shared" si="0"/>
        <v>37.834997372569632</v>
      </c>
      <c r="F68" s="9">
        <v>72</v>
      </c>
      <c r="G68" s="10">
        <v>1903</v>
      </c>
      <c r="H68" s="11"/>
    </row>
    <row r="69" spans="1:8" ht="15.75" customHeight="1">
      <c r="A69" s="6">
        <v>20802</v>
      </c>
      <c r="B69" s="7" t="s">
        <v>15</v>
      </c>
      <c r="C69" s="7" t="s">
        <v>102</v>
      </c>
      <c r="D69" s="7" t="s">
        <v>104</v>
      </c>
      <c r="E69" s="8">
        <f t="shared" si="0"/>
        <v>45.454545454545453</v>
      </c>
      <c r="F69" s="9">
        <v>5</v>
      </c>
      <c r="G69" s="10">
        <v>110</v>
      </c>
      <c r="H69" s="11"/>
    </row>
    <row r="70" spans="1:8" ht="15.75" customHeight="1">
      <c r="A70" s="6">
        <v>20803</v>
      </c>
      <c r="B70" s="7" t="s">
        <v>15</v>
      </c>
      <c r="C70" s="7" t="s">
        <v>102</v>
      </c>
      <c r="D70" s="7" t="s">
        <v>105</v>
      </c>
      <c r="E70" s="8">
        <f t="shared" si="0"/>
        <v>46.808510638297868</v>
      </c>
      <c r="F70" s="9">
        <v>11</v>
      </c>
      <c r="G70" s="10">
        <v>235</v>
      </c>
      <c r="H70" s="11"/>
    </row>
    <row r="71" spans="1:8" ht="15.75" customHeight="1">
      <c r="A71" s="6">
        <v>20804</v>
      </c>
      <c r="B71" s="7" t="s">
        <v>15</v>
      </c>
      <c r="C71" s="7" t="s">
        <v>102</v>
      </c>
      <c r="D71" s="7" t="s">
        <v>106</v>
      </c>
      <c r="E71" s="8">
        <f t="shared" si="0"/>
        <v>46.979865771812079</v>
      </c>
      <c r="F71" s="9">
        <v>7</v>
      </c>
      <c r="G71" s="10">
        <v>149</v>
      </c>
      <c r="H71" s="11"/>
    </row>
    <row r="72" spans="1:8" ht="15.75" customHeight="1">
      <c r="A72" s="6">
        <v>20805</v>
      </c>
      <c r="B72" s="7" t="s">
        <v>15</v>
      </c>
      <c r="C72" s="7" t="s">
        <v>102</v>
      </c>
      <c r="D72" s="7" t="s">
        <v>107</v>
      </c>
      <c r="E72" s="8">
        <f t="shared" si="0"/>
        <v>13.157894736842104</v>
      </c>
      <c r="F72" s="9">
        <v>1</v>
      </c>
      <c r="G72" s="10">
        <v>76</v>
      </c>
      <c r="H72" s="11"/>
    </row>
    <row r="73" spans="1:8" ht="15.75" customHeight="1">
      <c r="A73" s="6">
        <v>20806</v>
      </c>
      <c r="B73" s="7" t="s">
        <v>15</v>
      </c>
      <c r="C73" s="7" t="s">
        <v>102</v>
      </c>
      <c r="D73" s="7" t="s">
        <v>108</v>
      </c>
      <c r="E73" s="8">
        <f t="shared" si="0"/>
        <v>39.130434782608695</v>
      </c>
      <c r="F73" s="9">
        <v>9</v>
      </c>
      <c r="G73" s="10">
        <v>230</v>
      </c>
      <c r="H73" s="11"/>
    </row>
    <row r="74" spans="1:8" ht="15.75" customHeight="1">
      <c r="A74" s="6">
        <v>20807</v>
      </c>
      <c r="B74" s="7" t="s">
        <v>15</v>
      </c>
      <c r="C74" s="7" t="s">
        <v>102</v>
      </c>
      <c r="D74" s="7" t="s">
        <v>109</v>
      </c>
      <c r="E74" s="8">
        <f t="shared" si="0"/>
        <v>11.494252873563218</v>
      </c>
      <c r="F74" s="9">
        <v>1</v>
      </c>
      <c r="G74" s="10">
        <v>87</v>
      </c>
      <c r="H74" s="11"/>
    </row>
    <row r="75" spans="1:8" ht="15.75" customHeight="1">
      <c r="A75" s="6">
        <v>20901</v>
      </c>
      <c r="B75" s="7" t="s">
        <v>15</v>
      </c>
      <c r="C75" s="7" t="s">
        <v>110</v>
      </c>
      <c r="D75" s="7" t="s">
        <v>111</v>
      </c>
      <c r="E75" s="8">
        <f t="shared" si="0"/>
        <v>44.117647058823529</v>
      </c>
      <c r="F75" s="9">
        <v>9</v>
      </c>
      <c r="G75" s="10">
        <v>204</v>
      </c>
      <c r="H75" s="11"/>
    </row>
    <row r="76" spans="1:8" ht="15.75" customHeight="1">
      <c r="A76" s="6">
        <v>20902</v>
      </c>
      <c r="B76" s="7" t="s">
        <v>15</v>
      </c>
      <c r="C76" s="7" t="s">
        <v>110</v>
      </c>
      <c r="D76" s="7" t="s">
        <v>112</v>
      </c>
      <c r="E76" s="8">
        <f t="shared" si="0"/>
        <v>34.782608695652172</v>
      </c>
      <c r="F76" s="9">
        <v>8</v>
      </c>
      <c r="G76" s="10">
        <v>230</v>
      </c>
      <c r="H76" s="11"/>
    </row>
    <row r="77" spans="1:8" ht="15.75" customHeight="1">
      <c r="A77" s="6">
        <v>20903</v>
      </c>
      <c r="B77" s="7" t="s">
        <v>15</v>
      </c>
      <c r="C77" s="7" t="s">
        <v>110</v>
      </c>
      <c r="D77" s="7" t="s">
        <v>113</v>
      </c>
      <c r="E77" s="8">
        <f t="shared" si="0"/>
        <v>50.724637681159422</v>
      </c>
      <c r="F77" s="9">
        <v>7</v>
      </c>
      <c r="G77" s="10">
        <v>138</v>
      </c>
      <c r="H77" s="11"/>
    </row>
    <row r="78" spans="1:8" ht="15.75" customHeight="1">
      <c r="A78" s="6">
        <v>20904</v>
      </c>
      <c r="B78" s="7" t="s">
        <v>15</v>
      </c>
      <c r="C78" s="7" t="s">
        <v>110</v>
      </c>
      <c r="D78" s="7" t="s">
        <v>114</v>
      </c>
      <c r="E78" s="8">
        <f t="shared" si="0"/>
        <v>45.454545454545453</v>
      </c>
      <c r="F78" s="9">
        <v>4</v>
      </c>
      <c r="G78" s="10">
        <v>88</v>
      </c>
      <c r="H78" s="11"/>
    </row>
    <row r="79" spans="1:8" ht="15.75" customHeight="1">
      <c r="A79" s="6">
        <v>20905</v>
      </c>
      <c r="B79" s="7" t="s">
        <v>15</v>
      </c>
      <c r="C79" s="7" t="s">
        <v>110</v>
      </c>
      <c r="D79" s="7" t="s">
        <v>115</v>
      </c>
      <c r="E79" s="8">
        <f t="shared" si="0"/>
        <v>69.387755102040813</v>
      </c>
      <c r="F79" s="9">
        <v>17</v>
      </c>
      <c r="G79" s="10">
        <v>245</v>
      </c>
      <c r="H79" s="11"/>
    </row>
    <row r="80" spans="1:8" ht="15.75" customHeight="1">
      <c r="A80" s="6">
        <v>21001</v>
      </c>
      <c r="B80" s="7" t="s">
        <v>15</v>
      </c>
      <c r="C80" s="7" t="s">
        <v>116</v>
      </c>
      <c r="D80" s="7" t="s">
        <v>116</v>
      </c>
      <c r="E80" s="8">
        <f t="shared" si="0"/>
        <v>43.209876543209873</v>
      </c>
      <c r="F80" s="9">
        <v>14</v>
      </c>
      <c r="G80" s="10">
        <v>324</v>
      </c>
      <c r="H80" s="11"/>
    </row>
    <row r="81" spans="1:8" ht="15.75" customHeight="1">
      <c r="A81" s="6">
        <v>21002</v>
      </c>
      <c r="B81" s="7" t="s">
        <v>15</v>
      </c>
      <c r="C81" s="7" t="s">
        <v>116</v>
      </c>
      <c r="D81" s="7" t="s">
        <v>117</v>
      </c>
      <c r="E81" s="8">
        <f t="shared" si="0"/>
        <v>54.945054945054942</v>
      </c>
      <c r="F81" s="9">
        <v>10</v>
      </c>
      <c r="G81" s="10">
        <v>182</v>
      </c>
      <c r="H81" s="11"/>
    </row>
    <row r="82" spans="1:8" ht="15.75" customHeight="1">
      <c r="A82" s="6">
        <v>21003</v>
      </c>
      <c r="B82" s="7" t="s">
        <v>15</v>
      </c>
      <c r="C82" s="7" t="s">
        <v>116</v>
      </c>
      <c r="D82" s="7" t="s">
        <v>118</v>
      </c>
      <c r="E82" s="8">
        <f t="shared" si="0"/>
        <v>54.054054054054056</v>
      </c>
      <c r="F82" s="9">
        <v>12</v>
      </c>
      <c r="G82" s="10">
        <v>222</v>
      </c>
      <c r="H82" s="11"/>
    </row>
    <row r="83" spans="1:8" ht="15.75" customHeight="1">
      <c r="A83" s="6">
        <v>21004</v>
      </c>
      <c r="B83" s="7" t="s">
        <v>15</v>
      </c>
      <c r="C83" s="7" t="s">
        <v>116</v>
      </c>
      <c r="D83" s="7" t="s">
        <v>119</v>
      </c>
      <c r="E83" s="8">
        <f t="shared" si="0"/>
        <v>45.454545454545453</v>
      </c>
      <c r="F83" s="9">
        <v>21</v>
      </c>
      <c r="G83" s="10">
        <v>462</v>
      </c>
      <c r="H83" s="11"/>
    </row>
    <row r="84" spans="1:8" ht="15.75" customHeight="1">
      <c r="A84" s="6">
        <v>21005</v>
      </c>
      <c r="B84" s="7" t="s">
        <v>15</v>
      </c>
      <c r="C84" s="7" t="s">
        <v>116</v>
      </c>
      <c r="D84" s="7" t="s">
        <v>120</v>
      </c>
      <c r="E84" s="8">
        <f t="shared" si="0"/>
        <v>26.845637583892618</v>
      </c>
      <c r="F84" s="9">
        <v>4</v>
      </c>
      <c r="G84" s="10">
        <v>149</v>
      </c>
      <c r="H84" s="11"/>
    </row>
    <row r="85" spans="1:8" ht="15.75" customHeight="1">
      <c r="A85" s="6">
        <v>21006</v>
      </c>
      <c r="B85" s="7" t="s">
        <v>15</v>
      </c>
      <c r="C85" s="7" t="s">
        <v>116</v>
      </c>
      <c r="D85" s="7" t="s">
        <v>121</v>
      </c>
      <c r="E85" s="8">
        <f t="shared" si="0"/>
        <v>12.195121951219512</v>
      </c>
      <c r="F85" s="9">
        <v>1</v>
      </c>
      <c r="G85" s="10">
        <v>82</v>
      </c>
      <c r="H85" s="11"/>
    </row>
    <row r="86" spans="1:8" ht="15.75" customHeight="1">
      <c r="A86" s="6">
        <v>21101</v>
      </c>
      <c r="B86" s="7" t="s">
        <v>15</v>
      </c>
      <c r="C86" s="7" t="s">
        <v>122</v>
      </c>
      <c r="D86" s="7" t="s">
        <v>123</v>
      </c>
      <c r="E86" s="8">
        <f t="shared" si="0"/>
        <v>34.090909090909086</v>
      </c>
      <c r="F86" s="9">
        <v>12</v>
      </c>
      <c r="G86" s="10">
        <v>352</v>
      </c>
      <c r="H86" s="11"/>
    </row>
    <row r="87" spans="1:8" ht="15.75" customHeight="1">
      <c r="A87" s="6">
        <v>21102</v>
      </c>
      <c r="B87" s="7" t="s">
        <v>15</v>
      </c>
      <c r="C87" s="7" t="s">
        <v>122</v>
      </c>
      <c r="D87" s="7" t="s">
        <v>124</v>
      </c>
      <c r="E87" s="8">
        <f t="shared" si="0"/>
        <v>26.737967914438503</v>
      </c>
      <c r="F87" s="9">
        <v>10</v>
      </c>
      <c r="G87" s="10">
        <v>374</v>
      </c>
      <c r="H87" s="11"/>
    </row>
    <row r="88" spans="1:8" ht="15.75" customHeight="1">
      <c r="A88" s="6">
        <v>21103</v>
      </c>
      <c r="B88" s="7" t="s">
        <v>15</v>
      </c>
      <c r="C88" s="7" t="s">
        <v>122</v>
      </c>
      <c r="D88" s="7" t="s">
        <v>125</v>
      </c>
      <c r="E88" s="8">
        <f t="shared" si="0"/>
        <v>34.246575342465754</v>
      </c>
      <c r="F88" s="9">
        <v>5</v>
      </c>
      <c r="G88" s="10">
        <v>146</v>
      </c>
      <c r="H88" s="11"/>
    </row>
    <row r="89" spans="1:8" ht="15.75" customHeight="1">
      <c r="A89" s="6">
        <v>21104</v>
      </c>
      <c r="B89" s="7" t="s">
        <v>15</v>
      </c>
      <c r="C89" s="7" t="s">
        <v>122</v>
      </c>
      <c r="D89" s="7" t="s">
        <v>126</v>
      </c>
      <c r="E89" s="8">
        <f t="shared" si="0"/>
        <v>26.194144838212633</v>
      </c>
      <c r="F89" s="9">
        <v>17</v>
      </c>
      <c r="G89" s="10">
        <v>649</v>
      </c>
      <c r="H89" s="11"/>
    </row>
    <row r="90" spans="1:8" ht="15.75" customHeight="1">
      <c r="A90" s="6">
        <v>21105</v>
      </c>
      <c r="B90" s="7" t="s">
        <v>15</v>
      </c>
      <c r="C90" s="7" t="s">
        <v>122</v>
      </c>
      <c r="D90" s="7" t="s">
        <v>127</v>
      </c>
      <c r="E90" s="8">
        <f t="shared" si="0"/>
        <v>36.020583190394511</v>
      </c>
      <c r="F90" s="9">
        <v>42</v>
      </c>
      <c r="G90" s="10">
        <v>1166</v>
      </c>
      <c r="H90" s="11"/>
    </row>
    <row r="91" spans="1:8" ht="15.75" customHeight="1">
      <c r="A91" s="6">
        <v>21201</v>
      </c>
      <c r="B91" s="7" t="s">
        <v>15</v>
      </c>
      <c r="C91" s="7" t="s">
        <v>128</v>
      </c>
      <c r="D91" s="7" t="s">
        <v>129</v>
      </c>
      <c r="E91" s="8">
        <f t="shared" si="0"/>
        <v>57.921635434412266</v>
      </c>
      <c r="F91" s="9">
        <v>34</v>
      </c>
      <c r="G91" s="10">
        <v>587</v>
      </c>
      <c r="H91" s="11"/>
    </row>
    <row r="92" spans="1:8" ht="15.75" customHeight="1">
      <c r="A92" s="6">
        <v>21202</v>
      </c>
      <c r="B92" s="7" t="s">
        <v>15</v>
      </c>
      <c r="C92" s="7" t="s">
        <v>128</v>
      </c>
      <c r="D92" s="7" t="s">
        <v>130</v>
      </c>
      <c r="E92" s="8">
        <f t="shared" si="0"/>
        <v>39.735099337748345</v>
      </c>
      <c r="F92" s="9">
        <v>18</v>
      </c>
      <c r="G92" s="10">
        <v>453</v>
      </c>
      <c r="H92" s="11"/>
    </row>
    <row r="93" spans="1:8" ht="15.75" customHeight="1">
      <c r="A93" s="6">
        <v>21203</v>
      </c>
      <c r="B93" s="7" t="s">
        <v>15</v>
      </c>
      <c r="C93" s="7" t="s">
        <v>128</v>
      </c>
      <c r="D93" s="7" t="s">
        <v>131</v>
      </c>
      <c r="E93" s="8">
        <f t="shared" si="0"/>
        <v>20.134228187919462</v>
      </c>
      <c r="F93" s="9">
        <v>6</v>
      </c>
      <c r="G93" s="10">
        <v>298</v>
      </c>
      <c r="H93" s="11"/>
    </row>
    <row r="94" spans="1:8" ht="15.75" customHeight="1">
      <c r="A94" s="6">
        <v>21204</v>
      </c>
      <c r="B94" s="7" t="s">
        <v>15</v>
      </c>
      <c r="C94" s="7" t="s">
        <v>128</v>
      </c>
      <c r="D94" s="7" t="s">
        <v>132</v>
      </c>
      <c r="E94" s="8">
        <f t="shared" si="0"/>
        <v>77.777777777777786</v>
      </c>
      <c r="F94" s="9">
        <v>7</v>
      </c>
      <c r="G94" s="10">
        <v>90</v>
      </c>
      <c r="H94" s="11"/>
    </row>
    <row r="95" spans="1:8" ht="15.75" customHeight="1">
      <c r="A95" s="6">
        <v>21301</v>
      </c>
      <c r="B95" s="7" t="s">
        <v>15</v>
      </c>
      <c r="C95" s="7" t="s">
        <v>133</v>
      </c>
      <c r="D95" s="7" t="s">
        <v>134</v>
      </c>
      <c r="E95" s="8">
        <f t="shared" si="0"/>
        <v>47.058823529411761</v>
      </c>
      <c r="F95" s="9">
        <v>28</v>
      </c>
      <c r="G95" s="10">
        <v>595</v>
      </c>
      <c r="H95" s="11"/>
    </row>
    <row r="96" spans="1:8" ht="15.75" customHeight="1">
      <c r="A96" s="6">
        <v>21302</v>
      </c>
      <c r="B96" s="7" t="s">
        <v>15</v>
      </c>
      <c r="C96" s="7" t="s">
        <v>133</v>
      </c>
      <c r="D96" s="7" t="s">
        <v>135</v>
      </c>
      <c r="E96" s="8">
        <f t="shared" si="0"/>
        <v>37.974683544303801</v>
      </c>
      <c r="F96" s="9">
        <v>6</v>
      </c>
      <c r="G96" s="10">
        <v>158</v>
      </c>
      <c r="H96" s="11"/>
    </row>
    <row r="97" spans="1:8" ht="15.75" customHeight="1">
      <c r="A97" s="6">
        <v>21303</v>
      </c>
      <c r="B97" s="7" t="s">
        <v>15</v>
      </c>
      <c r="C97" s="7" t="s">
        <v>133</v>
      </c>
      <c r="D97" s="7" t="s">
        <v>136</v>
      </c>
      <c r="E97" s="8">
        <f t="shared" si="0"/>
        <v>16.853932584269664</v>
      </c>
      <c r="F97" s="9">
        <v>3</v>
      </c>
      <c r="G97" s="10">
        <v>178</v>
      </c>
      <c r="H97" s="11"/>
    </row>
    <row r="98" spans="1:8" ht="15.75" customHeight="1">
      <c r="A98" s="6">
        <v>21304</v>
      </c>
      <c r="B98" s="7" t="s">
        <v>15</v>
      </c>
      <c r="C98" s="7" t="s">
        <v>133</v>
      </c>
      <c r="D98" s="7" t="s">
        <v>137</v>
      </c>
      <c r="E98" s="8">
        <f t="shared" si="0"/>
        <v>18.018018018018019</v>
      </c>
      <c r="F98" s="9">
        <v>4</v>
      </c>
      <c r="G98" s="10">
        <v>222</v>
      </c>
      <c r="H98" s="11"/>
    </row>
    <row r="99" spans="1:8" ht="15.75" customHeight="1">
      <c r="A99" s="6">
        <v>21305</v>
      </c>
      <c r="B99" s="7" t="s">
        <v>15</v>
      </c>
      <c r="C99" s="7" t="s">
        <v>133</v>
      </c>
      <c r="D99" s="7" t="s">
        <v>138</v>
      </c>
      <c r="E99" s="8">
        <f t="shared" si="0"/>
        <v>12.76595744680851</v>
      </c>
      <c r="F99" s="9">
        <v>6</v>
      </c>
      <c r="G99" s="10">
        <v>470</v>
      </c>
      <c r="H99" s="11"/>
    </row>
    <row r="100" spans="1:8" ht="15.75" customHeight="1">
      <c r="A100" s="6">
        <v>21306</v>
      </c>
      <c r="B100" s="7" t="s">
        <v>15</v>
      </c>
      <c r="C100" s="7" t="s">
        <v>133</v>
      </c>
      <c r="D100" s="7" t="s">
        <v>139</v>
      </c>
      <c r="E100" s="8">
        <f t="shared" si="0"/>
        <v>8.4745762711864412</v>
      </c>
      <c r="F100" s="9">
        <v>2</v>
      </c>
      <c r="G100" s="10">
        <v>236</v>
      </c>
      <c r="H100" s="11"/>
    </row>
    <row r="101" spans="1:8" ht="15.75" customHeight="1">
      <c r="A101" s="6">
        <v>21307</v>
      </c>
      <c r="B101" s="7" t="s">
        <v>15</v>
      </c>
      <c r="C101" s="7" t="s">
        <v>133</v>
      </c>
      <c r="D101" s="7" t="s">
        <v>140</v>
      </c>
      <c r="E101" s="8">
        <f t="shared" si="0"/>
        <v>0</v>
      </c>
      <c r="F101" s="9">
        <v>0</v>
      </c>
      <c r="G101" s="10">
        <v>89</v>
      </c>
      <c r="H101" s="11"/>
    </row>
    <row r="102" spans="1:8" ht="15.75" customHeight="1">
      <c r="A102" s="6">
        <v>21401</v>
      </c>
      <c r="B102" s="7" t="s">
        <v>15</v>
      </c>
      <c r="C102" s="7" t="s">
        <v>141</v>
      </c>
      <c r="D102" s="7" t="s">
        <v>142</v>
      </c>
      <c r="E102" s="8">
        <f t="shared" si="0"/>
        <v>13.440860215053764</v>
      </c>
      <c r="F102" s="9">
        <v>5</v>
      </c>
      <c r="G102" s="10">
        <v>372</v>
      </c>
      <c r="H102" s="11"/>
    </row>
    <row r="103" spans="1:8" ht="15.75" customHeight="1">
      <c r="A103" s="6">
        <v>21402</v>
      </c>
      <c r="B103" s="7" t="s">
        <v>15</v>
      </c>
      <c r="C103" s="7" t="s">
        <v>141</v>
      </c>
      <c r="D103" s="7" t="s">
        <v>143</v>
      </c>
      <c r="E103" s="8">
        <f t="shared" si="0"/>
        <v>27.247956403269754</v>
      </c>
      <c r="F103" s="9">
        <v>10</v>
      </c>
      <c r="G103" s="10">
        <v>367</v>
      </c>
      <c r="H103" s="11"/>
    </row>
    <row r="104" spans="1:8" ht="15.75" customHeight="1">
      <c r="A104" s="6">
        <v>21501</v>
      </c>
      <c r="B104" s="7" t="s">
        <v>15</v>
      </c>
      <c r="C104" s="7" t="s">
        <v>144</v>
      </c>
      <c r="D104" s="7" t="s">
        <v>145</v>
      </c>
      <c r="E104" s="8">
        <f t="shared" si="0"/>
        <v>7.042253521126761</v>
      </c>
      <c r="F104" s="9">
        <v>2</v>
      </c>
      <c r="G104" s="10">
        <v>284</v>
      </c>
      <c r="H104" s="11"/>
    </row>
    <row r="105" spans="1:8" ht="15.75" customHeight="1">
      <c r="A105" s="6">
        <v>21502</v>
      </c>
      <c r="B105" s="7" t="s">
        <v>15</v>
      </c>
      <c r="C105" s="7" t="s">
        <v>144</v>
      </c>
      <c r="D105" s="7" t="s">
        <v>146</v>
      </c>
      <c r="E105" s="8">
        <f t="shared" si="0"/>
        <v>8.0321285140562235</v>
      </c>
      <c r="F105" s="9">
        <v>2</v>
      </c>
      <c r="G105" s="10">
        <v>249</v>
      </c>
      <c r="H105" s="11"/>
    </row>
    <row r="106" spans="1:8" ht="15.75" customHeight="1">
      <c r="A106" s="6">
        <v>21601</v>
      </c>
      <c r="B106" s="7" t="s">
        <v>15</v>
      </c>
      <c r="C106" s="7" t="s">
        <v>147</v>
      </c>
      <c r="D106" s="7" t="s">
        <v>148</v>
      </c>
      <c r="E106" s="8">
        <f t="shared" si="0"/>
        <v>20.477815699658702</v>
      </c>
      <c r="F106" s="9">
        <v>6</v>
      </c>
      <c r="G106" s="10">
        <v>293</v>
      </c>
      <c r="H106" s="11"/>
    </row>
    <row r="107" spans="1:8" ht="15.75" customHeight="1">
      <c r="A107" s="6">
        <v>21602</v>
      </c>
      <c r="B107" s="7" t="s">
        <v>15</v>
      </c>
      <c r="C107" s="7" t="s">
        <v>147</v>
      </c>
      <c r="D107" s="7" t="s">
        <v>149</v>
      </c>
      <c r="E107" s="8">
        <f t="shared" si="0"/>
        <v>14.285714285714285</v>
      </c>
      <c r="F107" s="9">
        <v>1</v>
      </c>
      <c r="G107" s="10">
        <v>70</v>
      </c>
      <c r="H107" s="11"/>
    </row>
    <row r="108" spans="1:8" ht="15.75" customHeight="1">
      <c r="A108" s="6">
        <v>21701</v>
      </c>
      <c r="B108" s="7" t="s">
        <v>15</v>
      </c>
      <c r="C108" s="7" t="s">
        <v>150</v>
      </c>
      <c r="D108" s="7" t="s">
        <v>151</v>
      </c>
      <c r="E108" s="8">
        <f t="shared" si="0"/>
        <v>19.083969465648856</v>
      </c>
      <c r="F108" s="9">
        <v>5</v>
      </c>
      <c r="G108" s="10">
        <v>262</v>
      </c>
      <c r="H108" s="11"/>
    </row>
    <row r="109" spans="1:8" ht="15.75" customHeight="1">
      <c r="A109" s="6">
        <v>21702</v>
      </c>
      <c r="B109" s="7" t="s">
        <v>15</v>
      </c>
      <c r="C109" s="7" t="s">
        <v>150</v>
      </c>
      <c r="D109" s="7" t="s">
        <v>152</v>
      </c>
      <c r="E109" s="8">
        <f t="shared" si="0"/>
        <v>0</v>
      </c>
      <c r="F109" s="9">
        <v>0</v>
      </c>
      <c r="G109" s="10">
        <v>68</v>
      </c>
      <c r="H109" s="11"/>
    </row>
    <row r="110" spans="1:8" ht="15.75" customHeight="1">
      <c r="A110" s="6">
        <v>21703</v>
      </c>
      <c r="B110" s="7" t="s">
        <v>15</v>
      </c>
      <c r="C110" s="7" t="s">
        <v>150</v>
      </c>
      <c r="D110" s="7" t="s">
        <v>153</v>
      </c>
      <c r="E110" s="8">
        <f t="shared" si="0"/>
        <v>0</v>
      </c>
      <c r="F110" s="9">
        <v>0</v>
      </c>
      <c r="G110" s="10">
        <v>59</v>
      </c>
      <c r="H110" s="11"/>
    </row>
    <row r="111" spans="1:8" ht="15.75" customHeight="1">
      <c r="A111" s="6">
        <v>21801</v>
      </c>
      <c r="B111" s="7" t="s">
        <v>15</v>
      </c>
      <c r="C111" s="7" t="s">
        <v>154</v>
      </c>
      <c r="D111" s="7" t="s">
        <v>155</v>
      </c>
      <c r="E111" s="8">
        <f t="shared" si="0"/>
        <v>6.4102564102564097</v>
      </c>
      <c r="F111" s="9">
        <v>1</v>
      </c>
      <c r="G111" s="10">
        <v>156</v>
      </c>
      <c r="H111" s="11"/>
    </row>
    <row r="112" spans="1:8" ht="15.75" customHeight="1">
      <c r="A112" s="6">
        <v>21802</v>
      </c>
      <c r="B112" s="7" t="s">
        <v>15</v>
      </c>
      <c r="C112" s="7" t="s">
        <v>156</v>
      </c>
      <c r="D112" s="7" t="s">
        <v>157</v>
      </c>
      <c r="E112" s="8">
        <f t="shared" si="0"/>
        <v>8.4745762711864412</v>
      </c>
      <c r="F112" s="9">
        <v>1</v>
      </c>
      <c r="G112" s="10">
        <v>118</v>
      </c>
      <c r="H112" s="11"/>
    </row>
    <row r="113" spans="1:8" ht="15.75" customHeight="1">
      <c r="A113" s="6">
        <v>21803</v>
      </c>
      <c r="B113" s="7" t="s">
        <v>15</v>
      </c>
      <c r="C113" s="7" t="s">
        <v>156</v>
      </c>
      <c r="D113" s="7" t="s">
        <v>158</v>
      </c>
      <c r="E113" s="8">
        <f t="shared" si="0"/>
        <v>0</v>
      </c>
      <c r="F113" s="9">
        <v>0</v>
      </c>
      <c r="G113" s="10">
        <v>27</v>
      </c>
      <c r="H113" s="11"/>
    </row>
    <row r="114" spans="1:8" ht="15.75" customHeight="1">
      <c r="A114" s="6">
        <v>21901</v>
      </c>
      <c r="B114" s="7" t="s">
        <v>15</v>
      </c>
      <c r="C114" s="7" t="s">
        <v>159</v>
      </c>
      <c r="D114" s="7" t="s">
        <v>160</v>
      </c>
      <c r="E114" s="8">
        <f t="shared" si="0"/>
        <v>0</v>
      </c>
      <c r="F114" s="9">
        <v>0</v>
      </c>
      <c r="G114" s="10">
        <v>62</v>
      </c>
      <c r="H114" s="11"/>
    </row>
    <row r="115" spans="1:8" ht="15.75" customHeight="1">
      <c r="A115" s="6">
        <v>21902</v>
      </c>
      <c r="B115" s="7" t="s">
        <v>15</v>
      </c>
      <c r="C115" s="7" t="s">
        <v>159</v>
      </c>
      <c r="D115" s="7" t="s">
        <v>161</v>
      </c>
      <c r="E115" s="8">
        <f t="shared" si="0"/>
        <v>0</v>
      </c>
      <c r="F115" s="9">
        <v>0</v>
      </c>
      <c r="G115" s="10">
        <v>56</v>
      </c>
      <c r="H115" s="11"/>
    </row>
    <row r="116" spans="1:8" ht="15.75" customHeight="1">
      <c r="A116" s="6">
        <v>22001</v>
      </c>
      <c r="B116" s="7" t="s">
        <v>15</v>
      </c>
      <c r="C116" s="7" t="s">
        <v>162</v>
      </c>
      <c r="D116" s="7" t="s">
        <v>162</v>
      </c>
      <c r="E116" s="8">
        <f t="shared" si="0"/>
        <v>18.779342723004696</v>
      </c>
      <c r="F116" s="9">
        <v>20</v>
      </c>
      <c r="G116" s="10">
        <v>1065</v>
      </c>
      <c r="H116" s="11"/>
    </row>
    <row r="117" spans="1:8" ht="15.75" customHeight="1">
      <c r="A117" s="6">
        <v>22002</v>
      </c>
      <c r="B117" s="7" t="s">
        <v>15</v>
      </c>
      <c r="C117" s="7" t="s">
        <v>162</v>
      </c>
      <c r="D117" s="7" t="s">
        <v>163</v>
      </c>
      <c r="E117" s="8">
        <f t="shared" si="0"/>
        <v>43.918918918918919</v>
      </c>
      <c r="F117" s="9">
        <v>13</v>
      </c>
      <c r="G117" s="10">
        <v>296</v>
      </c>
      <c r="H117" s="11"/>
    </row>
    <row r="118" spans="1:8" ht="15.75" customHeight="1">
      <c r="A118" s="6">
        <v>30101</v>
      </c>
      <c r="B118" s="7" t="s">
        <v>17</v>
      </c>
      <c r="C118" s="7" t="s">
        <v>164</v>
      </c>
      <c r="D118" s="7" t="s">
        <v>17</v>
      </c>
      <c r="E118" s="8">
        <f t="shared" si="0"/>
        <v>22.630834512022631</v>
      </c>
      <c r="F118" s="9">
        <v>288</v>
      </c>
      <c r="G118" s="10">
        <v>12726</v>
      </c>
      <c r="H118" s="11"/>
    </row>
    <row r="119" spans="1:8" ht="15.75" customHeight="1">
      <c r="A119" s="6">
        <v>30201</v>
      </c>
      <c r="B119" s="7" t="s">
        <v>17</v>
      </c>
      <c r="C119" s="7" t="s">
        <v>165</v>
      </c>
      <c r="D119" s="7" t="s">
        <v>166</v>
      </c>
      <c r="E119" s="8">
        <f t="shared" si="0"/>
        <v>28.806584362139919</v>
      </c>
      <c r="F119" s="9">
        <v>14</v>
      </c>
      <c r="G119" s="10">
        <v>486</v>
      </c>
      <c r="H119" s="11"/>
    </row>
    <row r="120" spans="1:8" ht="15.75" customHeight="1">
      <c r="A120" s="6">
        <v>30202</v>
      </c>
      <c r="B120" s="7" t="s">
        <v>17</v>
      </c>
      <c r="C120" s="7" t="s">
        <v>165</v>
      </c>
      <c r="D120" s="7" t="s">
        <v>167</v>
      </c>
      <c r="E120" s="8">
        <f t="shared" si="0"/>
        <v>0</v>
      </c>
      <c r="F120" s="9">
        <v>0</v>
      </c>
      <c r="G120" s="10">
        <v>111</v>
      </c>
      <c r="H120" s="11"/>
    </row>
    <row r="121" spans="1:8" ht="15.75" customHeight="1">
      <c r="A121" s="6">
        <v>30203</v>
      </c>
      <c r="B121" s="7" t="s">
        <v>17</v>
      </c>
      <c r="C121" s="7" t="s">
        <v>165</v>
      </c>
      <c r="D121" s="7" t="s">
        <v>168</v>
      </c>
      <c r="E121" s="8">
        <f t="shared" si="0"/>
        <v>22.556390977443609</v>
      </c>
      <c r="F121" s="9">
        <v>3</v>
      </c>
      <c r="G121" s="10">
        <v>133</v>
      </c>
      <c r="H121" s="11"/>
    </row>
    <row r="122" spans="1:8" ht="15.75" customHeight="1">
      <c r="A122" s="6">
        <v>30301</v>
      </c>
      <c r="B122" s="7" t="s">
        <v>17</v>
      </c>
      <c r="C122" s="7" t="s">
        <v>169</v>
      </c>
      <c r="D122" s="7" t="s">
        <v>170</v>
      </c>
      <c r="E122" s="8">
        <f t="shared" si="0"/>
        <v>70.085470085470092</v>
      </c>
      <c r="F122" s="9">
        <v>41</v>
      </c>
      <c r="G122" s="10">
        <v>585</v>
      </c>
      <c r="H122" s="11"/>
    </row>
    <row r="123" spans="1:8" ht="15.75" customHeight="1">
      <c r="A123" s="6">
        <v>30302</v>
      </c>
      <c r="B123" s="7" t="s">
        <v>17</v>
      </c>
      <c r="C123" s="7" t="s">
        <v>169</v>
      </c>
      <c r="D123" s="7" t="s">
        <v>171</v>
      </c>
      <c r="E123" s="8">
        <f t="shared" si="0"/>
        <v>58.252427184466022</v>
      </c>
      <c r="F123" s="9">
        <v>18</v>
      </c>
      <c r="G123" s="10">
        <v>309</v>
      </c>
      <c r="H123" s="11"/>
    </row>
    <row r="124" spans="1:8" ht="15.75" customHeight="1">
      <c r="A124" s="6">
        <v>30303</v>
      </c>
      <c r="B124" s="7" t="s">
        <v>17</v>
      </c>
      <c r="C124" s="7" t="s">
        <v>169</v>
      </c>
      <c r="D124" s="7" t="s">
        <v>172</v>
      </c>
      <c r="E124" s="8">
        <f t="shared" si="0"/>
        <v>56.530214424951261</v>
      </c>
      <c r="F124" s="9">
        <v>29</v>
      </c>
      <c r="G124" s="10">
        <v>513</v>
      </c>
      <c r="H124" s="11"/>
    </row>
    <row r="125" spans="1:8" ht="15.75" customHeight="1">
      <c r="A125" s="6">
        <v>30401</v>
      </c>
      <c r="B125" s="7" t="s">
        <v>17</v>
      </c>
      <c r="C125" s="7" t="s">
        <v>173</v>
      </c>
      <c r="D125" s="7" t="s">
        <v>174</v>
      </c>
      <c r="E125" s="8">
        <f t="shared" si="0"/>
        <v>49.382716049382715</v>
      </c>
      <c r="F125" s="9">
        <v>8</v>
      </c>
      <c r="G125" s="10">
        <v>162</v>
      </c>
      <c r="H125" s="11"/>
    </row>
    <row r="126" spans="1:8" ht="15.75" customHeight="1">
      <c r="A126" s="6">
        <v>30402</v>
      </c>
      <c r="B126" s="7" t="s">
        <v>17</v>
      </c>
      <c r="C126" s="7" t="s">
        <v>173</v>
      </c>
      <c r="D126" s="7" t="s">
        <v>175</v>
      </c>
      <c r="E126" s="8">
        <f t="shared" si="0"/>
        <v>21.897810218978105</v>
      </c>
      <c r="F126" s="9">
        <v>3</v>
      </c>
      <c r="G126" s="10">
        <v>137</v>
      </c>
      <c r="H126" s="11"/>
    </row>
    <row r="127" spans="1:8" ht="15.75" customHeight="1">
      <c r="A127" s="6">
        <v>30403</v>
      </c>
      <c r="B127" s="7" t="s">
        <v>17</v>
      </c>
      <c r="C127" s="7" t="s">
        <v>173</v>
      </c>
      <c r="D127" s="7" t="s">
        <v>176</v>
      </c>
      <c r="E127" s="8">
        <f t="shared" si="0"/>
        <v>72.02216066481995</v>
      </c>
      <c r="F127" s="9">
        <v>26</v>
      </c>
      <c r="G127" s="10">
        <v>361</v>
      </c>
      <c r="H127" s="11"/>
    </row>
    <row r="128" spans="1:8" ht="15.75" customHeight="1">
      <c r="A128" s="6">
        <v>30404</v>
      </c>
      <c r="B128" s="7" t="s">
        <v>17</v>
      </c>
      <c r="C128" s="7" t="s">
        <v>173</v>
      </c>
      <c r="D128" s="7" t="s">
        <v>177</v>
      </c>
      <c r="E128" s="8">
        <f t="shared" si="0"/>
        <v>0</v>
      </c>
      <c r="F128" s="9">
        <v>0</v>
      </c>
      <c r="G128" s="10">
        <v>93</v>
      </c>
      <c r="H128" s="11"/>
    </row>
    <row r="129" spans="1:8" ht="15.75" customHeight="1">
      <c r="A129" s="6">
        <v>30501</v>
      </c>
      <c r="B129" s="7" t="s">
        <v>17</v>
      </c>
      <c r="C129" s="7" t="s">
        <v>178</v>
      </c>
      <c r="D129" s="7" t="s">
        <v>178</v>
      </c>
      <c r="E129" s="8">
        <f t="shared" si="0"/>
        <v>86.330935251798564</v>
      </c>
      <c r="F129" s="9">
        <v>12</v>
      </c>
      <c r="G129" s="10">
        <v>139</v>
      </c>
      <c r="H129" s="11"/>
    </row>
    <row r="130" spans="1:8" ht="15.75" customHeight="1">
      <c r="A130" s="6">
        <v>30502</v>
      </c>
      <c r="B130" s="7" t="s">
        <v>17</v>
      </c>
      <c r="C130" s="7" t="s">
        <v>178</v>
      </c>
      <c r="D130" s="7" t="s">
        <v>179</v>
      </c>
      <c r="E130" s="8">
        <f t="shared" si="0"/>
        <v>21.978021978021978</v>
      </c>
      <c r="F130" s="9">
        <v>4</v>
      </c>
      <c r="G130" s="10">
        <v>182</v>
      </c>
      <c r="H130" s="11"/>
    </row>
    <row r="131" spans="1:8" ht="15.75" customHeight="1">
      <c r="A131" s="6">
        <v>30601</v>
      </c>
      <c r="B131" s="7" t="s">
        <v>17</v>
      </c>
      <c r="C131" s="7" t="s">
        <v>180</v>
      </c>
      <c r="D131" s="7" t="s">
        <v>180</v>
      </c>
      <c r="E131" s="8">
        <f t="shared" si="0"/>
        <v>49.450549450549445</v>
      </c>
      <c r="F131" s="9">
        <v>18</v>
      </c>
      <c r="G131" s="10">
        <v>364</v>
      </c>
      <c r="H131" s="11"/>
    </row>
    <row r="132" spans="1:8" ht="15.75" customHeight="1">
      <c r="A132" s="6">
        <v>30602</v>
      </c>
      <c r="B132" s="7" t="s">
        <v>17</v>
      </c>
      <c r="C132" s="7" t="s">
        <v>180</v>
      </c>
      <c r="D132" s="7" t="s">
        <v>181</v>
      </c>
      <c r="E132" s="8">
        <f t="shared" si="0"/>
        <v>50.761421319796952</v>
      </c>
      <c r="F132" s="9">
        <v>10</v>
      </c>
      <c r="G132" s="10">
        <v>197</v>
      </c>
      <c r="H132" s="11"/>
    </row>
    <row r="133" spans="1:8" ht="15.75" customHeight="1">
      <c r="A133" s="6">
        <v>30701</v>
      </c>
      <c r="B133" s="7" t="s">
        <v>17</v>
      </c>
      <c r="C133" s="7" t="s">
        <v>182</v>
      </c>
      <c r="D133" s="7" t="s">
        <v>182</v>
      </c>
      <c r="E133" s="8">
        <f t="shared" si="0"/>
        <v>13.66742596810934</v>
      </c>
      <c r="F133" s="9">
        <v>6</v>
      </c>
      <c r="G133" s="10">
        <v>439</v>
      </c>
      <c r="H133" s="11"/>
    </row>
    <row r="134" spans="1:8" ht="15.75" customHeight="1">
      <c r="A134" s="6">
        <v>30702</v>
      </c>
      <c r="B134" s="7" t="s">
        <v>17</v>
      </c>
      <c r="C134" s="7" t="s">
        <v>182</v>
      </c>
      <c r="D134" s="7" t="s">
        <v>183</v>
      </c>
      <c r="E134" s="8">
        <f t="shared" si="0"/>
        <v>23.809523809523807</v>
      </c>
      <c r="F134" s="9">
        <v>3</v>
      </c>
      <c r="G134" s="10">
        <v>126</v>
      </c>
      <c r="H134" s="11"/>
    </row>
    <row r="135" spans="1:8" ht="15.75" customHeight="1">
      <c r="A135" s="6">
        <v>30703</v>
      </c>
      <c r="B135" s="7" t="s">
        <v>17</v>
      </c>
      <c r="C135" s="7" t="s">
        <v>182</v>
      </c>
      <c r="D135" s="7" t="s">
        <v>184</v>
      </c>
      <c r="E135" s="8">
        <f t="shared" si="0"/>
        <v>79.207920792079207</v>
      </c>
      <c r="F135" s="9">
        <v>8</v>
      </c>
      <c r="G135" s="10">
        <v>101</v>
      </c>
      <c r="H135" s="11"/>
    </row>
    <row r="136" spans="1:8" ht="15.75" customHeight="1">
      <c r="A136" s="6">
        <v>30801</v>
      </c>
      <c r="B136" s="7" t="s">
        <v>17</v>
      </c>
      <c r="C136" s="7" t="s">
        <v>185</v>
      </c>
      <c r="D136" s="7" t="s">
        <v>186</v>
      </c>
      <c r="E136" s="8">
        <f t="shared" si="0"/>
        <v>20</v>
      </c>
      <c r="F136" s="9">
        <v>8</v>
      </c>
      <c r="G136" s="10">
        <v>400</v>
      </c>
      <c r="H136" s="11"/>
    </row>
    <row r="137" spans="1:8" ht="15.75" customHeight="1">
      <c r="A137" s="6">
        <v>30802</v>
      </c>
      <c r="B137" s="7" t="s">
        <v>17</v>
      </c>
      <c r="C137" s="7" t="s">
        <v>185</v>
      </c>
      <c r="D137" s="7" t="s">
        <v>187</v>
      </c>
      <c r="E137" s="8">
        <f t="shared" si="0"/>
        <v>27.522935779816514</v>
      </c>
      <c r="F137" s="9">
        <v>3</v>
      </c>
      <c r="G137" s="10">
        <v>109</v>
      </c>
      <c r="H137" s="11"/>
    </row>
    <row r="138" spans="1:8" ht="15.75" customHeight="1">
      <c r="A138" s="6">
        <v>30803</v>
      </c>
      <c r="B138" s="7" t="s">
        <v>17</v>
      </c>
      <c r="C138" s="7" t="s">
        <v>185</v>
      </c>
      <c r="D138" s="7" t="s">
        <v>188</v>
      </c>
      <c r="E138" s="8">
        <f t="shared" si="0"/>
        <v>41.237113402061858</v>
      </c>
      <c r="F138" s="9">
        <v>4</v>
      </c>
      <c r="G138" s="10">
        <v>97</v>
      </c>
      <c r="H138" s="11"/>
    </row>
    <row r="139" spans="1:8" ht="15.75" customHeight="1">
      <c r="A139" s="6">
        <v>30901</v>
      </c>
      <c r="B139" s="7" t="s">
        <v>17</v>
      </c>
      <c r="C139" s="7" t="s">
        <v>189</v>
      </c>
      <c r="D139" s="7" t="s">
        <v>189</v>
      </c>
      <c r="E139" s="8">
        <f t="shared" si="0"/>
        <v>8.9872105081230558</v>
      </c>
      <c r="F139" s="9">
        <v>26</v>
      </c>
      <c r="G139" s="10">
        <v>2893</v>
      </c>
      <c r="H139" s="11"/>
    </row>
    <row r="140" spans="1:8" ht="15.75" customHeight="1">
      <c r="A140" s="6">
        <v>30902</v>
      </c>
      <c r="B140" s="7" t="s">
        <v>17</v>
      </c>
      <c r="C140" s="7" t="s">
        <v>189</v>
      </c>
      <c r="D140" s="7" t="s">
        <v>190</v>
      </c>
      <c r="E140" s="8">
        <f t="shared" si="0"/>
        <v>17.875920084121976</v>
      </c>
      <c r="F140" s="9">
        <v>17</v>
      </c>
      <c r="G140" s="10">
        <v>951</v>
      </c>
      <c r="H140" s="11"/>
    </row>
    <row r="141" spans="1:8" ht="15.75" customHeight="1">
      <c r="A141" s="6">
        <v>30903</v>
      </c>
      <c r="B141" s="7" t="s">
        <v>17</v>
      </c>
      <c r="C141" s="7" t="s">
        <v>189</v>
      </c>
      <c r="D141" s="7" t="s">
        <v>191</v>
      </c>
      <c r="E141" s="8">
        <f t="shared" si="0"/>
        <v>8.9766606822262123</v>
      </c>
      <c r="F141" s="9">
        <v>10</v>
      </c>
      <c r="G141" s="10">
        <v>1114</v>
      </c>
      <c r="H141" s="11"/>
    </row>
    <row r="142" spans="1:8" ht="15.75" customHeight="1">
      <c r="A142" s="6">
        <v>30904</v>
      </c>
      <c r="B142" s="7" t="s">
        <v>17</v>
      </c>
      <c r="C142" s="7" t="s">
        <v>189</v>
      </c>
      <c r="D142" s="7" t="s">
        <v>192</v>
      </c>
      <c r="E142" s="8">
        <f t="shared" si="0"/>
        <v>13.547840812870449</v>
      </c>
      <c r="F142" s="9">
        <v>16</v>
      </c>
      <c r="G142" s="10">
        <v>1181</v>
      </c>
      <c r="H142" s="11"/>
    </row>
    <row r="143" spans="1:8" ht="15.75" customHeight="1">
      <c r="A143" s="6">
        <v>30905</v>
      </c>
      <c r="B143" s="7" t="s">
        <v>17</v>
      </c>
      <c r="C143" s="7" t="s">
        <v>189</v>
      </c>
      <c r="D143" s="7" t="s">
        <v>193</v>
      </c>
      <c r="E143" s="8">
        <f t="shared" si="0"/>
        <v>8.9552238805970159</v>
      </c>
      <c r="F143" s="9">
        <v>9</v>
      </c>
      <c r="G143" s="10">
        <v>1005</v>
      </c>
      <c r="H143" s="11"/>
    </row>
    <row r="144" spans="1:8" ht="15.75" customHeight="1">
      <c r="A144" s="6">
        <v>31001</v>
      </c>
      <c r="B144" s="7" t="s">
        <v>17</v>
      </c>
      <c r="C144" s="7" t="s">
        <v>194</v>
      </c>
      <c r="D144" s="7" t="s">
        <v>195</v>
      </c>
      <c r="E144" s="8">
        <f t="shared" si="0"/>
        <v>23.408506994005137</v>
      </c>
      <c r="F144" s="9">
        <v>82</v>
      </c>
      <c r="G144" s="10">
        <v>3503</v>
      </c>
      <c r="H144" s="11"/>
    </row>
    <row r="145" spans="1:8" ht="15.75" customHeight="1">
      <c r="A145" s="6">
        <v>31002</v>
      </c>
      <c r="B145" s="7" t="s">
        <v>17</v>
      </c>
      <c r="C145" s="7" t="s">
        <v>194</v>
      </c>
      <c r="D145" s="7" t="s">
        <v>196</v>
      </c>
      <c r="E145" s="8">
        <f t="shared" si="0"/>
        <v>33.472803347280333</v>
      </c>
      <c r="F145" s="9">
        <v>16</v>
      </c>
      <c r="G145" s="10">
        <v>478</v>
      </c>
      <c r="H145" s="11"/>
    </row>
    <row r="146" spans="1:8" ht="15.75" customHeight="1">
      <c r="A146" s="6">
        <v>31003</v>
      </c>
      <c r="B146" s="7" t="s">
        <v>17</v>
      </c>
      <c r="C146" s="7" t="s">
        <v>194</v>
      </c>
      <c r="D146" s="7" t="s">
        <v>197</v>
      </c>
      <c r="E146" s="8">
        <f t="shared" si="0"/>
        <v>33.640803038524147</v>
      </c>
      <c r="F146" s="9">
        <v>62</v>
      </c>
      <c r="G146" s="10">
        <v>1843</v>
      </c>
      <c r="H146" s="11"/>
    </row>
    <row r="147" spans="1:8" ht="15.75" customHeight="1">
      <c r="A147" s="6">
        <v>31101</v>
      </c>
      <c r="B147" s="7" t="s">
        <v>17</v>
      </c>
      <c r="C147" s="7" t="s">
        <v>198</v>
      </c>
      <c r="D147" s="7" t="s">
        <v>198</v>
      </c>
      <c r="E147" s="8">
        <f t="shared" si="0"/>
        <v>49.450549450549445</v>
      </c>
      <c r="F147" s="9">
        <v>27</v>
      </c>
      <c r="G147" s="10">
        <v>546</v>
      </c>
      <c r="H147" s="11"/>
    </row>
    <row r="148" spans="1:8" ht="15.75" customHeight="1">
      <c r="A148" s="6">
        <v>31201</v>
      </c>
      <c r="B148" s="7" t="s">
        <v>17</v>
      </c>
      <c r="C148" s="7" t="s">
        <v>199</v>
      </c>
      <c r="D148" s="7" t="s">
        <v>200</v>
      </c>
      <c r="E148" s="8">
        <f t="shared" si="0"/>
        <v>41.666666666666664</v>
      </c>
      <c r="F148" s="9">
        <v>14</v>
      </c>
      <c r="G148" s="10">
        <v>336</v>
      </c>
      <c r="H148" s="11"/>
    </row>
    <row r="149" spans="1:8" ht="15.75" customHeight="1">
      <c r="A149" s="6">
        <v>31202</v>
      </c>
      <c r="B149" s="7" t="s">
        <v>17</v>
      </c>
      <c r="C149" s="7" t="s">
        <v>199</v>
      </c>
      <c r="D149" s="7" t="s">
        <v>201</v>
      </c>
      <c r="E149" s="8">
        <f t="shared" si="0"/>
        <v>33.333333333333336</v>
      </c>
      <c r="F149" s="9">
        <v>9</v>
      </c>
      <c r="G149" s="10">
        <v>270</v>
      </c>
      <c r="H149" s="11"/>
    </row>
    <row r="150" spans="1:8" ht="15.75" customHeight="1">
      <c r="A150" s="6">
        <v>31203</v>
      </c>
      <c r="B150" s="7" t="s">
        <v>17</v>
      </c>
      <c r="C150" s="7" t="s">
        <v>199</v>
      </c>
      <c r="D150" s="7" t="s">
        <v>202</v>
      </c>
      <c r="E150" s="8">
        <f t="shared" si="0"/>
        <v>22.831050228310502</v>
      </c>
      <c r="F150" s="9">
        <v>5</v>
      </c>
      <c r="G150" s="10">
        <v>219</v>
      </c>
      <c r="H150" s="11"/>
    </row>
    <row r="151" spans="1:8" ht="15.75" customHeight="1">
      <c r="A151" s="6">
        <v>31204</v>
      </c>
      <c r="B151" s="7" t="s">
        <v>17</v>
      </c>
      <c r="C151" s="7" t="s">
        <v>199</v>
      </c>
      <c r="D151" s="7" t="s">
        <v>203</v>
      </c>
      <c r="E151" s="8">
        <f t="shared" si="0"/>
        <v>32.590051457975989</v>
      </c>
      <c r="F151" s="9">
        <v>19</v>
      </c>
      <c r="G151" s="10">
        <v>583</v>
      </c>
      <c r="H151" s="11"/>
    </row>
    <row r="152" spans="1:8" ht="15.75" customHeight="1">
      <c r="A152" s="6">
        <v>31205</v>
      </c>
      <c r="B152" s="7" t="s">
        <v>17</v>
      </c>
      <c r="C152" s="7" t="s">
        <v>199</v>
      </c>
      <c r="D152" s="7" t="s">
        <v>204</v>
      </c>
      <c r="E152" s="8">
        <f t="shared" si="0"/>
        <v>20.29220779220779</v>
      </c>
      <c r="F152" s="9">
        <v>25</v>
      </c>
      <c r="G152" s="10">
        <v>1232</v>
      </c>
      <c r="H152" s="11"/>
    </row>
    <row r="153" spans="1:8" ht="15.75" customHeight="1">
      <c r="A153" s="6">
        <v>31206</v>
      </c>
      <c r="B153" s="7" t="s">
        <v>17</v>
      </c>
      <c r="C153" s="7" t="s">
        <v>199</v>
      </c>
      <c r="D153" s="7" t="s">
        <v>205</v>
      </c>
      <c r="E153" s="8">
        <f t="shared" si="0"/>
        <v>14.527845036319613</v>
      </c>
      <c r="F153" s="9">
        <v>12</v>
      </c>
      <c r="G153" s="10">
        <v>826</v>
      </c>
      <c r="H153" s="11"/>
    </row>
    <row r="154" spans="1:8" ht="15.75" customHeight="1">
      <c r="A154" s="6">
        <v>31301</v>
      </c>
      <c r="B154" s="7" t="s">
        <v>17</v>
      </c>
      <c r="C154" s="7" t="s">
        <v>206</v>
      </c>
      <c r="D154" s="7" t="s">
        <v>206</v>
      </c>
      <c r="E154" s="8">
        <f t="shared" si="0"/>
        <v>16.563146997929607</v>
      </c>
      <c r="F154" s="9">
        <v>8</v>
      </c>
      <c r="G154" s="10">
        <v>483</v>
      </c>
      <c r="H154" s="11"/>
    </row>
    <row r="155" spans="1:8" ht="15.75" customHeight="1">
      <c r="A155" s="6">
        <v>31302</v>
      </c>
      <c r="B155" s="7" t="s">
        <v>17</v>
      </c>
      <c r="C155" s="7" t="s">
        <v>206</v>
      </c>
      <c r="D155" s="7" t="s">
        <v>207</v>
      </c>
      <c r="E155" s="8">
        <f t="shared" si="0"/>
        <v>18.518518518518519</v>
      </c>
      <c r="F155" s="9">
        <v>2</v>
      </c>
      <c r="G155" s="10">
        <v>108</v>
      </c>
      <c r="H155" s="11"/>
    </row>
    <row r="156" spans="1:8" ht="15.75" customHeight="1">
      <c r="A156" s="6">
        <v>31303</v>
      </c>
      <c r="B156" s="7" t="s">
        <v>17</v>
      </c>
      <c r="C156" s="7" t="s">
        <v>206</v>
      </c>
      <c r="D156" s="7" t="s">
        <v>208</v>
      </c>
      <c r="E156" s="8">
        <f t="shared" si="0"/>
        <v>12.195121951219512</v>
      </c>
      <c r="F156" s="9">
        <v>1</v>
      </c>
      <c r="G156" s="10">
        <v>82</v>
      </c>
      <c r="H156" s="11"/>
    </row>
    <row r="157" spans="1:8" ht="15.75" customHeight="1">
      <c r="A157" s="19">
        <v>31304</v>
      </c>
      <c r="B157" s="7" t="s">
        <v>17</v>
      </c>
      <c r="C157" s="7" t="s">
        <v>206</v>
      </c>
      <c r="D157" s="7" t="s">
        <v>209</v>
      </c>
      <c r="E157" s="8">
        <f t="shared" si="0"/>
        <v>19.138755980861244</v>
      </c>
      <c r="F157" s="9">
        <v>4</v>
      </c>
      <c r="G157" s="10">
        <v>209</v>
      </c>
      <c r="H157" s="11"/>
    </row>
    <row r="158" spans="1:8" ht="15.75" customHeight="1">
      <c r="A158" s="6">
        <v>31401</v>
      </c>
      <c r="B158" s="7" t="s">
        <v>17</v>
      </c>
      <c r="C158" s="7" t="s">
        <v>210</v>
      </c>
      <c r="D158" s="7" t="s">
        <v>210</v>
      </c>
      <c r="E158" s="8">
        <f t="shared" si="0"/>
        <v>13.059701492537313</v>
      </c>
      <c r="F158" s="9">
        <v>7</v>
      </c>
      <c r="G158" s="10">
        <v>536</v>
      </c>
      <c r="H158" s="11"/>
    </row>
    <row r="159" spans="1:8" ht="15.75" customHeight="1">
      <c r="A159" s="6">
        <v>31402</v>
      </c>
      <c r="B159" s="7" t="s">
        <v>17</v>
      </c>
      <c r="C159" s="7" t="s">
        <v>210</v>
      </c>
      <c r="D159" s="7" t="s">
        <v>211</v>
      </c>
      <c r="E159" s="8">
        <f t="shared" si="0"/>
        <v>0</v>
      </c>
      <c r="F159" s="9">
        <v>0</v>
      </c>
      <c r="G159" s="10">
        <v>174</v>
      </c>
      <c r="H159" s="11"/>
    </row>
    <row r="160" spans="1:8" ht="15.75" customHeight="1">
      <c r="A160" s="6">
        <v>31403</v>
      </c>
      <c r="B160" s="7" t="s">
        <v>17</v>
      </c>
      <c r="C160" s="7" t="s">
        <v>210</v>
      </c>
      <c r="D160" s="7" t="s">
        <v>212</v>
      </c>
      <c r="E160" s="8">
        <f t="shared" si="0"/>
        <v>27.649769585253459</v>
      </c>
      <c r="F160" s="9">
        <v>6</v>
      </c>
      <c r="G160" s="10">
        <v>217</v>
      </c>
      <c r="H160" s="11"/>
    </row>
    <row r="161" spans="1:8" ht="15.75" customHeight="1">
      <c r="A161" s="6">
        <v>31404</v>
      </c>
      <c r="B161" s="7" t="s">
        <v>17</v>
      </c>
      <c r="C161" s="7" t="s">
        <v>210</v>
      </c>
      <c r="D161" s="7" t="s">
        <v>213</v>
      </c>
      <c r="E161" s="8">
        <f t="shared" si="0"/>
        <v>43.478260869565219</v>
      </c>
      <c r="F161" s="9">
        <v>1</v>
      </c>
      <c r="G161" s="10">
        <v>23</v>
      </c>
      <c r="H161" s="11"/>
    </row>
    <row r="162" spans="1:8" ht="15.75" customHeight="1">
      <c r="A162" s="6">
        <v>31405</v>
      </c>
      <c r="B162" s="7" t="s">
        <v>17</v>
      </c>
      <c r="C162" s="7" t="s">
        <v>210</v>
      </c>
      <c r="D162" s="7" t="s">
        <v>214</v>
      </c>
      <c r="E162" s="8">
        <f t="shared" si="0"/>
        <v>0</v>
      </c>
      <c r="F162" s="9">
        <v>0</v>
      </c>
      <c r="G162" s="10">
        <v>49</v>
      </c>
      <c r="H162" s="11"/>
    </row>
    <row r="163" spans="1:8" ht="15.75" customHeight="1">
      <c r="A163" s="6">
        <v>31501</v>
      </c>
      <c r="B163" s="7" t="s">
        <v>17</v>
      </c>
      <c r="C163" s="7" t="s">
        <v>215</v>
      </c>
      <c r="D163" s="7" t="s">
        <v>215</v>
      </c>
      <c r="E163" s="8">
        <f t="shared" si="0"/>
        <v>59.25925925925926</v>
      </c>
      <c r="F163" s="9">
        <v>8</v>
      </c>
      <c r="G163" s="10">
        <v>135</v>
      </c>
      <c r="H163" s="11"/>
    </row>
    <row r="164" spans="1:8" ht="15.75" customHeight="1">
      <c r="A164" s="6">
        <v>31601</v>
      </c>
      <c r="B164" s="7" t="s">
        <v>17</v>
      </c>
      <c r="C164" s="7" t="s">
        <v>216</v>
      </c>
      <c r="D164" s="7" t="s">
        <v>216</v>
      </c>
      <c r="E164" s="8">
        <f t="shared" si="0"/>
        <v>29.850746268656717</v>
      </c>
      <c r="F164" s="9">
        <v>14</v>
      </c>
      <c r="G164" s="10">
        <v>469</v>
      </c>
      <c r="H164" s="11"/>
    </row>
    <row r="165" spans="1:8" ht="15.75" customHeight="1">
      <c r="A165" s="6">
        <v>31602</v>
      </c>
      <c r="B165" s="7" t="s">
        <v>17</v>
      </c>
      <c r="C165" s="7" t="s">
        <v>216</v>
      </c>
      <c r="D165" s="7" t="s">
        <v>217</v>
      </c>
      <c r="E165" s="8">
        <f t="shared" si="0"/>
        <v>8.9285714285714288</v>
      </c>
      <c r="F165" s="9">
        <v>5</v>
      </c>
      <c r="G165" s="10">
        <v>560</v>
      </c>
      <c r="H165" s="11"/>
    </row>
    <row r="166" spans="1:8" ht="15.75" customHeight="1">
      <c r="A166" s="6">
        <v>40101</v>
      </c>
      <c r="B166" s="7" t="s">
        <v>20</v>
      </c>
      <c r="C166" s="7" t="s">
        <v>164</v>
      </c>
      <c r="D166" s="7" t="s">
        <v>20</v>
      </c>
      <c r="E166" s="8">
        <f t="shared" si="0"/>
        <v>5.1291121330031837</v>
      </c>
      <c r="F166" s="9">
        <v>29</v>
      </c>
      <c r="G166" s="10">
        <v>5654</v>
      </c>
      <c r="H166" s="11"/>
    </row>
    <row r="167" spans="1:8" ht="15.75" customHeight="1">
      <c r="A167" s="6">
        <v>40102</v>
      </c>
      <c r="B167" s="7" t="s">
        <v>20</v>
      </c>
      <c r="C167" s="7" t="s">
        <v>164</v>
      </c>
      <c r="D167" s="7" t="s">
        <v>218</v>
      </c>
      <c r="E167" s="8">
        <f t="shared" si="0"/>
        <v>54.585152838427952</v>
      </c>
      <c r="F167" s="9">
        <v>25</v>
      </c>
      <c r="G167" s="10">
        <v>458</v>
      </c>
      <c r="H167" s="11"/>
    </row>
    <row r="168" spans="1:8" ht="15.75" customHeight="1">
      <c r="A168" s="6">
        <v>40103</v>
      </c>
      <c r="B168" s="7" t="s">
        <v>20</v>
      </c>
      <c r="C168" s="7" t="s">
        <v>164</v>
      </c>
      <c r="D168" s="7" t="s">
        <v>219</v>
      </c>
      <c r="E168" s="8">
        <f t="shared" si="0"/>
        <v>27.210884353741495</v>
      </c>
      <c r="F168" s="9">
        <v>4</v>
      </c>
      <c r="G168" s="10">
        <v>147</v>
      </c>
      <c r="H168" s="11"/>
    </row>
    <row r="169" spans="1:8" ht="15.75" customHeight="1">
      <c r="A169" s="6">
        <v>40104</v>
      </c>
      <c r="B169" s="7" t="s">
        <v>20</v>
      </c>
      <c r="C169" s="7" t="s">
        <v>164</v>
      </c>
      <c r="D169" s="7" t="s">
        <v>220</v>
      </c>
      <c r="E169" s="8">
        <f t="shared" si="0"/>
        <v>60.377358490566039</v>
      </c>
      <c r="F169" s="9">
        <v>16</v>
      </c>
      <c r="G169" s="10">
        <v>265</v>
      </c>
      <c r="H169" s="11"/>
    </row>
    <row r="170" spans="1:8" ht="15.75" customHeight="1">
      <c r="A170" s="6">
        <v>40201</v>
      </c>
      <c r="B170" s="7" t="s">
        <v>20</v>
      </c>
      <c r="C170" s="7" t="s">
        <v>221</v>
      </c>
      <c r="D170" s="7" t="s">
        <v>222</v>
      </c>
      <c r="E170" s="8">
        <f t="shared" si="0"/>
        <v>62.865497076023388</v>
      </c>
      <c r="F170" s="9">
        <v>43</v>
      </c>
      <c r="G170" s="10">
        <v>684</v>
      </c>
      <c r="H170" s="11"/>
    </row>
    <row r="171" spans="1:8" ht="15.75" customHeight="1">
      <c r="A171" s="6">
        <v>40202</v>
      </c>
      <c r="B171" s="7" t="s">
        <v>20</v>
      </c>
      <c r="C171" s="7" t="s">
        <v>221</v>
      </c>
      <c r="D171" s="7" t="s">
        <v>223</v>
      </c>
      <c r="E171" s="8">
        <f t="shared" si="0"/>
        <v>61.728395061728392</v>
      </c>
      <c r="F171" s="9">
        <v>5</v>
      </c>
      <c r="G171" s="10">
        <v>81</v>
      </c>
      <c r="H171" s="11"/>
    </row>
    <row r="172" spans="1:8" ht="15.75" customHeight="1">
      <c r="A172" s="6">
        <v>40301</v>
      </c>
      <c r="B172" s="7" t="s">
        <v>20</v>
      </c>
      <c r="C172" s="7" t="s">
        <v>224</v>
      </c>
      <c r="D172" s="7" t="s">
        <v>225</v>
      </c>
      <c r="E172" s="8">
        <f t="shared" si="0"/>
        <v>12.269938650306749</v>
      </c>
      <c r="F172" s="9">
        <v>2</v>
      </c>
      <c r="G172" s="10">
        <v>163</v>
      </c>
      <c r="H172" s="11"/>
    </row>
    <row r="173" spans="1:8" ht="15.75" customHeight="1">
      <c r="A173" s="6">
        <v>40302</v>
      </c>
      <c r="B173" s="7" t="s">
        <v>20</v>
      </c>
      <c r="C173" s="7" t="s">
        <v>224</v>
      </c>
      <c r="D173" s="7" t="s">
        <v>226</v>
      </c>
      <c r="E173" s="8">
        <f t="shared" si="0"/>
        <v>33.333333333333336</v>
      </c>
      <c r="F173" s="9">
        <v>1</v>
      </c>
      <c r="G173" s="10">
        <v>30</v>
      </c>
      <c r="H173" s="11"/>
    </row>
    <row r="174" spans="1:8" ht="15.75" customHeight="1">
      <c r="A174" s="6">
        <v>40401</v>
      </c>
      <c r="B174" s="7" t="s">
        <v>20</v>
      </c>
      <c r="C174" s="7" t="s">
        <v>227</v>
      </c>
      <c r="D174" s="7" t="s">
        <v>228</v>
      </c>
      <c r="E174" s="8">
        <f t="shared" si="0"/>
        <v>64.102564102564102</v>
      </c>
      <c r="F174" s="9">
        <v>5</v>
      </c>
      <c r="G174" s="10">
        <v>78</v>
      </c>
      <c r="H174" s="11"/>
    </row>
    <row r="175" spans="1:8" ht="15.75" customHeight="1">
      <c r="A175" s="6">
        <v>40402</v>
      </c>
      <c r="B175" s="7" t="s">
        <v>20</v>
      </c>
      <c r="C175" s="7" t="s">
        <v>227</v>
      </c>
      <c r="D175" s="7" t="s">
        <v>229</v>
      </c>
      <c r="E175" s="8">
        <f t="shared" si="0"/>
        <v>72.916666666666671</v>
      </c>
      <c r="F175" s="9">
        <v>7</v>
      </c>
      <c r="G175" s="10">
        <v>96</v>
      </c>
      <c r="H175" s="11"/>
    </row>
    <row r="176" spans="1:8" ht="15.75" customHeight="1">
      <c r="A176" s="6">
        <v>40501</v>
      </c>
      <c r="B176" s="7" t="s">
        <v>20</v>
      </c>
      <c r="C176" s="7" t="s">
        <v>230</v>
      </c>
      <c r="D176" s="7" t="s">
        <v>231</v>
      </c>
      <c r="E176" s="8">
        <f t="shared" si="0"/>
        <v>0</v>
      </c>
      <c r="F176" s="9">
        <v>0</v>
      </c>
      <c r="G176" s="10">
        <v>11</v>
      </c>
      <c r="H176" s="11"/>
    </row>
    <row r="177" spans="1:8" ht="15.75" customHeight="1">
      <c r="A177" s="6">
        <v>40502</v>
      </c>
      <c r="B177" s="7" t="s">
        <v>20</v>
      </c>
      <c r="C177" s="7" t="s">
        <v>230</v>
      </c>
      <c r="D177" s="7" t="s">
        <v>232</v>
      </c>
      <c r="E177" s="8">
        <f t="shared" si="0"/>
        <v>25.641025641025639</v>
      </c>
      <c r="F177" s="9">
        <v>2</v>
      </c>
      <c r="G177" s="10">
        <v>78</v>
      </c>
      <c r="H177" s="11"/>
    </row>
    <row r="178" spans="1:8" ht="15.75" customHeight="1">
      <c r="A178" s="6">
        <v>40503</v>
      </c>
      <c r="B178" s="7" t="s">
        <v>20</v>
      </c>
      <c r="C178" s="7" t="s">
        <v>230</v>
      </c>
      <c r="D178" s="7" t="s">
        <v>233</v>
      </c>
      <c r="E178" s="8">
        <f t="shared" si="0"/>
        <v>58.823529411764703</v>
      </c>
      <c r="F178" s="9">
        <v>2</v>
      </c>
      <c r="G178" s="10">
        <v>34</v>
      </c>
      <c r="H178" s="11"/>
    </row>
    <row r="179" spans="1:8" ht="15.75" customHeight="1">
      <c r="A179" s="6">
        <v>40504</v>
      </c>
      <c r="B179" s="7" t="s">
        <v>20</v>
      </c>
      <c r="C179" s="7" t="s">
        <v>230</v>
      </c>
      <c r="D179" s="7" t="s">
        <v>234</v>
      </c>
      <c r="E179" s="8">
        <f t="shared" si="0"/>
        <v>0</v>
      </c>
      <c r="F179" s="9"/>
      <c r="G179" s="10">
        <v>8</v>
      </c>
      <c r="H179" s="11"/>
    </row>
    <row r="180" spans="1:8" ht="15.75" customHeight="1">
      <c r="A180" s="6">
        <v>40505</v>
      </c>
      <c r="B180" s="7" t="s">
        <v>20</v>
      </c>
      <c r="C180" s="7" t="s">
        <v>230</v>
      </c>
      <c r="D180" s="7" t="s">
        <v>235</v>
      </c>
      <c r="E180" s="8">
        <f t="shared" si="0"/>
        <v>0</v>
      </c>
      <c r="F180" s="9">
        <v>0</v>
      </c>
      <c r="G180" s="10">
        <v>60</v>
      </c>
      <c r="H180" s="11"/>
    </row>
    <row r="181" spans="1:8" ht="15.75" customHeight="1">
      <c r="A181" s="6">
        <v>40601</v>
      </c>
      <c r="B181" s="7" t="s">
        <v>20</v>
      </c>
      <c r="C181" s="7" t="s">
        <v>236</v>
      </c>
      <c r="D181" s="7" t="s">
        <v>236</v>
      </c>
      <c r="E181" s="8">
        <f t="shared" si="0"/>
        <v>84.033613445378151</v>
      </c>
      <c r="F181" s="9">
        <v>10</v>
      </c>
      <c r="G181" s="10">
        <v>119</v>
      </c>
      <c r="H181" s="11"/>
    </row>
    <row r="182" spans="1:8" ht="15.75" customHeight="1">
      <c r="A182" s="6">
        <v>40602</v>
      </c>
      <c r="B182" s="7" t="s">
        <v>20</v>
      </c>
      <c r="C182" s="7" t="s">
        <v>236</v>
      </c>
      <c r="D182" s="7" t="s">
        <v>237</v>
      </c>
      <c r="E182" s="8">
        <f t="shared" si="0"/>
        <v>26.785714285714285</v>
      </c>
      <c r="F182" s="9">
        <v>3</v>
      </c>
      <c r="G182" s="10">
        <v>112</v>
      </c>
      <c r="H182" s="11"/>
    </row>
    <row r="183" spans="1:8" ht="15.75" customHeight="1">
      <c r="A183" s="6">
        <v>40603</v>
      </c>
      <c r="B183" s="7" t="s">
        <v>20</v>
      </c>
      <c r="C183" s="7" t="s">
        <v>236</v>
      </c>
      <c r="D183" s="7" t="s">
        <v>238</v>
      </c>
      <c r="E183" s="8">
        <f t="shared" si="0"/>
        <v>16.393442622950822</v>
      </c>
      <c r="F183" s="9">
        <v>1</v>
      </c>
      <c r="G183" s="10">
        <v>61</v>
      </c>
      <c r="H183" s="11"/>
    </row>
    <row r="184" spans="1:8" ht="15.75" customHeight="1">
      <c r="A184" s="6">
        <v>40701</v>
      </c>
      <c r="B184" s="7" t="s">
        <v>20</v>
      </c>
      <c r="C184" s="7" t="s">
        <v>239</v>
      </c>
      <c r="D184" s="7" t="s">
        <v>240</v>
      </c>
      <c r="E184" s="8">
        <f t="shared" si="0"/>
        <v>18.975332068311193</v>
      </c>
      <c r="F184" s="9">
        <v>10</v>
      </c>
      <c r="G184" s="10">
        <v>527</v>
      </c>
      <c r="H184" s="11"/>
    </row>
    <row r="185" spans="1:8" ht="15.75" customHeight="1">
      <c r="A185" s="6">
        <v>40702</v>
      </c>
      <c r="B185" s="7" t="s">
        <v>20</v>
      </c>
      <c r="C185" s="7" t="s">
        <v>239</v>
      </c>
      <c r="D185" s="7" t="s">
        <v>241</v>
      </c>
      <c r="E185" s="8">
        <f t="shared" si="0"/>
        <v>22.727272727272727</v>
      </c>
      <c r="F185" s="9">
        <v>2</v>
      </c>
      <c r="G185" s="10">
        <v>88</v>
      </c>
      <c r="H185" s="11"/>
    </row>
    <row r="186" spans="1:8" ht="15.75" customHeight="1">
      <c r="A186" s="6">
        <v>40801</v>
      </c>
      <c r="B186" s="7" t="s">
        <v>20</v>
      </c>
      <c r="C186" s="7" t="s">
        <v>242</v>
      </c>
      <c r="D186" s="7" t="s">
        <v>243</v>
      </c>
      <c r="E186" s="8">
        <f t="shared" si="0"/>
        <v>35.714285714285715</v>
      </c>
      <c r="F186" s="9">
        <v>7</v>
      </c>
      <c r="G186" s="10">
        <v>196</v>
      </c>
      <c r="H186" s="11"/>
    </row>
    <row r="187" spans="1:8" ht="15.75" customHeight="1">
      <c r="A187" s="6">
        <v>40802</v>
      </c>
      <c r="B187" s="7" t="s">
        <v>20</v>
      </c>
      <c r="C187" s="7" t="s">
        <v>242</v>
      </c>
      <c r="D187" s="7" t="s">
        <v>244</v>
      </c>
      <c r="E187" s="8">
        <f t="shared" si="0"/>
        <v>0</v>
      </c>
      <c r="F187" s="9">
        <v>0</v>
      </c>
      <c r="G187" s="10">
        <v>64</v>
      </c>
      <c r="H187" s="11"/>
    </row>
    <row r="188" spans="1:8" ht="15.75" customHeight="1">
      <c r="A188" s="6">
        <v>40901</v>
      </c>
      <c r="B188" s="7" t="s">
        <v>20</v>
      </c>
      <c r="C188" s="7" t="s">
        <v>245</v>
      </c>
      <c r="D188" s="7" t="s">
        <v>245</v>
      </c>
      <c r="E188" s="8">
        <f t="shared" si="0"/>
        <v>22.598870056497177</v>
      </c>
      <c r="F188" s="9">
        <v>4</v>
      </c>
      <c r="G188" s="10">
        <v>177</v>
      </c>
      <c r="H188" s="11"/>
    </row>
    <row r="189" spans="1:8" ht="15.75" customHeight="1">
      <c r="A189" s="6">
        <v>40902</v>
      </c>
      <c r="B189" s="7" t="s">
        <v>20</v>
      </c>
      <c r="C189" s="7" t="s">
        <v>245</v>
      </c>
      <c r="D189" s="7" t="s">
        <v>246</v>
      </c>
      <c r="E189" s="8">
        <f t="shared" si="0"/>
        <v>0</v>
      </c>
      <c r="F189" s="9">
        <v>0</v>
      </c>
      <c r="G189" s="10">
        <v>18</v>
      </c>
      <c r="H189" s="11"/>
    </row>
    <row r="190" spans="1:8" ht="15.75" customHeight="1">
      <c r="A190" s="6">
        <v>40903</v>
      </c>
      <c r="B190" s="7" t="s">
        <v>20</v>
      </c>
      <c r="C190" s="7" t="s">
        <v>245</v>
      </c>
      <c r="D190" s="7" t="s">
        <v>247</v>
      </c>
      <c r="E190" s="8">
        <f t="shared" si="0"/>
        <v>58.823529411764703</v>
      </c>
      <c r="F190" s="9">
        <v>3</v>
      </c>
      <c r="G190" s="10">
        <v>51</v>
      </c>
      <c r="H190" s="11"/>
    </row>
    <row r="191" spans="1:8" ht="15.75" customHeight="1">
      <c r="A191" s="6">
        <v>41001</v>
      </c>
      <c r="B191" s="7" t="s">
        <v>20</v>
      </c>
      <c r="C191" s="7" t="s">
        <v>248</v>
      </c>
      <c r="D191" s="7" t="s">
        <v>249</v>
      </c>
      <c r="E191" s="8">
        <f t="shared" si="0"/>
        <v>27.586206896551722</v>
      </c>
      <c r="F191" s="9">
        <v>4</v>
      </c>
      <c r="G191" s="10">
        <v>145</v>
      </c>
      <c r="H191" s="11"/>
    </row>
    <row r="192" spans="1:8" ht="15.75" customHeight="1">
      <c r="A192" s="6">
        <v>41101</v>
      </c>
      <c r="B192" s="7" t="s">
        <v>20</v>
      </c>
      <c r="C192" s="7" t="s">
        <v>250</v>
      </c>
      <c r="D192" s="7" t="s">
        <v>251</v>
      </c>
      <c r="E192" s="8">
        <f t="shared" si="0"/>
        <v>60.606060606060609</v>
      </c>
      <c r="F192" s="9">
        <v>6</v>
      </c>
      <c r="G192" s="10">
        <v>99</v>
      </c>
      <c r="H192" s="11"/>
    </row>
    <row r="193" spans="1:8" ht="15.75" customHeight="1">
      <c r="A193" s="6">
        <v>41201</v>
      </c>
      <c r="B193" s="7" t="s">
        <v>20</v>
      </c>
      <c r="C193" s="7" t="s">
        <v>252</v>
      </c>
      <c r="D193" s="7" t="s">
        <v>253</v>
      </c>
      <c r="E193" s="8">
        <f t="shared" si="0"/>
        <v>50.632911392405063</v>
      </c>
      <c r="F193" s="9">
        <v>4</v>
      </c>
      <c r="G193" s="10">
        <v>79</v>
      </c>
      <c r="H193" s="11"/>
    </row>
    <row r="194" spans="1:8" ht="15.75" customHeight="1">
      <c r="A194" s="6">
        <v>41202</v>
      </c>
      <c r="B194" s="7" t="s">
        <v>20</v>
      </c>
      <c r="C194" s="7" t="s">
        <v>252</v>
      </c>
      <c r="D194" s="7" t="s">
        <v>254</v>
      </c>
      <c r="E194" s="8">
        <f t="shared" si="0"/>
        <v>0</v>
      </c>
      <c r="F194" s="9">
        <v>0</v>
      </c>
      <c r="G194" s="10">
        <v>35</v>
      </c>
      <c r="H194" s="11"/>
    </row>
    <row r="195" spans="1:8" ht="15.75" customHeight="1">
      <c r="A195" s="6">
        <v>41301</v>
      </c>
      <c r="B195" s="7" t="s">
        <v>20</v>
      </c>
      <c r="C195" s="7" t="s">
        <v>255</v>
      </c>
      <c r="D195" s="7" t="s">
        <v>255</v>
      </c>
      <c r="E195" s="8">
        <f t="shared" si="0"/>
        <v>0</v>
      </c>
      <c r="F195" s="9">
        <v>0</v>
      </c>
      <c r="G195" s="10">
        <v>108</v>
      </c>
      <c r="H195" s="11"/>
    </row>
    <row r="196" spans="1:8" ht="15.75" customHeight="1">
      <c r="A196" s="6">
        <v>41401</v>
      </c>
      <c r="B196" s="7" t="s">
        <v>20</v>
      </c>
      <c r="C196" s="7" t="s">
        <v>256</v>
      </c>
      <c r="D196" s="7" t="s">
        <v>257</v>
      </c>
      <c r="E196" s="8">
        <f t="shared" si="0"/>
        <v>39.823008849557525</v>
      </c>
      <c r="F196" s="9">
        <v>9</v>
      </c>
      <c r="G196" s="10">
        <v>226</v>
      </c>
      <c r="H196" s="11"/>
    </row>
    <row r="197" spans="1:8" ht="15.75" customHeight="1">
      <c r="A197" s="6">
        <v>41501</v>
      </c>
      <c r="B197" s="7" t="s">
        <v>20</v>
      </c>
      <c r="C197" s="7" t="s">
        <v>258</v>
      </c>
      <c r="D197" s="7" t="s">
        <v>259</v>
      </c>
      <c r="E197" s="8">
        <f t="shared" si="0"/>
        <v>0</v>
      </c>
      <c r="F197" s="9">
        <v>0</v>
      </c>
      <c r="G197" s="10">
        <v>10</v>
      </c>
      <c r="H197" s="11"/>
    </row>
    <row r="198" spans="1:8" ht="15.75" customHeight="1">
      <c r="A198" s="6">
        <v>41502</v>
      </c>
      <c r="B198" s="7" t="s">
        <v>20</v>
      </c>
      <c r="C198" s="7" t="s">
        <v>258</v>
      </c>
      <c r="D198" s="7" t="s">
        <v>260</v>
      </c>
      <c r="E198" s="8">
        <f t="shared" si="0"/>
        <v>0</v>
      </c>
      <c r="F198" s="9">
        <v>0</v>
      </c>
      <c r="G198" s="10">
        <v>20</v>
      </c>
      <c r="H198" s="11"/>
    </row>
    <row r="199" spans="1:8" ht="15.75" customHeight="1">
      <c r="A199" s="6">
        <v>41503</v>
      </c>
      <c r="B199" s="7" t="s">
        <v>20</v>
      </c>
      <c r="C199" s="7" t="s">
        <v>258</v>
      </c>
      <c r="D199" s="7" t="s">
        <v>224</v>
      </c>
      <c r="E199" s="8">
        <f t="shared" si="0"/>
        <v>0</v>
      </c>
      <c r="F199" s="9"/>
      <c r="G199" s="10">
        <v>15</v>
      </c>
      <c r="H199" s="11"/>
    </row>
    <row r="200" spans="1:8" ht="15.75" customHeight="1">
      <c r="A200" s="6">
        <v>41601</v>
      </c>
      <c r="B200" s="7" t="s">
        <v>20</v>
      </c>
      <c r="C200" s="7" t="s">
        <v>261</v>
      </c>
      <c r="D200" s="7" t="s">
        <v>262</v>
      </c>
      <c r="E200" s="8">
        <f t="shared" si="0"/>
        <v>66.666666666666671</v>
      </c>
      <c r="F200" s="9">
        <v>5</v>
      </c>
      <c r="G200" s="10">
        <v>75</v>
      </c>
      <c r="H200" s="11"/>
    </row>
    <row r="201" spans="1:8" ht="15.75" customHeight="1">
      <c r="A201" s="6">
        <v>50101</v>
      </c>
      <c r="B201" s="7" t="s">
        <v>263</v>
      </c>
      <c r="C201" s="7" t="s">
        <v>264</v>
      </c>
      <c r="D201" s="7" t="s">
        <v>263</v>
      </c>
      <c r="E201" s="8">
        <f t="shared" si="0"/>
        <v>35.079829098268497</v>
      </c>
      <c r="F201" s="9">
        <v>156</v>
      </c>
      <c r="G201" s="10">
        <v>4447</v>
      </c>
      <c r="H201" s="11"/>
    </row>
    <row r="202" spans="1:8" ht="15.75" customHeight="1">
      <c r="A202" s="6">
        <v>50102</v>
      </c>
      <c r="B202" s="7" t="s">
        <v>263</v>
      </c>
      <c r="C202" s="7" t="s">
        <v>264</v>
      </c>
      <c r="D202" s="7" t="s">
        <v>265</v>
      </c>
      <c r="E202" s="8">
        <f t="shared" si="0"/>
        <v>99.688473520249218</v>
      </c>
      <c r="F202" s="9">
        <v>64</v>
      </c>
      <c r="G202" s="10">
        <v>642</v>
      </c>
      <c r="H202" s="11"/>
    </row>
    <row r="203" spans="1:8" ht="15.75" customHeight="1">
      <c r="A203" s="6">
        <v>50103</v>
      </c>
      <c r="B203" s="7" t="s">
        <v>263</v>
      </c>
      <c r="C203" s="7" t="s">
        <v>264</v>
      </c>
      <c r="D203" s="7" t="s">
        <v>266</v>
      </c>
      <c r="E203" s="8">
        <f t="shared" si="0"/>
        <v>6.4516129032258061</v>
      </c>
      <c r="F203" s="9">
        <v>1</v>
      </c>
      <c r="G203" s="10">
        <v>155</v>
      </c>
      <c r="H203" s="11"/>
    </row>
    <row r="204" spans="1:8" ht="15.75" customHeight="1">
      <c r="A204" s="6">
        <v>50104</v>
      </c>
      <c r="B204" s="7" t="s">
        <v>263</v>
      </c>
      <c r="C204" s="7" t="s">
        <v>264</v>
      </c>
      <c r="D204" s="7" t="s">
        <v>267</v>
      </c>
      <c r="E204" s="8">
        <f t="shared" si="0"/>
        <v>16.666666666666668</v>
      </c>
      <c r="F204" s="9">
        <v>1</v>
      </c>
      <c r="G204" s="10">
        <v>60</v>
      </c>
      <c r="H204" s="11"/>
    </row>
    <row r="205" spans="1:8" ht="15.75" customHeight="1">
      <c r="A205" s="6">
        <v>50201</v>
      </c>
      <c r="B205" s="7" t="s">
        <v>263</v>
      </c>
      <c r="C205" s="7" t="s">
        <v>268</v>
      </c>
      <c r="D205" s="7" t="s">
        <v>269</v>
      </c>
      <c r="E205" s="8">
        <f t="shared" si="0"/>
        <v>96.846846846846844</v>
      </c>
      <c r="F205" s="9">
        <v>43</v>
      </c>
      <c r="G205" s="10">
        <v>444</v>
      </c>
      <c r="H205" s="11"/>
    </row>
    <row r="206" spans="1:8" ht="15.75" customHeight="1">
      <c r="A206" s="6">
        <v>50202</v>
      </c>
      <c r="B206" s="7" t="s">
        <v>263</v>
      </c>
      <c r="C206" s="7" t="s">
        <v>268</v>
      </c>
      <c r="D206" s="7" t="s">
        <v>270</v>
      </c>
      <c r="E206" s="8">
        <f t="shared" si="0"/>
        <v>71.794871794871796</v>
      </c>
      <c r="F206" s="9">
        <v>28</v>
      </c>
      <c r="G206" s="10">
        <v>390</v>
      </c>
      <c r="H206" s="11"/>
    </row>
    <row r="207" spans="1:8" ht="15.75" customHeight="1">
      <c r="A207" s="6">
        <v>50203</v>
      </c>
      <c r="B207" s="7" t="s">
        <v>263</v>
      </c>
      <c r="C207" s="7" t="s">
        <v>268</v>
      </c>
      <c r="D207" s="7" t="s">
        <v>271</v>
      </c>
      <c r="E207" s="8">
        <f t="shared" si="0"/>
        <v>33.932135728542917</v>
      </c>
      <c r="F207" s="9">
        <v>34</v>
      </c>
      <c r="G207" s="10">
        <v>1002</v>
      </c>
      <c r="H207" s="11"/>
    </row>
    <row r="208" spans="1:8" ht="15.75" customHeight="1">
      <c r="A208" s="6">
        <v>50204</v>
      </c>
      <c r="B208" s="7" t="s">
        <v>263</v>
      </c>
      <c r="C208" s="7" t="s">
        <v>268</v>
      </c>
      <c r="D208" s="7" t="s">
        <v>272</v>
      </c>
      <c r="E208" s="8">
        <f t="shared" si="0"/>
        <v>59.28853754940711</v>
      </c>
      <c r="F208" s="9">
        <v>15</v>
      </c>
      <c r="G208" s="10">
        <v>253</v>
      </c>
      <c r="H208" s="11"/>
    </row>
    <row r="209" spans="1:8" ht="15.75" customHeight="1">
      <c r="A209" s="6">
        <v>50301</v>
      </c>
      <c r="B209" s="7" t="s">
        <v>263</v>
      </c>
      <c r="C209" s="7" t="s">
        <v>273</v>
      </c>
      <c r="D209" s="7" t="s">
        <v>274</v>
      </c>
      <c r="E209" s="8">
        <f t="shared" si="0"/>
        <v>56.162246489859598</v>
      </c>
      <c r="F209" s="9">
        <v>36</v>
      </c>
      <c r="G209" s="10">
        <v>641</v>
      </c>
      <c r="H209" s="11"/>
    </row>
    <row r="210" spans="1:8" ht="15.75" customHeight="1">
      <c r="A210" s="6">
        <v>50302</v>
      </c>
      <c r="B210" s="7" t="s">
        <v>263</v>
      </c>
      <c r="C210" s="7" t="s">
        <v>273</v>
      </c>
      <c r="D210" s="7" t="s">
        <v>275</v>
      </c>
      <c r="E210" s="8">
        <f t="shared" si="0"/>
        <v>52.941176470588232</v>
      </c>
      <c r="F210" s="9">
        <v>9</v>
      </c>
      <c r="G210" s="10">
        <v>170</v>
      </c>
      <c r="H210" s="11"/>
    </row>
    <row r="211" spans="1:8" ht="15.75" customHeight="1">
      <c r="A211" s="6">
        <v>50303</v>
      </c>
      <c r="B211" s="7" t="s">
        <v>263</v>
      </c>
      <c r="C211" s="7" t="s">
        <v>273</v>
      </c>
      <c r="D211" s="7" t="s">
        <v>276</v>
      </c>
      <c r="E211" s="8">
        <f t="shared" si="0"/>
        <v>51.587301587301582</v>
      </c>
      <c r="F211" s="9">
        <v>13</v>
      </c>
      <c r="G211" s="10">
        <v>252</v>
      </c>
      <c r="H211" s="11"/>
    </row>
    <row r="212" spans="1:8" ht="15.75" customHeight="1">
      <c r="A212" s="6">
        <v>50401</v>
      </c>
      <c r="B212" s="7" t="s">
        <v>263</v>
      </c>
      <c r="C212" s="7" t="s">
        <v>270</v>
      </c>
      <c r="D212" s="7" t="s">
        <v>277</v>
      </c>
      <c r="E212" s="8">
        <f t="shared" si="0"/>
        <v>142.85714285714286</v>
      </c>
      <c r="F212" s="9">
        <v>54</v>
      </c>
      <c r="G212" s="10">
        <v>378</v>
      </c>
      <c r="H212" s="11"/>
    </row>
    <row r="213" spans="1:8" ht="15.75" customHeight="1">
      <c r="A213" s="6">
        <v>50402</v>
      </c>
      <c r="B213" s="7" t="s">
        <v>263</v>
      </c>
      <c r="C213" s="7" t="s">
        <v>270</v>
      </c>
      <c r="D213" s="7" t="s">
        <v>278</v>
      </c>
      <c r="E213" s="8">
        <f t="shared" si="0"/>
        <v>33.936651583710407</v>
      </c>
      <c r="F213" s="9">
        <v>15</v>
      </c>
      <c r="G213" s="10">
        <v>442</v>
      </c>
      <c r="H213" s="11"/>
    </row>
    <row r="214" spans="1:8" ht="15.75" customHeight="1">
      <c r="A214" s="6">
        <v>50403</v>
      </c>
      <c r="B214" s="7" t="s">
        <v>263</v>
      </c>
      <c r="C214" s="7" t="s">
        <v>270</v>
      </c>
      <c r="D214" s="7" t="s">
        <v>279</v>
      </c>
      <c r="E214" s="8">
        <f t="shared" si="0"/>
        <v>71.813285457809698</v>
      </c>
      <c r="F214" s="9">
        <v>40</v>
      </c>
      <c r="G214" s="10">
        <v>557</v>
      </c>
      <c r="H214" s="11"/>
    </row>
    <row r="215" spans="1:8" ht="15.75" customHeight="1">
      <c r="A215" s="6">
        <v>50404</v>
      </c>
      <c r="B215" s="7" t="s">
        <v>263</v>
      </c>
      <c r="C215" s="7" t="s">
        <v>270</v>
      </c>
      <c r="D215" s="7" t="s">
        <v>280</v>
      </c>
      <c r="E215" s="8">
        <f t="shared" si="0"/>
        <v>111.67512690355331</v>
      </c>
      <c r="F215" s="9">
        <v>44</v>
      </c>
      <c r="G215" s="10">
        <v>394</v>
      </c>
      <c r="H215" s="11"/>
    </row>
    <row r="216" spans="1:8" ht="15.75" customHeight="1">
      <c r="A216" s="19">
        <v>50405</v>
      </c>
      <c r="B216" s="7" t="s">
        <v>263</v>
      </c>
      <c r="C216" s="7" t="s">
        <v>270</v>
      </c>
      <c r="D216" s="7" t="s">
        <v>281</v>
      </c>
      <c r="E216" s="8">
        <f t="shared" si="0"/>
        <v>94.142259414225933</v>
      </c>
      <c r="F216" s="9">
        <v>45</v>
      </c>
      <c r="G216" s="10">
        <v>478</v>
      </c>
      <c r="H216" s="11"/>
    </row>
    <row r="217" spans="1:8" ht="15.75" customHeight="1">
      <c r="A217" s="6">
        <v>50501</v>
      </c>
      <c r="B217" s="7" t="s">
        <v>263</v>
      </c>
      <c r="C217" s="7" t="s">
        <v>282</v>
      </c>
      <c r="D217" s="7" t="s">
        <v>283</v>
      </c>
      <c r="E217" s="8">
        <f t="shared" si="0"/>
        <v>87.912087912087912</v>
      </c>
      <c r="F217" s="9">
        <v>64</v>
      </c>
      <c r="G217" s="10">
        <v>728</v>
      </c>
      <c r="H217" s="11"/>
    </row>
    <row r="218" spans="1:8" ht="15.75" customHeight="1">
      <c r="A218" s="6">
        <v>50502</v>
      </c>
      <c r="B218" s="7" t="s">
        <v>263</v>
      </c>
      <c r="C218" s="7" t="s">
        <v>282</v>
      </c>
      <c r="D218" s="7" t="s">
        <v>284</v>
      </c>
      <c r="E218" s="8">
        <f t="shared" si="0"/>
        <v>76.923076923076934</v>
      </c>
      <c r="F218" s="9">
        <v>20</v>
      </c>
      <c r="G218" s="10">
        <v>260</v>
      </c>
      <c r="H218" s="11"/>
    </row>
    <row r="219" spans="1:8" ht="15.75" customHeight="1">
      <c r="A219" s="6">
        <v>50601</v>
      </c>
      <c r="B219" s="7" t="s">
        <v>263</v>
      </c>
      <c r="C219" s="7" t="s">
        <v>285</v>
      </c>
      <c r="D219" s="7" t="s">
        <v>286</v>
      </c>
      <c r="E219" s="8">
        <f t="shared" si="0"/>
        <v>9.9337748344370862</v>
      </c>
      <c r="F219" s="9">
        <v>6</v>
      </c>
      <c r="G219" s="10">
        <v>604</v>
      </c>
      <c r="H219" s="11"/>
    </row>
    <row r="220" spans="1:8" ht="15.75" customHeight="1">
      <c r="A220" s="6">
        <v>50602</v>
      </c>
      <c r="B220" s="7" t="s">
        <v>263</v>
      </c>
      <c r="C220" s="7" t="s">
        <v>285</v>
      </c>
      <c r="D220" s="7" t="s">
        <v>287</v>
      </c>
      <c r="E220" s="8">
        <f t="shared" si="0"/>
        <v>20.833333333333332</v>
      </c>
      <c r="F220" s="9">
        <v>4</v>
      </c>
      <c r="G220" s="10">
        <v>192</v>
      </c>
      <c r="H220" s="11"/>
    </row>
    <row r="221" spans="1:8" ht="15.75" customHeight="1">
      <c r="A221" s="6">
        <v>50701</v>
      </c>
      <c r="B221" s="7" t="s">
        <v>263</v>
      </c>
      <c r="C221" s="7" t="s">
        <v>288</v>
      </c>
      <c r="D221" s="7" t="s">
        <v>289</v>
      </c>
      <c r="E221" s="8">
        <f t="shared" si="0"/>
        <v>30.23758099352052</v>
      </c>
      <c r="F221" s="9">
        <v>14</v>
      </c>
      <c r="G221" s="10">
        <v>463</v>
      </c>
      <c r="H221" s="11"/>
    </row>
    <row r="222" spans="1:8" ht="15.75" customHeight="1">
      <c r="A222" s="6">
        <v>50702</v>
      </c>
      <c r="B222" s="7" t="s">
        <v>263</v>
      </c>
      <c r="C222" s="7" t="s">
        <v>288</v>
      </c>
      <c r="D222" s="7" t="s">
        <v>290</v>
      </c>
      <c r="E222" s="8">
        <f t="shared" si="0"/>
        <v>37.914691943127963</v>
      </c>
      <c r="F222" s="9">
        <v>8</v>
      </c>
      <c r="G222" s="10">
        <v>211</v>
      </c>
      <c r="H222" s="11"/>
    </row>
    <row r="223" spans="1:8" ht="15.75" customHeight="1">
      <c r="A223" s="6">
        <v>50801</v>
      </c>
      <c r="B223" s="7" t="s">
        <v>263</v>
      </c>
      <c r="C223" s="7" t="s">
        <v>291</v>
      </c>
      <c r="D223" s="7" t="s">
        <v>292</v>
      </c>
      <c r="E223" s="8">
        <f t="shared" si="0"/>
        <v>10.834236186348862</v>
      </c>
      <c r="F223" s="9">
        <v>10</v>
      </c>
      <c r="G223" s="10">
        <v>923</v>
      </c>
      <c r="H223" s="11"/>
    </row>
    <row r="224" spans="1:8" ht="15.75" customHeight="1">
      <c r="A224" s="6">
        <v>50802</v>
      </c>
      <c r="B224" s="7" t="s">
        <v>263</v>
      </c>
      <c r="C224" s="7" t="s">
        <v>291</v>
      </c>
      <c r="D224" s="7" t="s">
        <v>293</v>
      </c>
      <c r="E224" s="8">
        <f t="shared" si="0"/>
        <v>3.8167938931297707</v>
      </c>
      <c r="F224" s="9">
        <v>1</v>
      </c>
      <c r="G224" s="10">
        <v>262</v>
      </c>
      <c r="H224" s="11"/>
    </row>
    <row r="225" spans="1:8" ht="15.75" customHeight="1">
      <c r="A225" s="6">
        <v>50901</v>
      </c>
      <c r="B225" s="7" t="s">
        <v>263</v>
      </c>
      <c r="C225" s="7" t="s">
        <v>294</v>
      </c>
      <c r="D225" s="7" t="s">
        <v>295</v>
      </c>
      <c r="E225" s="8">
        <f t="shared" si="0"/>
        <v>3.4722222222222219</v>
      </c>
      <c r="F225" s="9">
        <v>1</v>
      </c>
      <c r="G225" s="10">
        <v>288</v>
      </c>
      <c r="H225" s="11"/>
    </row>
    <row r="226" spans="1:8" ht="15.75" customHeight="1">
      <c r="A226" s="6">
        <v>50902</v>
      </c>
      <c r="B226" s="7" t="s">
        <v>263</v>
      </c>
      <c r="C226" s="7" t="s">
        <v>294</v>
      </c>
      <c r="D226" s="7" t="s">
        <v>296</v>
      </c>
      <c r="E226" s="8">
        <f t="shared" si="0"/>
        <v>0</v>
      </c>
      <c r="F226" s="9">
        <v>0</v>
      </c>
      <c r="G226" s="10">
        <v>16</v>
      </c>
      <c r="H226" s="11"/>
    </row>
    <row r="227" spans="1:8" ht="15.75" customHeight="1">
      <c r="A227" s="6">
        <v>51001</v>
      </c>
      <c r="B227" s="7" t="s">
        <v>263</v>
      </c>
      <c r="C227" s="7" t="s">
        <v>297</v>
      </c>
      <c r="D227" s="7" t="s">
        <v>298</v>
      </c>
      <c r="E227" s="8">
        <f t="shared" si="0"/>
        <v>10.638297872340425</v>
      </c>
      <c r="F227" s="9">
        <v>1</v>
      </c>
      <c r="G227" s="10">
        <v>94</v>
      </c>
      <c r="H227" s="11"/>
    </row>
    <row r="228" spans="1:8" ht="15.75" customHeight="1">
      <c r="A228" s="6">
        <v>51002</v>
      </c>
      <c r="B228" s="7" t="s">
        <v>263</v>
      </c>
      <c r="C228" s="7" t="s">
        <v>297</v>
      </c>
      <c r="D228" s="7" t="s">
        <v>299</v>
      </c>
      <c r="E228" s="8">
        <f t="shared" si="0"/>
        <v>0</v>
      </c>
      <c r="F228" s="9">
        <v>0</v>
      </c>
      <c r="G228" s="10">
        <v>31</v>
      </c>
      <c r="H228" s="11"/>
    </row>
    <row r="229" spans="1:8" ht="15.75" customHeight="1">
      <c r="A229" s="6">
        <v>51003</v>
      </c>
      <c r="B229" s="7" t="s">
        <v>263</v>
      </c>
      <c r="C229" s="7" t="s">
        <v>297</v>
      </c>
      <c r="D229" s="7" t="s">
        <v>300</v>
      </c>
      <c r="E229" s="8">
        <f t="shared" si="0"/>
        <v>0</v>
      </c>
      <c r="F229" s="9">
        <v>0</v>
      </c>
      <c r="G229" s="10">
        <v>56</v>
      </c>
      <c r="H229" s="11"/>
    </row>
    <row r="230" spans="1:8" ht="15.75" customHeight="1">
      <c r="A230" s="6">
        <v>51101</v>
      </c>
      <c r="B230" s="7" t="s">
        <v>263</v>
      </c>
      <c r="C230" s="7" t="s">
        <v>301</v>
      </c>
      <c r="D230" s="7" t="s">
        <v>302</v>
      </c>
      <c r="E230" s="8">
        <f t="shared" si="0"/>
        <v>11.210762331838565</v>
      </c>
      <c r="F230" s="9">
        <v>5</v>
      </c>
      <c r="G230" s="10">
        <v>446</v>
      </c>
      <c r="H230" s="11"/>
    </row>
    <row r="231" spans="1:8" ht="15.75" customHeight="1">
      <c r="A231" s="6">
        <v>51102</v>
      </c>
      <c r="B231" s="7" t="s">
        <v>263</v>
      </c>
      <c r="C231" s="7" t="s">
        <v>301</v>
      </c>
      <c r="D231" s="7" t="s">
        <v>303</v>
      </c>
      <c r="E231" s="8">
        <f t="shared" si="0"/>
        <v>13.698630136986301</v>
      </c>
      <c r="F231" s="9">
        <v>3</v>
      </c>
      <c r="G231" s="10">
        <v>219</v>
      </c>
      <c r="H231" s="11"/>
    </row>
    <row r="232" spans="1:8" ht="15.75" customHeight="1">
      <c r="A232" s="6">
        <v>51103</v>
      </c>
      <c r="B232" s="7" t="s">
        <v>263</v>
      </c>
      <c r="C232" s="7" t="s">
        <v>301</v>
      </c>
      <c r="D232" s="7" t="s">
        <v>304</v>
      </c>
      <c r="E232" s="8">
        <f t="shared" si="0"/>
        <v>23.255813953488371</v>
      </c>
      <c r="F232" s="9">
        <v>10</v>
      </c>
      <c r="G232" s="10">
        <v>430</v>
      </c>
      <c r="H232" s="11"/>
    </row>
    <row r="233" spans="1:8" ht="15.75" customHeight="1">
      <c r="A233" s="6">
        <v>51201</v>
      </c>
      <c r="B233" s="7" t="s">
        <v>263</v>
      </c>
      <c r="C233" s="7" t="s">
        <v>305</v>
      </c>
      <c r="D233" s="7" t="s">
        <v>306</v>
      </c>
      <c r="E233" s="8">
        <f t="shared" si="0"/>
        <v>11.577424023154848</v>
      </c>
      <c r="F233" s="9">
        <v>8</v>
      </c>
      <c r="G233" s="10">
        <v>691</v>
      </c>
      <c r="H233" s="11"/>
    </row>
    <row r="234" spans="1:8" ht="15.75" customHeight="1">
      <c r="A234" s="6">
        <v>51202</v>
      </c>
      <c r="B234" s="7" t="s">
        <v>263</v>
      </c>
      <c r="C234" s="7" t="s">
        <v>305</v>
      </c>
      <c r="D234" s="7" t="s">
        <v>307</v>
      </c>
      <c r="E234" s="8">
        <f t="shared" si="0"/>
        <v>11.560693641618496</v>
      </c>
      <c r="F234" s="9">
        <v>2</v>
      </c>
      <c r="G234" s="10">
        <v>173</v>
      </c>
      <c r="H234" s="11"/>
    </row>
    <row r="235" spans="1:8" ht="15.75" customHeight="1">
      <c r="A235" s="6">
        <v>51203</v>
      </c>
      <c r="B235" s="7" t="s">
        <v>263</v>
      </c>
      <c r="C235" s="7" t="s">
        <v>305</v>
      </c>
      <c r="D235" s="7" t="s">
        <v>308</v>
      </c>
      <c r="E235" s="8">
        <f t="shared" si="0"/>
        <v>6.2893081761006293</v>
      </c>
      <c r="F235" s="9">
        <v>2</v>
      </c>
      <c r="G235" s="10">
        <v>318</v>
      </c>
      <c r="H235" s="11"/>
    </row>
    <row r="236" spans="1:8" ht="15.75" customHeight="1">
      <c r="A236" s="19">
        <v>51204</v>
      </c>
      <c r="B236" s="7" t="s">
        <v>263</v>
      </c>
      <c r="C236" s="7"/>
      <c r="D236" s="7" t="s">
        <v>309</v>
      </c>
      <c r="E236" s="8">
        <f t="shared" si="0"/>
        <v>23.076923076923077</v>
      </c>
      <c r="F236" s="9">
        <v>3</v>
      </c>
      <c r="G236" s="10">
        <v>130</v>
      </c>
      <c r="H236" s="11"/>
    </row>
    <row r="237" spans="1:8" ht="15.75" customHeight="1">
      <c r="A237" s="6">
        <v>51301</v>
      </c>
      <c r="B237" s="7" t="s">
        <v>263</v>
      </c>
      <c r="C237" s="7" t="s">
        <v>310</v>
      </c>
      <c r="D237" s="7" t="s">
        <v>311</v>
      </c>
      <c r="E237" s="8">
        <f t="shared" si="0"/>
        <v>27.27272727272727</v>
      </c>
      <c r="F237" s="9">
        <v>3</v>
      </c>
      <c r="G237" s="10">
        <v>110</v>
      </c>
      <c r="H237" s="11"/>
    </row>
    <row r="238" spans="1:8" ht="15.75" customHeight="1">
      <c r="A238" s="6">
        <v>51302</v>
      </c>
      <c r="B238" s="7" t="s">
        <v>263</v>
      </c>
      <c r="C238" s="7" t="s">
        <v>310</v>
      </c>
      <c r="D238" s="7" t="s">
        <v>312</v>
      </c>
      <c r="E238" s="8">
        <f t="shared" si="0"/>
        <v>23.255813953488371</v>
      </c>
      <c r="F238" s="9">
        <v>3</v>
      </c>
      <c r="G238" s="10">
        <v>129</v>
      </c>
      <c r="H238" s="11"/>
    </row>
    <row r="239" spans="1:8" ht="15.75" customHeight="1">
      <c r="A239" s="6">
        <v>51401</v>
      </c>
      <c r="B239" s="7" t="s">
        <v>263</v>
      </c>
      <c r="C239" s="7" t="s">
        <v>313</v>
      </c>
      <c r="D239" s="7" t="s">
        <v>314</v>
      </c>
      <c r="E239" s="8">
        <f t="shared" si="0"/>
        <v>12.195121951219512</v>
      </c>
      <c r="F239" s="9">
        <v>1</v>
      </c>
      <c r="G239" s="10">
        <v>82</v>
      </c>
      <c r="H239" s="11"/>
    </row>
    <row r="240" spans="1:8" ht="15.75" customHeight="1">
      <c r="A240" s="6">
        <v>51402</v>
      </c>
      <c r="B240" s="7" t="s">
        <v>263</v>
      </c>
      <c r="C240" s="7" t="s">
        <v>313</v>
      </c>
      <c r="D240" s="7" t="s">
        <v>315</v>
      </c>
      <c r="E240" s="8">
        <f t="shared" si="0"/>
        <v>0</v>
      </c>
      <c r="F240" s="9">
        <v>0</v>
      </c>
      <c r="G240" s="10">
        <v>26</v>
      </c>
      <c r="H240" s="11"/>
    </row>
    <row r="241" spans="1:12" ht="15.75" customHeight="1">
      <c r="A241" s="6">
        <v>51501</v>
      </c>
      <c r="B241" s="7" t="s">
        <v>263</v>
      </c>
      <c r="C241" s="7" t="s">
        <v>316</v>
      </c>
      <c r="D241" s="7" t="s">
        <v>317</v>
      </c>
      <c r="E241" s="8">
        <f t="shared" si="0"/>
        <v>3.0581039755351682</v>
      </c>
      <c r="F241" s="9">
        <v>3</v>
      </c>
      <c r="G241" s="10">
        <v>981</v>
      </c>
      <c r="H241" s="11"/>
    </row>
    <row r="242" spans="1:12" ht="15.75" customHeight="1">
      <c r="A242" s="6">
        <v>51601</v>
      </c>
      <c r="B242" s="7" t="s">
        <v>263</v>
      </c>
      <c r="C242" s="7" t="s">
        <v>318</v>
      </c>
      <c r="D242" s="7" t="s">
        <v>319</v>
      </c>
      <c r="E242" s="8">
        <f t="shared" si="0"/>
        <v>0</v>
      </c>
      <c r="F242" s="9">
        <v>0</v>
      </c>
      <c r="G242" s="10">
        <v>19</v>
      </c>
      <c r="H242" s="11"/>
    </row>
    <row r="243" spans="1:12" ht="15.75" customHeight="1">
      <c r="A243" s="6">
        <v>60101</v>
      </c>
      <c r="B243" s="7" t="s">
        <v>25</v>
      </c>
      <c r="C243" s="7" t="s">
        <v>164</v>
      </c>
      <c r="D243" s="7" t="s">
        <v>25</v>
      </c>
      <c r="E243" s="8">
        <f t="shared" si="0"/>
        <v>11.360634081902244</v>
      </c>
      <c r="F243" s="9">
        <v>43</v>
      </c>
      <c r="G243" s="10">
        <v>3785</v>
      </c>
      <c r="H243" s="11"/>
    </row>
    <row r="244" spans="1:12" ht="15.75" customHeight="1">
      <c r="A244" s="6">
        <v>60201</v>
      </c>
      <c r="B244" s="7" t="s">
        <v>25</v>
      </c>
      <c r="C244" s="7" t="s">
        <v>320</v>
      </c>
      <c r="D244" s="7" t="s">
        <v>321</v>
      </c>
      <c r="E244" s="8">
        <f t="shared" si="0"/>
        <v>18.348623853211009</v>
      </c>
      <c r="F244" s="9">
        <v>6</v>
      </c>
      <c r="G244" s="10">
        <v>327</v>
      </c>
      <c r="H244" s="11"/>
    </row>
    <row r="245" spans="1:12" ht="15.75" customHeight="1">
      <c r="A245" s="6">
        <v>60202</v>
      </c>
      <c r="B245" s="7" t="s">
        <v>25</v>
      </c>
      <c r="C245" s="7" t="s">
        <v>320</v>
      </c>
      <c r="D245" s="7" t="s">
        <v>322</v>
      </c>
      <c r="E245" s="8">
        <f t="shared" si="0"/>
        <v>25.751072961373392</v>
      </c>
      <c r="F245" s="9">
        <v>18</v>
      </c>
      <c r="G245" s="10">
        <v>699</v>
      </c>
      <c r="H245" s="11"/>
    </row>
    <row r="246" spans="1:12" ht="15.75" customHeight="1">
      <c r="A246" s="6">
        <v>60301</v>
      </c>
      <c r="B246" s="7" t="s">
        <v>25</v>
      </c>
      <c r="C246" s="7" t="s">
        <v>323</v>
      </c>
      <c r="D246" s="7" t="s">
        <v>324</v>
      </c>
      <c r="E246" s="8">
        <f t="shared" si="0"/>
        <v>23.006955591225257</v>
      </c>
      <c r="F246" s="9">
        <v>43</v>
      </c>
      <c r="G246" s="10">
        <v>1869</v>
      </c>
      <c r="H246" s="11"/>
      <c r="J246" s="18"/>
      <c r="K246" s="18"/>
      <c r="L246" s="18"/>
    </row>
    <row r="247" spans="1:12" ht="15.75" customHeight="1">
      <c r="A247" s="6">
        <v>60302</v>
      </c>
      <c r="B247" s="7" t="s">
        <v>25</v>
      </c>
      <c r="C247" s="7" t="s">
        <v>323</v>
      </c>
      <c r="D247" s="7" t="s">
        <v>325</v>
      </c>
      <c r="E247" s="8">
        <f t="shared" si="0"/>
        <v>7.0671378091872787</v>
      </c>
      <c r="F247" s="9">
        <v>2</v>
      </c>
      <c r="G247" s="10">
        <v>283</v>
      </c>
      <c r="H247" s="11"/>
    </row>
    <row r="248" spans="1:12" ht="15.75" customHeight="1">
      <c r="A248" s="6">
        <v>60303</v>
      </c>
      <c r="B248" s="7" t="s">
        <v>25</v>
      </c>
      <c r="C248" s="7" t="s">
        <v>323</v>
      </c>
      <c r="D248" s="7" t="s">
        <v>326</v>
      </c>
      <c r="E248" s="8">
        <f t="shared" si="0"/>
        <v>27.149321266968325</v>
      </c>
      <c r="F248" s="9">
        <v>24</v>
      </c>
      <c r="G248" s="10">
        <v>884</v>
      </c>
      <c r="H248" s="11"/>
    </row>
    <row r="249" spans="1:12" ht="15.75" customHeight="1">
      <c r="A249" s="6">
        <v>60401</v>
      </c>
      <c r="B249" s="7" t="s">
        <v>25</v>
      </c>
      <c r="C249" s="7" t="s">
        <v>327</v>
      </c>
      <c r="D249" s="7" t="s">
        <v>328</v>
      </c>
      <c r="E249" s="8">
        <f t="shared" si="0"/>
        <v>6.968641114982578</v>
      </c>
      <c r="F249" s="9">
        <v>2</v>
      </c>
      <c r="G249" s="10">
        <v>287</v>
      </c>
      <c r="H249" s="11"/>
    </row>
    <row r="250" spans="1:12" ht="15.75" customHeight="1">
      <c r="A250" s="6">
        <v>60402</v>
      </c>
      <c r="B250" s="7" t="s">
        <v>25</v>
      </c>
      <c r="C250" s="7" t="s">
        <v>327</v>
      </c>
      <c r="D250" s="7" t="s">
        <v>329</v>
      </c>
      <c r="E250" s="8">
        <f t="shared" si="0"/>
        <v>34.188034188034194</v>
      </c>
      <c r="F250" s="9">
        <v>4</v>
      </c>
      <c r="G250" s="10">
        <v>117</v>
      </c>
      <c r="H250" s="11"/>
    </row>
    <row r="251" spans="1:12" ht="15.75" customHeight="1">
      <c r="A251" s="6">
        <v>60501</v>
      </c>
      <c r="B251" s="7" t="s">
        <v>25</v>
      </c>
      <c r="C251" s="7" t="s">
        <v>330</v>
      </c>
      <c r="D251" s="7" t="s">
        <v>331</v>
      </c>
      <c r="E251" s="8">
        <f t="shared" si="0"/>
        <v>19.323671497584542</v>
      </c>
      <c r="F251" s="9">
        <v>8</v>
      </c>
      <c r="G251" s="10">
        <v>414</v>
      </c>
      <c r="H251" s="11"/>
    </row>
    <row r="252" spans="1:12" ht="15.75" customHeight="1">
      <c r="A252" s="6">
        <v>60502</v>
      </c>
      <c r="B252" s="7" t="s">
        <v>25</v>
      </c>
      <c r="C252" s="7" t="s">
        <v>330</v>
      </c>
      <c r="D252" s="7" t="s">
        <v>332</v>
      </c>
      <c r="E252" s="8">
        <f t="shared" si="0"/>
        <v>17.857142857142858</v>
      </c>
      <c r="F252" s="9">
        <v>4</v>
      </c>
      <c r="G252" s="10">
        <v>224</v>
      </c>
      <c r="H252" s="11"/>
    </row>
    <row r="253" spans="1:12" ht="15.75" customHeight="1">
      <c r="A253" s="6">
        <v>60601</v>
      </c>
      <c r="B253" s="7" t="s">
        <v>25</v>
      </c>
      <c r="C253" s="7" t="s">
        <v>333</v>
      </c>
      <c r="D253" s="7" t="s">
        <v>205</v>
      </c>
      <c r="E253" s="8">
        <f t="shared" si="0"/>
        <v>7.0588235294117654</v>
      </c>
      <c r="F253" s="9">
        <v>3</v>
      </c>
      <c r="G253" s="10">
        <v>425</v>
      </c>
      <c r="H253" s="11"/>
    </row>
    <row r="254" spans="1:12" ht="15.75" customHeight="1">
      <c r="A254" s="6">
        <v>70101</v>
      </c>
      <c r="B254" s="7" t="s">
        <v>27</v>
      </c>
      <c r="C254" s="7" t="s">
        <v>334</v>
      </c>
      <c r="D254" s="7" t="s">
        <v>335</v>
      </c>
      <c r="E254" s="8">
        <f t="shared" si="0"/>
        <v>14.506891560198879</v>
      </c>
      <c r="F254" s="9">
        <v>461</v>
      </c>
      <c r="G254" s="10">
        <v>31778</v>
      </c>
      <c r="H254" s="11"/>
    </row>
    <row r="255" spans="1:12" ht="15.75" customHeight="1">
      <c r="A255" s="6">
        <v>70102</v>
      </c>
      <c r="B255" s="7" t="s">
        <v>27</v>
      </c>
      <c r="C255" s="7" t="s">
        <v>334</v>
      </c>
      <c r="D255" s="7" t="s">
        <v>336</v>
      </c>
      <c r="E255" s="8">
        <f t="shared" si="0"/>
        <v>27.308192457737324</v>
      </c>
      <c r="F255" s="9">
        <v>42</v>
      </c>
      <c r="G255" s="10">
        <v>1538</v>
      </c>
      <c r="H255" s="11"/>
    </row>
    <row r="256" spans="1:12" ht="15.75" customHeight="1">
      <c r="A256" s="6">
        <v>70103</v>
      </c>
      <c r="B256" s="7" t="s">
        <v>27</v>
      </c>
      <c r="C256" s="7" t="s">
        <v>334</v>
      </c>
      <c r="D256" s="7" t="s">
        <v>337</v>
      </c>
      <c r="E256" s="8">
        <f t="shared" si="0"/>
        <v>6.25</v>
      </c>
      <c r="F256" s="9">
        <v>2</v>
      </c>
      <c r="G256" s="10">
        <v>320</v>
      </c>
      <c r="H256" s="11"/>
    </row>
    <row r="257" spans="1:8" ht="15.75" customHeight="1">
      <c r="A257" s="6">
        <v>70104</v>
      </c>
      <c r="B257" s="7" t="s">
        <v>27</v>
      </c>
      <c r="C257" s="7" t="s">
        <v>334</v>
      </c>
      <c r="D257" s="7" t="s">
        <v>338</v>
      </c>
      <c r="E257" s="8">
        <f t="shared" ref="E257:E344" si="12">(F257/G257)*1000</f>
        <v>8.5470085470085486</v>
      </c>
      <c r="F257" s="9">
        <v>19</v>
      </c>
      <c r="G257" s="10">
        <v>2223</v>
      </c>
      <c r="H257" s="11"/>
    </row>
    <row r="258" spans="1:8" ht="15.75" customHeight="1">
      <c r="A258" s="6">
        <v>70105</v>
      </c>
      <c r="B258" s="7" t="s">
        <v>27</v>
      </c>
      <c r="C258" s="7" t="s">
        <v>334</v>
      </c>
      <c r="D258" s="7" t="s">
        <v>339</v>
      </c>
      <c r="E258" s="8">
        <f t="shared" si="12"/>
        <v>13.440860215053764</v>
      </c>
      <c r="F258" s="9">
        <v>15</v>
      </c>
      <c r="G258" s="10">
        <v>1116</v>
      </c>
      <c r="H258" s="11"/>
    </row>
    <row r="259" spans="1:8" ht="15.75" customHeight="1">
      <c r="A259" s="6">
        <v>70201</v>
      </c>
      <c r="B259" s="7" t="s">
        <v>27</v>
      </c>
      <c r="C259" s="7" t="s">
        <v>340</v>
      </c>
      <c r="D259" s="7" t="s">
        <v>340</v>
      </c>
      <c r="E259" s="8">
        <f t="shared" si="12"/>
        <v>9.4197437829691033</v>
      </c>
      <c r="F259" s="9">
        <v>25</v>
      </c>
      <c r="G259" s="10">
        <v>2654</v>
      </c>
      <c r="H259" s="11"/>
    </row>
    <row r="260" spans="1:8" ht="15.75" customHeight="1">
      <c r="A260" s="6">
        <v>70202</v>
      </c>
      <c r="B260" s="7" t="s">
        <v>27</v>
      </c>
      <c r="C260" s="7" t="s">
        <v>340</v>
      </c>
      <c r="D260" s="7" t="s">
        <v>341</v>
      </c>
      <c r="E260" s="8">
        <f t="shared" si="12"/>
        <v>16.556291390728479</v>
      </c>
      <c r="F260" s="9">
        <v>5</v>
      </c>
      <c r="G260" s="10">
        <v>302</v>
      </c>
      <c r="H260" s="11"/>
    </row>
    <row r="261" spans="1:8" ht="15.75" customHeight="1">
      <c r="A261" s="6">
        <v>70301</v>
      </c>
      <c r="B261" s="7" t="s">
        <v>27</v>
      </c>
      <c r="C261" s="7" t="s">
        <v>342</v>
      </c>
      <c r="D261" s="7" t="s">
        <v>343</v>
      </c>
      <c r="E261" s="8">
        <f t="shared" si="12"/>
        <v>18.601667735728029</v>
      </c>
      <c r="F261" s="9">
        <v>29</v>
      </c>
      <c r="G261" s="10">
        <v>1559</v>
      </c>
      <c r="H261" s="11"/>
    </row>
    <row r="262" spans="1:8" ht="15.75" customHeight="1">
      <c r="A262" s="6">
        <v>70302</v>
      </c>
      <c r="B262" s="7" t="s">
        <v>27</v>
      </c>
      <c r="C262" s="7" t="s">
        <v>342</v>
      </c>
      <c r="D262" s="7" t="s">
        <v>344</v>
      </c>
      <c r="E262" s="8">
        <f t="shared" si="12"/>
        <v>38.869257950530034</v>
      </c>
      <c r="F262" s="9">
        <v>11</v>
      </c>
      <c r="G262" s="10">
        <v>283</v>
      </c>
      <c r="H262" s="11"/>
    </row>
    <row r="263" spans="1:8" ht="15.75" customHeight="1">
      <c r="A263" s="6">
        <v>70303</v>
      </c>
      <c r="B263" s="7" t="s">
        <v>27</v>
      </c>
      <c r="C263" s="7" t="s">
        <v>342</v>
      </c>
      <c r="D263" s="7" t="s">
        <v>345</v>
      </c>
      <c r="E263" s="8">
        <f t="shared" si="12"/>
        <v>34.722222222222221</v>
      </c>
      <c r="F263" s="9">
        <v>5</v>
      </c>
      <c r="G263" s="10">
        <v>144</v>
      </c>
      <c r="H263" s="11"/>
    </row>
    <row r="264" spans="1:8" ht="15.75" customHeight="1">
      <c r="A264" s="6">
        <v>70401</v>
      </c>
      <c r="B264" s="7" t="s">
        <v>27</v>
      </c>
      <c r="C264" s="7" t="s">
        <v>346</v>
      </c>
      <c r="D264" s="7" t="s">
        <v>347</v>
      </c>
      <c r="E264" s="8">
        <f t="shared" si="12"/>
        <v>12.658227848101266</v>
      </c>
      <c r="F264" s="9">
        <v>4</v>
      </c>
      <c r="G264" s="10">
        <v>316</v>
      </c>
      <c r="H264" s="11"/>
    </row>
    <row r="265" spans="1:8" ht="15.75" customHeight="1">
      <c r="A265" s="6">
        <v>70402</v>
      </c>
      <c r="B265" s="7" t="s">
        <v>27</v>
      </c>
      <c r="C265" s="7" t="s">
        <v>346</v>
      </c>
      <c r="D265" s="7" t="s">
        <v>348</v>
      </c>
      <c r="E265" s="8">
        <f t="shared" si="12"/>
        <v>13.7524557956778</v>
      </c>
      <c r="F265" s="9">
        <v>7</v>
      </c>
      <c r="G265" s="10">
        <v>509</v>
      </c>
      <c r="H265" s="11"/>
    </row>
    <row r="266" spans="1:8" ht="15.75" customHeight="1">
      <c r="A266" s="6">
        <v>70403</v>
      </c>
      <c r="B266" s="7" t="s">
        <v>27</v>
      </c>
      <c r="C266" s="7" t="s">
        <v>346</v>
      </c>
      <c r="D266" s="7" t="s">
        <v>349</v>
      </c>
      <c r="E266" s="8">
        <f t="shared" si="12"/>
        <v>23.045267489711936</v>
      </c>
      <c r="F266" s="9">
        <v>28</v>
      </c>
      <c r="G266" s="10">
        <v>1215</v>
      </c>
      <c r="H266" s="11"/>
    </row>
    <row r="267" spans="1:8" ht="15.75" customHeight="1">
      <c r="A267" s="6">
        <v>70404</v>
      </c>
      <c r="B267" s="7" t="s">
        <v>27</v>
      </c>
      <c r="C267" s="7" t="s">
        <v>346</v>
      </c>
      <c r="D267" s="7" t="s">
        <v>350</v>
      </c>
      <c r="E267" s="8">
        <f t="shared" si="12"/>
        <v>21.459227467811157</v>
      </c>
      <c r="F267" s="9">
        <v>5</v>
      </c>
      <c r="G267" s="10">
        <v>233</v>
      </c>
      <c r="H267" s="11"/>
    </row>
    <row r="268" spans="1:8" ht="15.75" customHeight="1">
      <c r="A268" s="6">
        <v>70501</v>
      </c>
      <c r="B268" s="7" t="s">
        <v>27</v>
      </c>
      <c r="C268" s="7" t="s">
        <v>351</v>
      </c>
      <c r="D268" s="7" t="s">
        <v>352</v>
      </c>
      <c r="E268" s="8">
        <f t="shared" si="12"/>
        <v>11.984021304926763</v>
      </c>
      <c r="F268" s="9">
        <v>9</v>
      </c>
      <c r="G268" s="10">
        <v>751</v>
      </c>
      <c r="H268" s="11"/>
    </row>
    <row r="269" spans="1:8" ht="15.75" customHeight="1">
      <c r="A269" s="6">
        <v>70502</v>
      </c>
      <c r="B269" s="7" t="s">
        <v>27</v>
      </c>
      <c r="C269" s="7" t="s">
        <v>351</v>
      </c>
      <c r="D269" s="7" t="s">
        <v>353</v>
      </c>
      <c r="E269" s="8">
        <f t="shared" si="12"/>
        <v>20.329138431752177</v>
      </c>
      <c r="F269" s="9">
        <v>21</v>
      </c>
      <c r="G269" s="10">
        <v>1033</v>
      </c>
      <c r="H269" s="11"/>
    </row>
    <row r="270" spans="1:8" ht="15.75" customHeight="1">
      <c r="A270" s="6">
        <v>70503</v>
      </c>
      <c r="B270" s="7" t="s">
        <v>27</v>
      </c>
      <c r="C270" s="7" t="s">
        <v>351</v>
      </c>
      <c r="D270" s="7" t="s">
        <v>354</v>
      </c>
      <c r="E270" s="8">
        <f t="shared" si="12"/>
        <v>12.195121951219512</v>
      </c>
      <c r="F270" s="9">
        <v>4</v>
      </c>
      <c r="G270" s="10">
        <v>328</v>
      </c>
      <c r="H270" s="11"/>
    </row>
    <row r="271" spans="1:8" ht="15.75" customHeight="1">
      <c r="A271" s="6">
        <v>70601</v>
      </c>
      <c r="B271" s="7" t="s">
        <v>27</v>
      </c>
      <c r="C271" s="7" t="s">
        <v>355</v>
      </c>
      <c r="D271" s="7" t="s">
        <v>356</v>
      </c>
      <c r="E271" s="8">
        <f t="shared" si="12"/>
        <v>4.5766590389016022</v>
      </c>
      <c r="F271" s="9">
        <v>2</v>
      </c>
      <c r="G271" s="10">
        <v>437</v>
      </c>
      <c r="H271" s="11"/>
    </row>
    <row r="272" spans="1:8" ht="15.75" customHeight="1">
      <c r="A272" s="6">
        <v>70602</v>
      </c>
      <c r="B272" s="7" t="s">
        <v>27</v>
      </c>
      <c r="C272" s="7" t="s">
        <v>355</v>
      </c>
      <c r="D272" s="7" t="s">
        <v>357</v>
      </c>
      <c r="E272" s="8">
        <f t="shared" si="12"/>
        <v>14.056224899598392</v>
      </c>
      <c r="F272" s="9">
        <v>7</v>
      </c>
      <c r="G272" s="10">
        <v>498</v>
      </c>
      <c r="H272" s="11"/>
    </row>
    <row r="273" spans="1:8" ht="15.75" customHeight="1">
      <c r="A273" s="6">
        <v>70603</v>
      </c>
      <c r="B273" s="7" t="s">
        <v>27</v>
      </c>
      <c r="C273" s="7" t="s">
        <v>355</v>
      </c>
      <c r="D273" s="7" t="s">
        <v>358</v>
      </c>
      <c r="E273" s="8">
        <f t="shared" si="12"/>
        <v>13.333333333333334</v>
      </c>
      <c r="F273" s="9">
        <v>2</v>
      </c>
      <c r="G273" s="10">
        <v>150</v>
      </c>
      <c r="H273" s="11"/>
    </row>
    <row r="274" spans="1:8" ht="15.75" customHeight="1">
      <c r="A274" s="6">
        <v>70701</v>
      </c>
      <c r="B274" s="7" t="s">
        <v>27</v>
      </c>
      <c r="C274" s="7" t="s">
        <v>359</v>
      </c>
      <c r="D274" s="7" t="s">
        <v>360</v>
      </c>
      <c r="E274" s="8">
        <f t="shared" si="12"/>
        <v>15.503875968992247</v>
      </c>
      <c r="F274" s="9">
        <v>2</v>
      </c>
      <c r="G274" s="10">
        <v>129</v>
      </c>
      <c r="H274" s="11"/>
    </row>
    <row r="275" spans="1:8" ht="15.75" customHeight="1">
      <c r="A275" s="6">
        <v>70702</v>
      </c>
      <c r="B275" s="7" t="s">
        <v>27</v>
      </c>
      <c r="C275" s="7" t="s">
        <v>359</v>
      </c>
      <c r="D275" s="7" t="s">
        <v>361</v>
      </c>
      <c r="E275" s="8">
        <f t="shared" si="12"/>
        <v>29.147982062780269</v>
      </c>
      <c r="F275" s="9">
        <v>26</v>
      </c>
      <c r="G275" s="10">
        <v>892</v>
      </c>
      <c r="H275" s="11"/>
    </row>
    <row r="276" spans="1:8" ht="15.75" customHeight="1">
      <c r="A276" s="6">
        <v>70703</v>
      </c>
      <c r="B276" s="7" t="s">
        <v>27</v>
      </c>
      <c r="C276" s="7" t="s">
        <v>359</v>
      </c>
      <c r="D276" s="7" t="s">
        <v>362</v>
      </c>
      <c r="E276" s="8">
        <f t="shared" si="12"/>
        <v>13.412816691505217</v>
      </c>
      <c r="F276" s="9">
        <v>9</v>
      </c>
      <c r="G276" s="10">
        <v>671</v>
      </c>
      <c r="H276" s="11"/>
    </row>
    <row r="277" spans="1:8" ht="15.75" customHeight="1">
      <c r="A277" s="6">
        <v>70704</v>
      </c>
      <c r="B277" s="7" t="s">
        <v>27</v>
      </c>
      <c r="C277" s="7" t="s">
        <v>359</v>
      </c>
      <c r="D277" s="7" t="s">
        <v>363</v>
      </c>
      <c r="E277" s="8">
        <f t="shared" si="12"/>
        <v>0</v>
      </c>
      <c r="F277" s="9">
        <v>0</v>
      </c>
      <c r="G277" s="10">
        <v>112</v>
      </c>
      <c r="H277" s="11"/>
    </row>
    <row r="278" spans="1:8" ht="15.75" customHeight="1">
      <c r="A278" s="6">
        <v>70705</v>
      </c>
      <c r="B278" s="7" t="s">
        <v>27</v>
      </c>
      <c r="C278" s="7" t="s">
        <v>359</v>
      </c>
      <c r="D278" s="7" t="s">
        <v>364</v>
      </c>
      <c r="E278" s="8">
        <f t="shared" si="12"/>
        <v>47.337278106508876</v>
      </c>
      <c r="F278" s="9">
        <v>16</v>
      </c>
      <c r="G278" s="10">
        <v>338</v>
      </c>
      <c r="H278" s="11"/>
    </row>
    <row r="279" spans="1:8" ht="15.75" customHeight="1">
      <c r="A279" s="6">
        <v>70706</v>
      </c>
      <c r="B279" s="7" t="s">
        <v>27</v>
      </c>
      <c r="C279" s="7" t="s">
        <v>359</v>
      </c>
      <c r="D279" s="7" t="s">
        <v>365</v>
      </c>
      <c r="E279" s="8">
        <f t="shared" si="12"/>
        <v>10.479041916167663</v>
      </c>
      <c r="F279" s="9">
        <v>7</v>
      </c>
      <c r="G279" s="10">
        <v>668</v>
      </c>
      <c r="H279" s="11"/>
    </row>
    <row r="280" spans="1:8" ht="15.75" customHeight="1">
      <c r="A280" s="6">
        <v>70707</v>
      </c>
      <c r="B280" s="7" t="s">
        <v>27</v>
      </c>
      <c r="C280" s="7" t="s">
        <v>359</v>
      </c>
      <c r="D280" s="7" t="s">
        <v>366</v>
      </c>
      <c r="E280" s="8">
        <f t="shared" si="12"/>
        <v>0</v>
      </c>
      <c r="F280" s="9">
        <v>0</v>
      </c>
      <c r="G280" s="10">
        <v>113</v>
      </c>
      <c r="H280" s="11"/>
    </row>
    <row r="281" spans="1:8" ht="15.75" customHeight="1">
      <c r="A281" s="6">
        <v>70801</v>
      </c>
      <c r="B281" s="7" t="s">
        <v>27</v>
      </c>
      <c r="C281" s="7" t="s">
        <v>367</v>
      </c>
      <c r="D281" s="7" t="s">
        <v>367</v>
      </c>
      <c r="E281" s="8">
        <f t="shared" si="12"/>
        <v>9.2592592592592595</v>
      </c>
      <c r="F281" s="9">
        <v>3</v>
      </c>
      <c r="G281" s="10">
        <v>324</v>
      </c>
      <c r="H281" s="11"/>
    </row>
    <row r="282" spans="1:8" ht="15.75" customHeight="1">
      <c r="A282" s="6">
        <v>70802</v>
      </c>
      <c r="B282" s="7" t="s">
        <v>27</v>
      </c>
      <c r="C282" s="7" t="s">
        <v>367</v>
      </c>
      <c r="D282" s="7" t="s">
        <v>368</v>
      </c>
      <c r="E282" s="8">
        <f t="shared" si="12"/>
        <v>0</v>
      </c>
      <c r="F282" s="9">
        <v>0</v>
      </c>
      <c r="G282" s="10">
        <v>33</v>
      </c>
      <c r="H282" s="11"/>
    </row>
    <row r="283" spans="1:8" ht="15.75" customHeight="1">
      <c r="A283" s="6">
        <v>70803</v>
      </c>
      <c r="B283" s="7" t="s">
        <v>27</v>
      </c>
      <c r="C283" s="7" t="s">
        <v>367</v>
      </c>
      <c r="D283" s="7" t="s">
        <v>369</v>
      </c>
      <c r="E283" s="8">
        <f t="shared" si="12"/>
        <v>0</v>
      </c>
      <c r="F283" s="9">
        <v>0</v>
      </c>
      <c r="G283" s="10">
        <v>70</v>
      </c>
      <c r="H283" s="11"/>
    </row>
    <row r="284" spans="1:8" ht="15.75" customHeight="1">
      <c r="A284" s="6">
        <v>70804</v>
      </c>
      <c r="B284" s="7" t="s">
        <v>27</v>
      </c>
      <c r="C284" s="7" t="s">
        <v>367</v>
      </c>
      <c r="D284" s="7" t="s">
        <v>370</v>
      </c>
      <c r="E284" s="8">
        <f t="shared" si="12"/>
        <v>0</v>
      </c>
      <c r="F284" s="9">
        <v>0</v>
      </c>
      <c r="G284" s="10">
        <v>46</v>
      </c>
      <c r="H284" s="11"/>
    </row>
    <row r="285" spans="1:8" ht="15.75" customHeight="1">
      <c r="A285" s="6">
        <v>70805</v>
      </c>
      <c r="B285" s="7" t="s">
        <v>27</v>
      </c>
      <c r="C285" s="7" t="s">
        <v>367</v>
      </c>
      <c r="D285" s="7" t="s">
        <v>371</v>
      </c>
      <c r="E285" s="8">
        <f t="shared" si="12"/>
        <v>0</v>
      </c>
      <c r="F285" s="9">
        <v>0</v>
      </c>
      <c r="G285" s="10">
        <v>40</v>
      </c>
      <c r="H285" s="11"/>
    </row>
    <row r="286" spans="1:8" ht="15.75" customHeight="1">
      <c r="A286" s="6">
        <v>70901</v>
      </c>
      <c r="B286" s="7" t="s">
        <v>27</v>
      </c>
      <c r="C286" s="7" t="s">
        <v>372</v>
      </c>
      <c r="D286" s="7" t="s">
        <v>373</v>
      </c>
      <c r="E286" s="8">
        <f t="shared" si="12"/>
        <v>0</v>
      </c>
      <c r="F286" s="9">
        <v>0</v>
      </c>
      <c r="G286" s="10">
        <v>215</v>
      </c>
      <c r="H286" s="11"/>
    </row>
    <row r="287" spans="1:8" ht="15.75" customHeight="1">
      <c r="A287" s="6">
        <v>70902</v>
      </c>
      <c r="B287" s="7" t="s">
        <v>27</v>
      </c>
      <c r="C287" s="7" t="s">
        <v>372</v>
      </c>
      <c r="D287" s="7" t="s">
        <v>374</v>
      </c>
      <c r="E287" s="8">
        <f t="shared" si="12"/>
        <v>13.698630136986301</v>
      </c>
      <c r="F287" s="9">
        <v>3</v>
      </c>
      <c r="G287" s="10">
        <v>219</v>
      </c>
      <c r="H287" s="11"/>
    </row>
    <row r="288" spans="1:8" ht="15.75" customHeight="1">
      <c r="A288" s="6">
        <v>70903</v>
      </c>
      <c r="B288" s="7" t="s">
        <v>27</v>
      </c>
      <c r="C288" s="7" t="s">
        <v>372</v>
      </c>
      <c r="D288" s="7" t="s">
        <v>375</v>
      </c>
      <c r="E288" s="8">
        <f t="shared" si="12"/>
        <v>19.607843137254903</v>
      </c>
      <c r="F288" s="9">
        <v>5</v>
      </c>
      <c r="G288" s="10">
        <v>255</v>
      </c>
      <c r="H288" s="11"/>
    </row>
    <row r="289" spans="1:8" ht="15.75" customHeight="1">
      <c r="A289" s="6">
        <v>70904</v>
      </c>
      <c r="B289" s="7" t="s">
        <v>27</v>
      </c>
      <c r="C289" s="7" t="s">
        <v>372</v>
      </c>
      <c r="D289" s="7" t="s">
        <v>376</v>
      </c>
      <c r="E289" s="8">
        <f t="shared" si="12"/>
        <v>21.276595744680851</v>
      </c>
      <c r="F289" s="9">
        <v>1</v>
      </c>
      <c r="G289" s="10">
        <v>47</v>
      </c>
      <c r="H289" s="11"/>
    </row>
    <row r="290" spans="1:8" ht="15.75" customHeight="1">
      <c r="A290" s="6">
        <v>71001</v>
      </c>
      <c r="B290" s="7" t="s">
        <v>27</v>
      </c>
      <c r="C290" s="7" t="s">
        <v>377</v>
      </c>
      <c r="D290" s="7" t="s">
        <v>378</v>
      </c>
      <c r="E290" s="8">
        <f t="shared" si="12"/>
        <v>14.754703061600885</v>
      </c>
      <c r="F290" s="9">
        <v>40</v>
      </c>
      <c r="G290" s="10">
        <v>2711</v>
      </c>
      <c r="H290" s="11"/>
    </row>
    <row r="291" spans="1:8" ht="15.75" customHeight="1">
      <c r="A291" s="6">
        <v>71002</v>
      </c>
      <c r="B291" s="7" t="s">
        <v>27</v>
      </c>
      <c r="C291" s="7" t="s">
        <v>377</v>
      </c>
      <c r="D291" s="7" t="s">
        <v>379</v>
      </c>
      <c r="E291" s="8">
        <f t="shared" si="12"/>
        <v>8.2191780821917799</v>
      </c>
      <c r="F291" s="9">
        <v>3</v>
      </c>
      <c r="G291" s="10">
        <v>365</v>
      </c>
      <c r="H291" s="11"/>
    </row>
    <row r="292" spans="1:8" ht="15.75" customHeight="1">
      <c r="A292" s="6">
        <v>71003</v>
      </c>
      <c r="B292" s="7" t="s">
        <v>27</v>
      </c>
      <c r="C292" s="7" t="s">
        <v>377</v>
      </c>
      <c r="D292" s="7" t="s">
        <v>380</v>
      </c>
      <c r="E292" s="8">
        <f t="shared" si="12"/>
        <v>18.838304552590266</v>
      </c>
      <c r="F292" s="9">
        <v>12</v>
      </c>
      <c r="G292" s="10">
        <v>637</v>
      </c>
      <c r="H292" s="11"/>
    </row>
    <row r="293" spans="1:8" ht="15.75" customHeight="1">
      <c r="A293" s="6">
        <v>71004</v>
      </c>
      <c r="B293" s="7" t="s">
        <v>27</v>
      </c>
      <c r="C293" s="7" t="s">
        <v>377</v>
      </c>
      <c r="D293" s="7" t="s">
        <v>381</v>
      </c>
      <c r="E293" s="8">
        <f t="shared" si="12"/>
        <v>29.325513196480941</v>
      </c>
      <c r="F293" s="9">
        <v>10</v>
      </c>
      <c r="G293" s="10">
        <v>341</v>
      </c>
      <c r="H293" s="11"/>
    </row>
    <row r="294" spans="1:8" ht="15.75" customHeight="1">
      <c r="A294" s="6">
        <v>71005</v>
      </c>
      <c r="B294" s="7" t="s">
        <v>27</v>
      </c>
      <c r="C294" s="7" t="s">
        <v>377</v>
      </c>
      <c r="D294" s="7" t="s">
        <v>382</v>
      </c>
      <c r="E294" s="8">
        <f t="shared" si="12"/>
        <v>16.666666666666668</v>
      </c>
      <c r="F294" s="9">
        <v>7</v>
      </c>
      <c r="G294" s="10">
        <v>420</v>
      </c>
      <c r="H294" s="11"/>
    </row>
    <row r="295" spans="1:8" ht="15.75" customHeight="1">
      <c r="A295" s="6">
        <v>71101</v>
      </c>
      <c r="B295" s="7" t="s">
        <v>27</v>
      </c>
      <c r="C295" s="7" t="s">
        <v>383</v>
      </c>
      <c r="D295" s="7" t="s">
        <v>384</v>
      </c>
      <c r="E295" s="8">
        <f t="shared" si="12"/>
        <v>18.726591760299627</v>
      </c>
      <c r="F295" s="9">
        <v>10</v>
      </c>
      <c r="G295" s="10">
        <v>534</v>
      </c>
      <c r="H295" s="11"/>
    </row>
    <row r="296" spans="1:8" ht="15.75" customHeight="1">
      <c r="A296" s="6">
        <v>71102</v>
      </c>
      <c r="B296" s="7" t="s">
        <v>27</v>
      </c>
      <c r="C296" s="7" t="s">
        <v>383</v>
      </c>
      <c r="D296" s="7" t="s">
        <v>385</v>
      </c>
      <c r="E296" s="8">
        <f t="shared" si="12"/>
        <v>42.492917847025495</v>
      </c>
      <c r="F296" s="9">
        <v>15</v>
      </c>
      <c r="G296" s="10">
        <v>353</v>
      </c>
      <c r="H296" s="11"/>
    </row>
    <row r="297" spans="1:8" ht="15.75" customHeight="1">
      <c r="A297" s="6">
        <v>71103</v>
      </c>
      <c r="B297" s="7" t="s">
        <v>27</v>
      </c>
      <c r="C297" s="7" t="s">
        <v>383</v>
      </c>
      <c r="D297" s="7" t="s">
        <v>386</v>
      </c>
      <c r="E297" s="8">
        <f t="shared" si="12"/>
        <v>14.061207609594707</v>
      </c>
      <c r="F297" s="9">
        <v>17</v>
      </c>
      <c r="G297" s="10">
        <v>1209</v>
      </c>
      <c r="H297" s="11"/>
    </row>
    <row r="298" spans="1:8" ht="15.75" customHeight="1">
      <c r="A298" s="6">
        <v>71104</v>
      </c>
      <c r="B298" s="7" t="s">
        <v>27</v>
      </c>
      <c r="C298" s="7" t="s">
        <v>383</v>
      </c>
      <c r="D298" s="7" t="s">
        <v>387</v>
      </c>
      <c r="E298" s="8">
        <f t="shared" si="12"/>
        <v>51.612903225806448</v>
      </c>
      <c r="F298" s="9">
        <v>8</v>
      </c>
      <c r="G298" s="10">
        <v>155</v>
      </c>
      <c r="H298" s="11"/>
    </row>
    <row r="299" spans="1:8" ht="15.75" customHeight="1">
      <c r="A299" s="6">
        <v>71105</v>
      </c>
      <c r="B299" s="7" t="s">
        <v>27</v>
      </c>
      <c r="C299" s="7" t="s">
        <v>383</v>
      </c>
      <c r="D299" s="7" t="s">
        <v>388</v>
      </c>
      <c r="E299" s="8">
        <f t="shared" si="12"/>
        <v>18.518518518518519</v>
      </c>
      <c r="F299" s="9">
        <v>4</v>
      </c>
      <c r="G299" s="10">
        <v>216</v>
      </c>
      <c r="H299" s="11"/>
    </row>
    <row r="300" spans="1:8" ht="15.75" customHeight="1">
      <c r="A300" s="6">
        <v>71106</v>
      </c>
      <c r="B300" s="7" t="s">
        <v>27</v>
      </c>
      <c r="C300" s="7" t="s">
        <v>383</v>
      </c>
      <c r="D300" s="7" t="s">
        <v>389</v>
      </c>
      <c r="E300" s="8">
        <f t="shared" si="12"/>
        <v>20.654044750430295</v>
      </c>
      <c r="F300" s="9">
        <v>12</v>
      </c>
      <c r="G300" s="10">
        <v>581</v>
      </c>
      <c r="H300" s="11"/>
    </row>
    <row r="301" spans="1:8" ht="15.75" customHeight="1">
      <c r="A301" s="6">
        <v>71201</v>
      </c>
      <c r="B301" s="7" t="s">
        <v>27</v>
      </c>
      <c r="C301" s="7" t="s">
        <v>390</v>
      </c>
      <c r="D301" s="7" t="s">
        <v>391</v>
      </c>
      <c r="E301" s="8">
        <f t="shared" si="12"/>
        <v>19.662921348314605</v>
      </c>
      <c r="F301" s="9">
        <v>7</v>
      </c>
      <c r="G301" s="10">
        <v>356</v>
      </c>
      <c r="H301" s="11"/>
    </row>
    <row r="302" spans="1:8" ht="15.75" customHeight="1">
      <c r="A302" s="6">
        <v>71301</v>
      </c>
      <c r="B302" s="7" t="s">
        <v>27</v>
      </c>
      <c r="C302" s="7" t="s">
        <v>392</v>
      </c>
      <c r="D302" s="7" t="s">
        <v>393</v>
      </c>
      <c r="E302" s="8">
        <f t="shared" si="12"/>
        <v>6.6964285714285712</v>
      </c>
      <c r="F302" s="9">
        <v>3</v>
      </c>
      <c r="G302" s="10">
        <v>448</v>
      </c>
      <c r="H302" s="11"/>
    </row>
    <row r="303" spans="1:8" ht="15.75" customHeight="1">
      <c r="A303" s="6">
        <v>71302</v>
      </c>
      <c r="B303" s="7" t="s">
        <v>27</v>
      </c>
      <c r="C303" s="7" t="s">
        <v>392</v>
      </c>
      <c r="D303" s="7" t="s">
        <v>394</v>
      </c>
      <c r="E303" s="8">
        <f t="shared" si="12"/>
        <v>5.7142857142857144</v>
      </c>
      <c r="F303" s="9">
        <v>1</v>
      </c>
      <c r="G303" s="10">
        <v>175</v>
      </c>
      <c r="H303" s="11"/>
    </row>
    <row r="304" spans="1:8" ht="15.75" customHeight="1">
      <c r="A304" s="6">
        <v>71401</v>
      </c>
      <c r="B304" s="7" t="s">
        <v>27</v>
      </c>
      <c r="C304" s="7" t="s">
        <v>395</v>
      </c>
      <c r="D304" s="7" t="s">
        <v>396</v>
      </c>
      <c r="E304" s="8">
        <f t="shared" si="12"/>
        <v>18.276762402088774</v>
      </c>
      <c r="F304" s="9">
        <v>7</v>
      </c>
      <c r="G304" s="10">
        <v>383</v>
      </c>
      <c r="H304" s="11"/>
    </row>
    <row r="305" spans="1:8" ht="15.75" customHeight="1">
      <c r="A305" s="6">
        <v>71402</v>
      </c>
      <c r="B305" s="7" t="s">
        <v>27</v>
      </c>
      <c r="C305" s="7" t="s">
        <v>395</v>
      </c>
      <c r="D305" s="7" t="s">
        <v>397</v>
      </c>
      <c r="E305" s="8">
        <f t="shared" si="12"/>
        <v>23.584905660377359</v>
      </c>
      <c r="F305" s="9">
        <v>10</v>
      </c>
      <c r="G305" s="10">
        <v>424</v>
      </c>
      <c r="H305" s="11"/>
    </row>
    <row r="306" spans="1:8" ht="15.75" customHeight="1">
      <c r="A306" s="6">
        <v>71403</v>
      </c>
      <c r="B306" s="7" t="s">
        <v>27</v>
      </c>
      <c r="C306" s="7" t="s">
        <v>395</v>
      </c>
      <c r="D306" s="7" t="s">
        <v>398</v>
      </c>
      <c r="E306" s="8">
        <f t="shared" si="12"/>
        <v>7.6335877862595414</v>
      </c>
      <c r="F306" s="9">
        <v>1</v>
      </c>
      <c r="G306" s="10">
        <v>131</v>
      </c>
      <c r="H306" s="11"/>
    </row>
    <row r="307" spans="1:8" ht="15.75" customHeight="1">
      <c r="A307" s="6">
        <v>71501</v>
      </c>
      <c r="B307" s="7" t="s">
        <v>27</v>
      </c>
      <c r="C307" s="7" t="s">
        <v>399</v>
      </c>
      <c r="D307" s="7" t="s">
        <v>400</v>
      </c>
      <c r="E307" s="8">
        <f t="shared" si="12"/>
        <v>13.793103448275861</v>
      </c>
      <c r="F307" s="9">
        <v>10</v>
      </c>
      <c r="G307" s="10">
        <v>725</v>
      </c>
      <c r="H307" s="11"/>
    </row>
    <row r="308" spans="1:8" ht="15.75" customHeight="1">
      <c r="A308" s="6">
        <v>71502</v>
      </c>
      <c r="B308" s="7" t="s">
        <v>27</v>
      </c>
      <c r="C308" s="7" t="s">
        <v>399</v>
      </c>
      <c r="D308" s="7" t="s">
        <v>401</v>
      </c>
      <c r="E308" s="8">
        <f t="shared" si="12"/>
        <v>16.574585635359114</v>
      </c>
      <c r="F308" s="9">
        <v>3</v>
      </c>
      <c r="G308" s="10">
        <v>181</v>
      </c>
      <c r="H308" s="11"/>
    </row>
    <row r="309" spans="1:8" ht="15.75" customHeight="1">
      <c r="A309" s="6">
        <v>71503</v>
      </c>
      <c r="B309" s="7" t="s">
        <v>27</v>
      </c>
      <c r="C309" s="7" t="s">
        <v>399</v>
      </c>
      <c r="D309" s="7" t="s">
        <v>332</v>
      </c>
      <c r="E309" s="8">
        <f t="shared" si="12"/>
        <v>24.875621890547265</v>
      </c>
      <c r="F309" s="9">
        <v>10</v>
      </c>
      <c r="G309" s="10">
        <v>402</v>
      </c>
      <c r="H309" s="11"/>
    </row>
    <row r="310" spans="1:8" ht="15.75" customHeight="1">
      <c r="A310" s="6">
        <v>80101</v>
      </c>
      <c r="B310" s="7" t="s">
        <v>29</v>
      </c>
      <c r="C310" s="7" t="s">
        <v>164</v>
      </c>
      <c r="D310" s="7" t="s">
        <v>402</v>
      </c>
      <c r="E310" s="8">
        <f t="shared" si="12"/>
        <v>21.189591078066915</v>
      </c>
      <c r="F310" s="9">
        <v>57</v>
      </c>
      <c r="G310" s="10">
        <v>2690</v>
      </c>
      <c r="H310" s="11"/>
    </row>
    <row r="311" spans="1:8" ht="15.75" customHeight="1">
      <c r="A311" s="6">
        <v>80102</v>
      </c>
      <c r="B311" s="7" t="s">
        <v>29</v>
      </c>
      <c r="C311" s="7" t="s">
        <v>164</v>
      </c>
      <c r="D311" s="7" t="s">
        <v>385</v>
      </c>
      <c r="E311" s="8">
        <f t="shared" si="12"/>
        <v>35.087719298245609</v>
      </c>
      <c r="F311" s="9">
        <v>6</v>
      </c>
      <c r="G311" s="10">
        <v>171</v>
      </c>
      <c r="H311" s="11"/>
    </row>
    <row r="312" spans="1:8" ht="15.75" customHeight="1">
      <c r="A312" s="6">
        <v>80201</v>
      </c>
      <c r="B312" s="7" t="s">
        <v>29</v>
      </c>
      <c r="C312" s="7" t="s">
        <v>403</v>
      </c>
      <c r="D312" s="7" t="s">
        <v>404</v>
      </c>
      <c r="E312" s="8">
        <f t="shared" si="12"/>
        <v>27.220142905750254</v>
      </c>
      <c r="F312" s="9">
        <v>80</v>
      </c>
      <c r="G312" s="10">
        <v>2939</v>
      </c>
      <c r="H312" s="11"/>
    </row>
    <row r="313" spans="1:8" ht="15.75" customHeight="1">
      <c r="A313" s="6">
        <v>80202</v>
      </c>
      <c r="B313" s="7" t="s">
        <v>29</v>
      </c>
      <c r="C313" s="7" t="s">
        <v>403</v>
      </c>
      <c r="D313" s="7" t="s">
        <v>405</v>
      </c>
      <c r="E313" s="8">
        <f t="shared" si="12"/>
        <v>23.275145469659186</v>
      </c>
      <c r="F313" s="9">
        <v>28</v>
      </c>
      <c r="G313" s="10">
        <v>1203</v>
      </c>
      <c r="H313" s="11"/>
    </row>
    <row r="314" spans="1:8" ht="15.75" customHeight="1">
      <c r="A314" s="6">
        <v>80301</v>
      </c>
      <c r="B314" s="7" t="s">
        <v>29</v>
      </c>
      <c r="C314" s="7" t="s">
        <v>406</v>
      </c>
      <c r="D314" s="7" t="s">
        <v>407</v>
      </c>
      <c r="E314" s="8">
        <f t="shared" si="12"/>
        <v>36.923076923076927</v>
      </c>
      <c r="F314" s="9">
        <v>12</v>
      </c>
      <c r="G314" s="10">
        <v>325</v>
      </c>
      <c r="H314" s="11"/>
    </row>
    <row r="315" spans="1:8" ht="15.75" customHeight="1">
      <c r="A315" s="6">
        <v>80302</v>
      </c>
      <c r="B315" s="7" t="s">
        <v>29</v>
      </c>
      <c r="C315" s="7" t="s">
        <v>406</v>
      </c>
      <c r="D315" s="7" t="s">
        <v>408</v>
      </c>
      <c r="E315" s="8">
        <f t="shared" si="12"/>
        <v>58.666666666666664</v>
      </c>
      <c r="F315" s="9">
        <v>66</v>
      </c>
      <c r="G315" s="10">
        <v>1125</v>
      </c>
      <c r="H315" s="11"/>
    </row>
    <row r="316" spans="1:8" ht="15.75" customHeight="1">
      <c r="A316" s="6">
        <v>80303</v>
      </c>
      <c r="B316" s="7" t="s">
        <v>29</v>
      </c>
      <c r="C316" s="7" t="s">
        <v>406</v>
      </c>
      <c r="D316" s="7" t="s">
        <v>409</v>
      </c>
      <c r="E316" s="8">
        <f t="shared" si="12"/>
        <v>18.18181818181818</v>
      </c>
      <c r="F316" s="9">
        <v>6</v>
      </c>
      <c r="G316" s="10">
        <v>330</v>
      </c>
      <c r="H316" s="11"/>
    </row>
    <row r="317" spans="1:8" ht="15.75" customHeight="1">
      <c r="A317" s="6">
        <v>80304</v>
      </c>
      <c r="B317" s="7" t="s">
        <v>29</v>
      </c>
      <c r="C317" s="7" t="s">
        <v>406</v>
      </c>
      <c r="D317" s="7" t="s">
        <v>410</v>
      </c>
      <c r="E317" s="8">
        <f t="shared" si="12"/>
        <v>25.362318840579711</v>
      </c>
      <c r="F317" s="9">
        <v>14</v>
      </c>
      <c r="G317" s="10">
        <v>552</v>
      </c>
      <c r="H317" s="11"/>
    </row>
    <row r="318" spans="1:8" ht="15.75" customHeight="1">
      <c r="A318" s="6">
        <v>80401</v>
      </c>
      <c r="B318" s="7" t="s">
        <v>29</v>
      </c>
      <c r="C318" s="7" t="s">
        <v>411</v>
      </c>
      <c r="D318" s="7" t="s">
        <v>412</v>
      </c>
      <c r="E318" s="8">
        <f t="shared" si="12"/>
        <v>27.649769585253459</v>
      </c>
      <c r="F318" s="9">
        <v>12</v>
      </c>
      <c r="G318" s="10">
        <v>434</v>
      </c>
      <c r="H318" s="11"/>
    </row>
    <row r="319" spans="1:8" ht="15.75" customHeight="1">
      <c r="A319" s="6">
        <v>80402</v>
      </c>
      <c r="B319" s="7" t="s">
        <v>29</v>
      </c>
      <c r="C319" s="7" t="s">
        <v>411</v>
      </c>
      <c r="D319" s="7" t="s">
        <v>413</v>
      </c>
      <c r="E319" s="8">
        <f t="shared" si="12"/>
        <v>5.4644808743169397</v>
      </c>
      <c r="F319" s="9">
        <v>1</v>
      </c>
      <c r="G319" s="10">
        <v>183</v>
      </c>
      <c r="H319" s="11"/>
    </row>
    <row r="320" spans="1:8" ht="15.75" customHeight="1">
      <c r="A320" s="6">
        <v>80501</v>
      </c>
      <c r="B320" s="7" t="s">
        <v>29</v>
      </c>
      <c r="C320" s="7" t="s">
        <v>414</v>
      </c>
      <c r="D320" s="7" t="s">
        <v>415</v>
      </c>
      <c r="E320" s="8">
        <f t="shared" si="12"/>
        <v>21.052631578947366</v>
      </c>
      <c r="F320" s="9">
        <v>12</v>
      </c>
      <c r="G320" s="10">
        <v>570</v>
      </c>
      <c r="H320" s="11"/>
    </row>
    <row r="321" spans="1:8" ht="15.75" customHeight="1">
      <c r="A321" s="6">
        <v>80601</v>
      </c>
      <c r="B321" s="7" t="s">
        <v>29</v>
      </c>
      <c r="C321" s="7" t="s">
        <v>416</v>
      </c>
      <c r="D321" s="7" t="s">
        <v>417</v>
      </c>
      <c r="E321" s="8">
        <f t="shared" si="12"/>
        <v>23.4375</v>
      </c>
      <c r="F321" s="9">
        <v>3</v>
      </c>
      <c r="G321" s="10">
        <v>128</v>
      </c>
      <c r="H321" s="11"/>
    </row>
    <row r="322" spans="1:8" ht="15.75" customHeight="1">
      <c r="A322" s="6">
        <v>80602</v>
      </c>
      <c r="B322" s="7" t="s">
        <v>29</v>
      </c>
      <c r="C322" s="7" t="s">
        <v>416</v>
      </c>
      <c r="D322" s="7" t="s">
        <v>418</v>
      </c>
      <c r="E322" s="8">
        <f t="shared" si="12"/>
        <v>16.853932584269664</v>
      </c>
      <c r="F322" s="9">
        <v>6</v>
      </c>
      <c r="G322" s="10">
        <v>356</v>
      </c>
      <c r="H322" s="11"/>
    </row>
    <row r="323" spans="1:8" ht="15.75" customHeight="1">
      <c r="A323" s="6">
        <v>80701</v>
      </c>
      <c r="B323" s="7" t="s">
        <v>29</v>
      </c>
      <c r="C323" s="7" t="s">
        <v>419</v>
      </c>
      <c r="D323" s="7" t="s">
        <v>420</v>
      </c>
      <c r="E323" s="8">
        <f t="shared" si="12"/>
        <v>34.883720930232556</v>
      </c>
      <c r="F323" s="9">
        <v>6</v>
      </c>
      <c r="G323" s="10">
        <v>172</v>
      </c>
      <c r="H323" s="11"/>
    </row>
    <row r="324" spans="1:8" ht="15.75" customHeight="1">
      <c r="A324" s="6">
        <v>80702</v>
      </c>
      <c r="B324" s="7" t="s">
        <v>29</v>
      </c>
      <c r="C324" s="7" t="s">
        <v>419</v>
      </c>
      <c r="D324" s="7" t="s">
        <v>386</v>
      </c>
      <c r="E324" s="8">
        <f t="shared" si="12"/>
        <v>24.590163934426229</v>
      </c>
      <c r="F324" s="9">
        <v>3</v>
      </c>
      <c r="G324" s="10">
        <v>122</v>
      </c>
      <c r="H324" s="11"/>
    </row>
    <row r="325" spans="1:8" ht="15.75" customHeight="1">
      <c r="A325" s="6">
        <v>80703</v>
      </c>
      <c r="B325" s="7" t="s">
        <v>29</v>
      </c>
      <c r="C325" s="7" t="s">
        <v>419</v>
      </c>
      <c r="D325" s="7" t="s">
        <v>421</v>
      </c>
      <c r="E325" s="8">
        <f t="shared" si="12"/>
        <v>64.516129032258064</v>
      </c>
      <c r="F325" s="9">
        <v>2</v>
      </c>
      <c r="G325" s="10">
        <v>31</v>
      </c>
      <c r="H325" s="11"/>
    </row>
    <row r="326" spans="1:8" ht="15.75" customHeight="1">
      <c r="A326" s="6">
        <v>80801</v>
      </c>
      <c r="B326" s="7" t="s">
        <v>29</v>
      </c>
      <c r="C326" s="7" t="s">
        <v>422</v>
      </c>
      <c r="D326" s="7" t="s">
        <v>423</v>
      </c>
      <c r="E326" s="8">
        <f t="shared" si="12"/>
        <v>3.3444816053511706</v>
      </c>
      <c r="F326" s="9">
        <v>1</v>
      </c>
      <c r="G326" s="10">
        <v>299</v>
      </c>
      <c r="H326" s="11"/>
    </row>
    <row r="327" spans="1:8" ht="15.75" customHeight="1">
      <c r="A327" s="6">
        <v>80802</v>
      </c>
      <c r="B327" s="7" t="s">
        <v>29</v>
      </c>
      <c r="C327" s="7" t="s">
        <v>422</v>
      </c>
      <c r="D327" s="7" t="s">
        <v>424</v>
      </c>
      <c r="E327" s="8">
        <f t="shared" si="12"/>
        <v>12.820512820512819</v>
      </c>
      <c r="F327" s="9">
        <v>2</v>
      </c>
      <c r="G327" s="10">
        <v>156</v>
      </c>
      <c r="H327" s="11"/>
    </row>
    <row r="328" spans="1:8" ht="15.75" customHeight="1">
      <c r="A328" s="6">
        <v>80803</v>
      </c>
      <c r="B328" s="7" t="s">
        <v>29</v>
      </c>
      <c r="C328" s="7" t="s">
        <v>422</v>
      </c>
      <c r="D328" s="7" t="s">
        <v>425</v>
      </c>
      <c r="E328" s="8">
        <f t="shared" si="12"/>
        <v>17.094017094017097</v>
      </c>
      <c r="F328" s="9">
        <v>2</v>
      </c>
      <c r="G328" s="10">
        <v>117</v>
      </c>
      <c r="H328" s="11"/>
    </row>
    <row r="329" spans="1:8" ht="15.75" customHeight="1">
      <c r="A329" s="19">
        <v>80901</v>
      </c>
      <c r="B329" s="7" t="s">
        <v>29</v>
      </c>
      <c r="C329" s="7"/>
      <c r="D329" s="7" t="s">
        <v>426</v>
      </c>
      <c r="E329" s="8">
        <f t="shared" si="12"/>
        <v>24.390243902439025</v>
      </c>
      <c r="F329" s="9">
        <v>3</v>
      </c>
      <c r="G329" s="20">
        <v>123</v>
      </c>
      <c r="H329" s="11"/>
    </row>
    <row r="330" spans="1:8" ht="15.75" customHeight="1">
      <c r="A330" s="6">
        <v>90101</v>
      </c>
      <c r="B330" s="7" t="s">
        <v>31</v>
      </c>
      <c r="C330" s="7" t="s">
        <v>427</v>
      </c>
      <c r="D330" s="7" t="s">
        <v>428</v>
      </c>
      <c r="E330" s="8">
        <f t="shared" si="12"/>
        <v>5.1736881005173689</v>
      </c>
      <c r="F330" s="9">
        <v>7</v>
      </c>
      <c r="G330" s="10">
        <v>1353</v>
      </c>
      <c r="H330" s="11"/>
    </row>
    <row r="331" spans="1:8" ht="15.75" customHeight="1">
      <c r="A331" s="6">
        <v>90102</v>
      </c>
      <c r="B331" s="7" t="s">
        <v>31</v>
      </c>
      <c r="C331" s="7" t="s">
        <v>427</v>
      </c>
      <c r="D331" s="7" t="s">
        <v>429</v>
      </c>
      <c r="E331" s="8">
        <f t="shared" si="12"/>
        <v>0</v>
      </c>
      <c r="F331" s="9">
        <v>0</v>
      </c>
      <c r="G331" s="10">
        <v>201</v>
      </c>
      <c r="H331" s="11"/>
    </row>
    <row r="332" spans="1:8" ht="15.75" customHeight="1">
      <c r="A332" s="6">
        <v>90103</v>
      </c>
      <c r="B332" s="7" t="s">
        <v>31</v>
      </c>
      <c r="C332" s="7" t="s">
        <v>427</v>
      </c>
      <c r="D332" s="7" t="s">
        <v>430</v>
      </c>
      <c r="E332" s="8">
        <f t="shared" si="12"/>
        <v>0</v>
      </c>
      <c r="F332" s="9">
        <v>0</v>
      </c>
      <c r="G332" s="10">
        <v>74</v>
      </c>
      <c r="H332" s="11"/>
    </row>
    <row r="333" spans="1:8" ht="15.75" customHeight="1">
      <c r="A333" s="6">
        <v>90104</v>
      </c>
      <c r="B333" s="7" t="s">
        <v>31</v>
      </c>
      <c r="C333" s="7" t="s">
        <v>427</v>
      </c>
      <c r="D333" s="7" t="s">
        <v>431</v>
      </c>
      <c r="E333" s="8">
        <f t="shared" si="12"/>
        <v>0</v>
      </c>
      <c r="F333" s="9">
        <v>0</v>
      </c>
      <c r="G333" s="10">
        <v>115</v>
      </c>
      <c r="H333" s="11"/>
    </row>
    <row r="334" spans="1:8" ht="15.75" customHeight="1">
      <c r="A334" s="6">
        <v>90201</v>
      </c>
      <c r="B334" s="7" t="s">
        <v>31</v>
      </c>
      <c r="C334" s="7" t="s">
        <v>432</v>
      </c>
      <c r="D334" s="7" t="s">
        <v>433</v>
      </c>
      <c r="E334" s="8">
        <f t="shared" si="12"/>
        <v>0</v>
      </c>
      <c r="F334" s="9">
        <v>0</v>
      </c>
      <c r="G334" s="10">
        <v>213</v>
      </c>
      <c r="H334" s="11"/>
    </row>
    <row r="335" spans="1:8" ht="15.75" customHeight="1">
      <c r="A335" s="6">
        <v>90202</v>
      </c>
      <c r="B335" s="7" t="s">
        <v>31</v>
      </c>
      <c r="C335" s="7" t="s">
        <v>432</v>
      </c>
      <c r="D335" s="7" t="s">
        <v>382</v>
      </c>
      <c r="E335" s="8">
        <f t="shared" si="12"/>
        <v>0</v>
      </c>
      <c r="F335" s="9">
        <v>0</v>
      </c>
      <c r="G335" s="10">
        <v>68</v>
      </c>
      <c r="H335" s="11"/>
    </row>
    <row r="336" spans="1:8" ht="15.75" customHeight="1">
      <c r="A336" s="6">
        <v>90203</v>
      </c>
      <c r="B336" s="7" t="s">
        <v>31</v>
      </c>
      <c r="C336" s="7" t="s">
        <v>432</v>
      </c>
      <c r="D336" s="7" t="s">
        <v>434</v>
      </c>
      <c r="E336" s="8">
        <f t="shared" si="12"/>
        <v>0</v>
      </c>
      <c r="F336" s="9">
        <v>0</v>
      </c>
      <c r="G336" s="10">
        <v>214</v>
      </c>
      <c r="H336" s="11"/>
    </row>
    <row r="337" spans="1:10" ht="15.75" customHeight="1">
      <c r="A337" s="6">
        <v>90301</v>
      </c>
      <c r="B337" s="7" t="s">
        <v>31</v>
      </c>
      <c r="C337" s="7" t="s">
        <v>435</v>
      </c>
      <c r="D337" s="7" t="s">
        <v>436</v>
      </c>
      <c r="E337" s="8">
        <f t="shared" si="12"/>
        <v>4.5871559633027523</v>
      </c>
      <c r="F337" s="9">
        <v>1</v>
      </c>
      <c r="G337" s="10">
        <v>218</v>
      </c>
      <c r="H337" s="11"/>
    </row>
    <row r="338" spans="1:10" ht="15.75" customHeight="1">
      <c r="A338" s="6">
        <v>90302</v>
      </c>
      <c r="B338" s="7" t="s">
        <v>31</v>
      </c>
      <c r="C338" s="7" t="s">
        <v>435</v>
      </c>
      <c r="D338" s="7" t="s">
        <v>437</v>
      </c>
      <c r="E338" s="8">
        <f t="shared" si="12"/>
        <v>0</v>
      </c>
      <c r="F338" s="9">
        <v>0</v>
      </c>
      <c r="G338" s="10">
        <v>286</v>
      </c>
      <c r="H338" s="11"/>
    </row>
    <row r="339" spans="1:10" ht="15.75" customHeight="1">
      <c r="A339" s="6">
        <v>90303</v>
      </c>
      <c r="B339" s="7" t="s">
        <v>31</v>
      </c>
      <c r="C339" s="7" t="s">
        <v>435</v>
      </c>
      <c r="D339" s="7" t="s">
        <v>438</v>
      </c>
      <c r="E339" s="8">
        <f t="shared" si="12"/>
        <v>6.4102564102564097</v>
      </c>
      <c r="F339" s="9">
        <v>2</v>
      </c>
      <c r="G339" s="10">
        <v>312</v>
      </c>
      <c r="H339" s="11"/>
    </row>
    <row r="340" spans="1:10" ht="15.75" customHeight="1">
      <c r="A340" s="6">
        <v>90401</v>
      </c>
      <c r="B340" s="7" t="s">
        <v>31</v>
      </c>
      <c r="C340" s="7" t="s">
        <v>439</v>
      </c>
      <c r="D340" s="7" t="s">
        <v>440</v>
      </c>
      <c r="E340" s="8">
        <f t="shared" si="12"/>
        <v>0</v>
      </c>
      <c r="F340" s="9">
        <v>0</v>
      </c>
      <c r="G340" s="10">
        <v>72</v>
      </c>
      <c r="H340" s="11"/>
    </row>
    <row r="341" spans="1:10" ht="15.75" customHeight="1">
      <c r="A341" s="6">
        <v>90402</v>
      </c>
      <c r="B341" s="7" t="s">
        <v>31</v>
      </c>
      <c r="C341" s="7" t="s">
        <v>439</v>
      </c>
      <c r="D341" s="7" t="s">
        <v>102</v>
      </c>
      <c r="E341" s="8">
        <f t="shared" si="12"/>
        <v>19.607843137254903</v>
      </c>
      <c r="F341" s="9">
        <v>1</v>
      </c>
      <c r="G341" s="10">
        <v>51</v>
      </c>
      <c r="H341" s="11"/>
    </row>
    <row r="342" spans="1:10" ht="15.75" customHeight="1">
      <c r="A342" s="6">
        <v>90501</v>
      </c>
      <c r="B342" s="7" t="s">
        <v>31</v>
      </c>
      <c r="C342" s="7" t="s">
        <v>441</v>
      </c>
      <c r="D342" s="7" t="s">
        <v>442</v>
      </c>
      <c r="E342" s="8">
        <f t="shared" si="12"/>
        <v>35.087719298245609</v>
      </c>
      <c r="F342" s="9">
        <v>2</v>
      </c>
      <c r="G342" s="10">
        <v>57</v>
      </c>
      <c r="H342" s="11"/>
    </row>
    <row r="343" spans="1:10" ht="15.75" customHeight="1">
      <c r="A343" s="6">
        <v>90502</v>
      </c>
      <c r="B343" s="7" t="s">
        <v>31</v>
      </c>
      <c r="C343" s="7" t="s">
        <v>441</v>
      </c>
      <c r="D343" s="7" t="s">
        <v>443</v>
      </c>
      <c r="E343" s="8">
        <f t="shared" si="12"/>
        <v>21.739130434782609</v>
      </c>
      <c r="F343" s="9">
        <v>2</v>
      </c>
      <c r="G343" s="10">
        <v>92</v>
      </c>
      <c r="H343" s="11"/>
    </row>
    <row r="344" spans="1:10" ht="15.75" customHeight="1">
      <c r="A344" s="6">
        <v>90503</v>
      </c>
      <c r="B344" s="7" t="s">
        <v>31</v>
      </c>
      <c r="C344" s="7" t="s">
        <v>441</v>
      </c>
      <c r="D344" s="7" t="s">
        <v>444</v>
      </c>
      <c r="E344" s="8">
        <f t="shared" si="12"/>
        <v>0</v>
      </c>
      <c r="F344" s="21">
        <v>0</v>
      </c>
      <c r="G344" s="22">
        <v>78</v>
      </c>
      <c r="H344" s="11"/>
    </row>
    <row r="345" spans="1:10" ht="15.75" customHeight="1">
      <c r="A345" s="23"/>
      <c r="D345" s="24"/>
      <c r="E345" s="25"/>
      <c r="F345" s="26"/>
      <c r="G345" s="26"/>
      <c r="H345" s="27"/>
      <c r="J345" s="18"/>
    </row>
    <row r="346" spans="1:10" ht="15.75" customHeight="1">
      <c r="A346" s="23"/>
      <c r="D346" s="24" t="s">
        <v>323</v>
      </c>
      <c r="E346" s="28">
        <f>(F346/G346)*1000</f>
        <v>22.727272727272727</v>
      </c>
      <c r="F346" s="29">
        <f>SUM(F246:F248)</f>
        <v>69</v>
      </c>
      <c r="G346" s="29">
        <f>SUM(G246:G248)</f>
        <v>3036</v>
      </c>
      <c r="H346" s="30"/>
    </row>
    <row r="347" spans="1:10" ht="15.75" customHeight="1">
      <c r="A347" s="23"/>
      <c r="D347" s="31"/>
      <c r="E347" s="28"/>
      <c r="F347" s="29"/>
      <c r="G347" s="30"/>
      <c r="H347" s="30"/>
    </row>
    <row r="348" spans="1:10" ht="15.75" customHeight="1">
      <c r="A348" s="23"/>
      <c r="D348" s="24"/>
      <c r="E348" s="28"/>
      <c r="F348" s="29"/>
      <c r="G348" s="30"/>
      <c r="H348" s="30"/>
    </row>
    <row r="349" spans="1:10" ht="15.75" customHeight="1">
      <c r="A349" s="23"/>
      <c r="D349" s="24"/>
      <c r="E349" s="32"/>
      <c r="F349" s="29"/>
      <c r="G349" s="30"/>
      <c r="H349" s="30"/>
    </row>
    <row r="350" spans="1:10" ht="15.75" customHeight="1">
      <c r="A350" s="23"/>
      <c r="D350" s="24"/>
      <c r="E350" s="32"/>
      <c r="F350" s="29"/>
      <c r="G350" s="30"/>
      <c r="H350" s="30"/>
    </row>
    <row r="351" spans="1:10" ht="15.75" customHeight="1">
      <c r="A351" s="23"/>
      <c r="D351" s="24"/>
      <c r="E351" s="32"/>
      <c r="F351" s="29"/>
      <c r="G351" s="30"/>
      <c r="H351" s="30"/>
    </row>
    <row r="352" spans="1:10" ht="15.75" customHeight="1">
      <c r="A352" s="23"/>
      <c r="D352" s="24"/>
      <c r="F352" s="30"/>
      <c r="H352" s="30"/>
    </row>
    <row r="353" spans="1:7" ht="15.75" customHeight="1">
      <c r="A353" s="23"/>
      <c r="C353" s="7" t="s">
        <v>445</v>
      </c>
      <c r="D353" s="33">
        <f>AVERAGE(E1:E344)</f>
        <v>26.549999141115226</v>
      </c>
      <c r="F353" s="32">
        <f>D353+D354</f>
        <v>49.431280128140607</v>
      </c>
    </row>
    <row r="354" spans="1:7" ht="15.75" customHeight="1">
      <c r="A354" s="23"/>
      <c r="C354" s="7" t="s">
        <v>446</v>
      </c>
      <c r="D354" s="33">
        <f>STDEV(E1:E344)</f>
        <v>22.881280987025381</v>
      </c>
      <c r="E354" s="34"/>
      <c r="F354" s="32">
        <f>D353-D354</f>
        <v>3.668718154089845</v>
      </c>
      <c r="G354" s="34"/>
    </row>
    <row r="355" spans="1:7" ht="15.75" customHeight="1">
      <c r="A355" s="23"/>
      <c r="C355" s="7" t="s">
        <v>447</v>
      </c>
      <c r="D355" s="33"/>
      <c r="E355" s="34"/>
      <c r="F355" s="32"/>
      <c r="G355" s="34"/>
    </row>
    <row r="356" spans="1:7" ht="15.75" customHeight="1">
      <c r="A356" s="23"/>
      <c r="C356" s="7" t="s">
        <v>448</v>
      </c>
      <c r="D356" s="33"/>
      <c r="E356" s="34"/>
      <c r="F356" s="32"/>
    </row>
    <row r="357" spans="1:7" ht="15.75" customHeight="1">
      <c r="A357" s="23"/>
      <c r="C357" s="7" t="s">
        <v>449</v>
      </c>
      <c r="D357" s="33"/>
      <c r="E357" s="34"/>
      <c r="F357" s="32"/>
    </row>
    <row r="358" spans="1:7" ht="15.75" customHeight="1">
      <c r="A358" s="23"/>
      <c r="D358" s="35"/>
      <c r="E358" s="32"/>
      <c r="F358" s="32"/>
    </row>
    <row r="359" spans="1:7" ht="15.75" customHeight="1">
      <c r="A359" s="23"/>
      <c r="D359" s="35"/>
      <c r="F359" s="32"/>
    </row>
    <row r="360" spans="1:7" ht="15.75" customHeight="1">
      <c r="A360" s="23"/>
      <c r="D360" s="35"/>
      <c r="F360" s="32"/>
    </row>
    <row r="361" spans="1:7" ht="15.75" customHeight="1">
      <c r="A361" s="23"/>
      <c r="D361" s="35"/>
      <c r="F361" s="32"/>
    </row>
    <row r="362" spans="1:7" ht="15.75" customHeight="1">
      <c r="A362" s="23"/>
      <c r="D362" s="35"/>
      <c r="F362" s="32"/>
    </row>
    <row r="363" spans="1:7" ht="15.75" customHeight="1">
      <c r="A363" s="23"/>
      <c r="D363" s="35"/>
      <c r="F363" s="32"/>
    </row>
    <row r="364" spans="1:7" ht="15.75" customHeight="1">
      <c r="A364" s="23"/>
      <c r="D364" s="35"/>
      <c r="F364" s="32"/>
    </row>
    <row r="365" spans="1:7" ht="15.75" customHeight="1">
      <c r="A365" s="23"/>
      <c r="D365" s="35"/>
      <c r="F365" s="32"/>
    </row>
    <row r="366" spans="1:7" ht="15.75" customHeight="1">
      <c r="A366" s="23"/>
      <c r="D366" s="35"/>
      <c r="F366" s="32"/>
    </row>
    <row r="367" spans="1:7" ht="15.75" customHeight="1">
      <c r="A367" s="23"/>
      <c r="D367" s="35"/>
      <c r="F367" s="32"/>
    </row>
    <row r="368" spans="1:7" ht="15.75" customHeight="1">
      <c r="A368" s="23"/>
      <c r="D368" s="35"/>
      <c r="F368" s="32"/>
    </row>
    <row r="369" spans="1:6" ht="15.75" customHeight="1">
      <c r="A369" s="23"/>
      <c r="D369" s="35"/>
      <c r="F369" s="32"/>
    </row>
    <row r="370" spans="1:6" ht="15.75" customHeight="1">
      <c r="A370" s="23"/>
      <c r="D370" s="35"/>
      <c r="F370" s="32"/>
    </row>
    <row r="371" spans="1:6" ht="15.75" customHeight="1">
      <c r="A371" s="23"/>
      <c r="D371" s="35"/>
      <c r="F371" s="32"/>
    </row>
    <row r="372" spans="1:6" ht="15.75" customHeight="1">
      <c r="A372" s="23"/>
      <c r="D372" s="35"/>
      <c r="F372" s="32"/>
    </row>
    <row r="373" spans="1:6" ht="15.75" customHeight="1">
      <c r="A373" s="23"/>
      <c r="D373" s="35"/>
      <c r="F373" s="32"/>
    </row>
    <row r="374" spans="1:6" ht="15.75" customHeight="1">
      <c r="A374" s="23"/>
      <c r="D374" s="35"/>
      <c r="F374" s="32"/>
    </row>
    <row r="375" spans="1:6" ht="15.75" customHeight="1">
      <c r="A375" s="23"/>
      <c r="D375" s="35"/>
      <c r="F375" s="32"/>
    </row>
    <row r="376" spans="1:6" ht="15.75" customHeight="1">
      <c r="A376" s="23"/>
      <c r="D376" s="35"/>
      <c r="F376" s="32"/>
    </row>
    <row r="377" spans="1:6" ht="15.75" customHeight="1">
      <c r="A377" s="23"/>
      <c r="D377" s="35"/>
      <c r="F377" s="32"/>
    </row>
    <row r="378" spans="1:6" ht="15.75" customHeight="1">
      <c r="A378" s="23"/>
      <c r="D378" s="35"/>
      <c r="F378" s="32"/>
    </row>
    <row r="379" spans="1:6" ht="15.75" customHeight="1">
      <c r="A379" s="23"/>
      <c r="D379" s="35"/>
      <c r="F379" s="32"/>
    </row>
    <row r="380" spans="1:6" ht="15.75" customHeight="1">
      <c r="A380" s="23"/>
      <c r="D380" s="35"/>
      <c r="F380" s="32"/>
    </row>
    <row r="381" spans="1:6" ht="15.75" customHeight="1">
      <c r="A381" s="23"/>
      <c r="D381" s="35"/>
      <c r="F381" s="32"/>
    </row>
    <row r="382" spans="1:6" ht="15.75" customHeight="1">
      <c r="A382" s="23"/>
      <c r="D382" s="35"/>
      <c r="F382" s="32"/>
    </row>
    <row r="383" spans="1:6" ht="15.75" customHeight="1">
      <c r="A383" s="23"/>
      <c r="D383" s="35"/>
      <c r="F383" s="32"/>
    </row>
    <row r="384" spans="1:6" ht="15.75" customHeight="1">
      <c r="A384" s="23"/>
      <c r="D384" s="35"/>
      <c r="F384" s="32"/>
    </row>
    <row r="385" spans="1:6" ht="15.75" customHeight="1">
      <c r="A385" s="23"/>
      <c r="D385" s="35"/>
      <c r="F385" s="32"/>
    </row>
    <row r="386" spans="1:6" ht="15.75" customHeight="1">
      <c r="A386" s="23"/>
      <c r="D386" s="35"/>
      <c r="F386" s="32"/>
    </row>
    <row r="387" spans="1:6" ht="15.75" customHeight="1">
      <c r="A387" s="23"/>
      <c r="D387" s="35"/>
      <c r="F387" s="32"/>
    </row>
    <row r="388" spans="1:6" ht="15.75" customHeight="1">
      <c r="A388" s="23"/>
      <c r="D388" s="35"/>
      <c r="F388" s="32"/>
    </row>
    <row r="389" spans="1:6" ht="15.75" customHeight="1">
      <c r="A389" s="23"/>
      <c r="D389" s="35"/>
      <c r="F389" s="32"/>
    </row>
    <row r="390" spans="1:6" ht="15.75" customHeight="1">
      <c r="A390" s="23"/>
      <c r="D390" s="35"/>
      <c r="F390" s="32"/>
    </row>
    <row r="391" spans="1:6" ht="15.75" customHeight="1">
      <c r="A391" s="23"/>
      <c r="D391" s="35"/>
      <c r="F391" s="32"/>
    </row>
    <row r="392" spans="1:6" ht="15.75" customHeight="1">
      <c r="A392" s="23"/>
      <c r="D392" s="35"/>
      <c r="F392" s="32"/>
    </row>
    <row r="393" spans="1:6" ht="15.75" customHeight="1">
      <c r="A393" s="23"/>
      <c r="D393" s="35"/>
      <c r="F393" s="32"/>
    </row>
    <row r="394" spans="1:6" ht="15.75" customHeight="1">
      <c r="A394" s="23"/>
      <c r="D394" s="35"/>
      <c r="F394" s="32"/>
    </row>
    <row r="395" spans="1:6" ht="15.75" customHeight="1">
      <c r="A395" s="23"/>
      <c r="D395" s="35"/>
      <c r="F395" s="32"/>
    </row>
    <row r="396" spans="1:6" ht="15.75" customHeight="1">
      <c r="A396" s="23"/>
      <c r="D396" s="35"/>
      <c r="F396" s="32"/>
    </row>
    <row r="397" spans="1:6" ht="15.75" customHeight="1">
      <c r="A397" s="23"/>
      <c r="D397" s="35"/>
      <c r="F397" s="32"/>
    </row>
    <row r="398" spans="1:6" ht="15.75" customHeight="1">
      <c r="A398" s="23"/>
      <c r="D398" s="35"/>
      <c r="F398" s="32"/>
    </row>
    <row r="399" spans="1:6" ht="15.75" customHeight="1">
      <c r="A399" s="23"/>
      <c r="D399" s="35"/>
      <c r="F399" s="32"/>
    </row>
    <row r="400" spans="1:6" ht="15.75" customHeight="1">
      <c r="A400" s="23"/>
      <c r="D400" s="35"/>
      <c r="F400" s="32"/>
    </row>
    <row r="401" spans="1:6" ht="15.75" customHeight="1">
      <c r="A401" s="23"/>
      <c r="D401" s="35"/>
      <c r="F401" s="32"/>
    </row>
    <row r="402" spans="1:6" ht="15.75" customHeight="1">
      <c r="A402" s="23"/>
      <c r="D402" s="35"/>
      <c r="F402" s="32"/>
    </row>
    <row r="403" spans="1:6" ht="15.75" customHeight="1">
      <c r="A403" s="23"/>
      <c r="D403" s="35"/>
      <c r="F403" s="32"/>
    </row>
    <row r="404" spans="1:6" ht="15.75" customHeight="1">
      <c r="A404" s="23"/>
      <c r="D404" s="35"/>
      <c r="F404" s="32"/>
    </row>
    <row r="405" spans="1:6" ht="15.75" customHeight="1">
      <c r="A405" s="23"/>
      <c r="D405" s="35"/>
      <c r="F405" s="32"/>
    </row>
    <row r="406" spans="1:6" ht="15.75" customHeight="1">
      <c r="A406" s="23"/>
      <c r="D406" s="35"/>
      <c r="F406" s="32"/>
    </row>
    <row r="407" spans="1:6" ht="15.75" customHeight="1">
      <c r="A407" s="23"/>
      <c r="D407" s="35"/>
      <c r="F407" s="32"/>
    </row>
    <row r="408" spans="1:6" ht="15.75" customHeight="1">
      <c r="A408" s="23"/>
      <c r="D408" s="35"/>
      <c r="F408" s="32"/>
    </row>
    <row r="409" spans="1:6" ht="15.75" customHeight="1">
      <c r="A409" s="23"/>
      <c r="D409" s="35"/>
      <c r="F409" s="32"/>
    </row>
    <row r="410" spans="1:6" ht="15.75" customHeight="1">
      <c r="A410" s="23"/>
      <c r="D410" s="35"/>
      <c r="F410" s="32"/>
    </row>
    <row r="411" spans="1:6" ht="15.75" customHeight="1">
      <c r="A411" s="23"/>
      <c r="D411" s="35"/>
      <c r="F411" s="32"/>
    </row>
    <row r="412" spans="1:6" ht="15.75" customHeight="1">
      <c r="A412" s="23"/>
      <c r="D412" s="35"/>
      <c r="F412" s="32"/>
    </row>
    <row r="413" spans="1:6" ht="15.75" customHeight="1">
      <c r="A413" s="23"/>
      <c r="D413" s="35"/>
      <c r="F413" s="32"/>
    </row>
    <row r="414" spans="1:6" ht="15.75" customHeight="1">
      <c r="A414" s="23"/>
      <c r="D414" s="35"/>
      <c r="F414" s="32"/>
    </row>
    <row r="415" spans="1:6" ht="15.75" customHeight="1">
      <c r="A415" s="23"/>
      <c r="D415" s="35"/>
      <c r="F415" s="32"/>
    </row>
    <row r="416" spans="1:6" ht="15.75" customHeight="1">
      <c r="A416" s="23"/>
      <c r="D416" s="35"/>
      <c r="F416" s="32"/>
    </row>
    <row r="417" spans="1:6" ht="15.75" customHeight="1">
      <c r="A417" s="23"/>
      <c r="D417" s="35"/>
      <c r="F417" s="32"/>
    </row>
    <row r="418" spans="1:6" ht="15.75" customHeight="1">
      <c r="A418" s="23"/>
      <c r="D418" s="35"/>
      <c r="F418" s="32"/>
    </row>
    <row r="419" spans="1:6" ht="15.75" customHeight="1">
      <c r="A419" s="23"/>
      <c r="D419" s="35"/>
      <c r="F419" s="32"/>
    </row>
    <row r="420" spans="1:6" ht="15.75" customHeight="1">
      <c r="A420" s="23"/>
      <c r="D420" s="35"/>
      <c r="F420" s="32"/>
    </row>
    <row r="421" spans="1:6" ht="15.75" customHeight="1">
      <c r="A421" s="23"/>
      <c r="D421" s="35"/>
      <c r="F421" s="32"/>
    </row>
    <row r="422" spans="1:6" ht="15.75" customHeight="1">
      <c r="A422" s="23"/>
      <c r="D422" s="35"/>
      <c r="F422" s="32"/>
    </row>
    <row r="423" spans="1:6" ht="15.75" customHeight="1">
      <c r="A423" s="23"/>
      <c r="D423" s="35"/>
      <c r="F423" s="32"/>
    </row>
    <row r="424" spans="1:6" ht="15.75" customHeight="1">
      <c r="A424" s="23"/>
      <c r="D424" s="35"/>
      <c r="F424" s="32"/>
    </row>
    <row r="425" spans="1:6" ht="15.75" customHeight="1">
      <c r="A425" s="23"/>
      <c r="D425" s="35"/>
      <c r="F425" s="32"/>
    </row>
    <row r="426" spans="1:6" ht="15.75" customHeight="1">
      <c r="A426" s="23"/>
      <c r="D426" s="35"/>
      <c r="F426" s="32"/>
    </row>
    <row r="427" spans="1:6" ht="15.75" customHeight="1">
      <c r="A427" s="23"/>
      <c r="D427" s="35"/>
      <c r="F427" s="32"/>
    </row>
    <row r="428" spans="1:6" ht="15.75" customHeight="1">
      <c r="A428" s="23"/>
      <c r="D428" s="35"/>
      <c r="F428" s="32"/>
    </row>
    <row r="429" spans="1:6" ht="15.75" customHeight="1">
      <c r="A429" s="23"/>
      <c r="D429" s="35"/>
      <c r="F429" s="32"/>
    </row>
    <row r="430" spans="1:6" ht="15.75" customHeight="1">
      <c r="A430" s="23"/>
      <c r="D430" s="35"/>
      <c r="F430" s="32"/>
    </row>
    <row r="431" spans="1:6" ht="15.75" customHeight="1">
      <c r="A431" s="23"/>
      <c r="D431" s="35"/>
      <c r="F431" s="32"/>
    </row>
    <row r="432" spans="1:6" ht="15.75" customHeight="1">
      <c r="A432" s="23"/>
      <c r="D432" s="35"/>
      <c r="F432" s="32"/>
    </row>
    <row r="433" spans="1:6" ht="15.75" customHeight="1">
      <c r="A433" s="23"/>
      <c r="D433" s="35"/>
      <c r="F433" s="32"/>
    </row>
    <row r="434" spans="1:6" ht="15.75" customHeight="1">
      <c r="A434" s="23"/>
      <c r="D434" s="35"/>
      <c r="F434" s="32"/>
    </row>
    <row r="435" spans="1:6" ht="15.75" customHeight="1">
      <c r="A435" s="23"/>
      <c r="D435" s="35"/>
      <c r="F435" s="32"/>
    </row>
    <row r="436" spans="1:6" ht="15.75" customHeight="1">
      <c r="A436" s="23"/>
      <c r="D436" s="35"/>
      <c r="F436" s="32"/>
    </row>
    <row r="437" spans="1:6" ht="15.75" customHeight="1">
      <c r="A437" s="23"/>
      <c r="D437" s="35"/>
      <c r="F437" s="32"/>
    </row>
    <row r="438" spans="1:6" ht="15.75" customHeight="1">
      <c r="A438" s="23"/>
      <c r="D438" s="35"/>
      <c r="F438" s="32"/>
    </row>
    <row r="439" spans="1:6" ht="15.75" customHeight="1">
      <c r="A439" s="23"/>
      <c r="D439" s="35"/>
      <c r="F439" s="32"/>
    </row>
    <row r="440" spans="1:6" ht="15.75" customHeight="1">
      <c r="A440" s="23"/>
      <c r="D440" s="35"/>
      <c r="F440" s="32"/>
    </row>
    <row r="441" spans="1:6" ht="15.75" customHeight="1">
      <c r="A441" s="23"/>
      <c r="D441" s="35"/>
      <c r="F441" s="32"/>
    </row>
    <row r="442" spans="1:6" ht="15.75" customHeight="1">
      <c r="A442" s="23"/>
      <c r="D442" s="35"/>
      <c r="F442" s="32"/>
    </row>
    <row r="443" spans="1:6" ht="15.75" customHeight="1">
      <c r="A443" s="23"/>
      <c r="D443" s="35"/>
      <c r="F443" s="32"/>
    </row>
    <row r="444" spans="1:6" ht="15.75" customHeight="1">
      <c r="A444" s="23"/>
      <c r="D444" s="35"/>
      <c r="F444" s="32"/>
    </row>
    <row r="445" spans="1:6" ht="15.75" customHeight="1">
      <c r="A445" s="23"/>
      <c r="D445" s="35"/>
      <c r="F445" s="32"/>
    </row>
    <row r="446" spans="1:6" ht="15.75" customHeight="1">
      <c r="A446" s="23"/>
      <c r="D446" s="35"/>
      <c r="F446" s="32"/>
    </row>
    <row r="447" spans="1:6" ht="15.75" customHeight="1">
      <c r="A447" s="23"/>
      <c r="D447" s="35"/>
      <c r="F447" s="32"/>
    </row>
    <row r="448" spans="1:6" ht="15.75" customHeight="1">
      <c r="A448" s="23"/>
      <c r="D448" s="35"/>
      <c r="F448" s="32"/>
    </row>
    <row r="449" spans="1:6" ht="15.75" customHeight="1">
      <c r="A449" s="23"/>
      <c r="D449" s="35"/>
      <c r="F449" s="32"/>
    </row>
    <row r="450" spans="1:6" ht="15.75" customHeight="1">
      <c r="A450" s="23"/>
      <c r="D450" s="35"/>
      <c r="F450" s="32"/>
    </row>
    <row r="451" spans="1:6" ht="15.75" customHeight="1">
      <c r="A451" s="23"/>
      <c r="D451" s="35"/>
      <c r="F451" s="32"/>
    </row>
    <row r="452" spans="1:6" ht="15.75" customHeight="1">
      <c r="A452" s="23"/>
      <c r="D452" s="35"/>
      <c r="F452" s="32"/>
    </row>
    <row r="453" spans="1:6" ht="15.75" customHeight="1">
      <c r="A453" s="23"/>
      <c r="D453" s="35"/>
      <c r="F453" s="32"/>
    </row>
    <row r="454" spans="1:6" ht="15.75" customHeight="1">
      <c r="A454" s="23"/>
      <c r="D454" s="35"/>
      <c r="F454" s="32"/>
    </row>
    <row r="455" spans="1:6" ht="15.75" customHeight="1">
      <c r="A455" s="23"/>
      <c r="D455" s="35"/>
      <c r="F455" s="32"/>
    </row>
    <row r="456" spans="1:6" ht="15.75" customHeight="1">
      <c r="A456" s="23"/>
      <c r="D456" s="35"/>
      <c r="F456" s="32"/>
    </row>
    <row r="457" spans="1:6" ht="15.75" customHeight="1">
      <c r="A457" s="23"/>
      <c r="D457" s="35"/>
      <c r="F457" s="32"/>
    </row>
    <row r="458" spans="1:6" ht="15.75" customHeight="1">
      <c r="A458" s="23"/>
      <c r="D458" s="35"/>
      <c r="F458" s="32"/>
    </row>
    <row r="459" spans="1:6" ht="15.75" customHeight="1">
      <c r="A459" s="23"/>
      <c r="D459" s="35"/>
      <c r="F459" s="32"/>
    </row>
    <row r="460" spans="1:6" ht="15.75" customHeight="1">
      <c r="A460" s="23"/>
      <c r="D460" s="35"/>
      <c r="F460" s="32"/>
    </row>
    <row r="461" spans="1:6" ht="15.75" customHeight="1">
      <c r="A461" s="23"/>
      <c r="D461" s="35"/>
      <c r="F461" s="32"/>
    </row>
    <row r="462" spans="1:6" ht="15.75" customHeight="1">
      <c r="A462" s="23"/>
      <c r="D462" s="35"/>
      <c r="F462" s="32"/>
    </row>
    <row r="463" spans="1:6" ht="15.75" customHeight="1">
      <c r="A463" s="23"/>
      <c r="D463" s="35"/>
      <c r="F463" s="32"/>
    </row>
    <row r="464" spans="1:6" ht="15.75" customHeight="1">
      <c r="A464" s="23"/>
      <c r="D464" s="35"/>
      <c r="F464" s="32"/>
    </row>
    <row r="465" spans="1:6" ht="15.75" customHeight="1">
      <c r="A465" s="23"/>
      <c r="D465" s="35"/>
      <c r="F465" s="32"/>
    </row>
    <row r="466" spans="1:6" ht="15.75" customHeight="1">
      <c r="A466" s="23"/>
      <c r="D466" s="35"/>
      <c r="F466" s="32"/>
    </row>
    <row r="467" spans="1:6" ht="15.75" customHeight="1">
      <c r="A467" s="23"/>
      <c r="D467" s="35"/>
      <c r="F467" s="32"/>
    </row>
    <row r="468" spans="1:6" ht="15.75" customHeight="1">
      <c r="A468" s="23"/>
      <c r="D468" s="35"/>
      <c r="F468" s="32"/>
    </row>
    <row r="469" spans="1:6" ht="15.75" customHeight="1">
      <c r="A469" s="23"/>
      <c r="D469" s="35"/>
      <c r="F469" s="32"/>
    </row>
    <row r="470" spans="1:6" ht="15.75" customHeight="1">
      <c r="A470" s="23"/>
      <c r="D470" s="35"/>
      <c r="F470" s="32"/>
    </row>
    <row r="471" spans="1:6" ht="15.75" customHeight="1">
      <c r="A471" s="23"/>
      <c r="D471" s="35"/>
      <c r="F471" s="32"/>
    </row>
    <row r="472" spans="1:6" ht="15.75" customHeight="1">
      <c r="A472" s="23"/>
      <c r="D472" s="35"/>
      <c r="F472" s="32"/>
    </row>
    <row r="473" spans="1:6" ht="15.75" customHeight="1">
      <c r="A473" s="23"/>
      <c r="D473" s="35"/>
      <c r="F473" s="32"/>
    </row>
    <row r="474" spans="1:6" ht="15.75" customHeight="1">
      <c r="A474" s="23"/>
      <c r="D474" s="35"/>
      <c r="F474" s="32"/>
    </row>
    <row r="475" spans="1:6" ht="15.75" customHeight="1">
      <c r="A475" s="23"/>
      <c r="D475" s="35"/>
      <c r="F475" s="32"/>
    </row>
    <row r="476" spans="1:6" ht="15.75" customHeight="1">
      <c r="A476" s="23"/>
      <c r="D476" s="35"/>
      <c r="F476" s="32"/>
    </row>
    <row r="477" spans="1:6" ht="15.75" customHeight="1">
      <c r="A477" s="23"/>
      <c r="D477" s="35"/>
      <c r="F477" s="32"/>
    </row>
    <row r="478" spans="1:6" ht="15.75" customHeight="1">
      <c r="A478" s="23"/>
      <c r="D478" s="35"/>
      <c r="F478" s="32"/>
    </row>
    <row r="479" spans="1:6" ht="15.75" customHeight="1">
      <c r="A479" s="23"/>
      <c r="D479" s="35"/>
      <c r="F479" s="32"/>
    </row>
    <row r="480" spans="1:6" ht="15.75" customHeight="1">
      <c r="A480" s="23"/>
      <c r="D480" s="35"/>
      <c r="F480" s="32"/>
    </row>
    <row r="481" spans="1:6" ht="15.75" customHeight="1">
      <c r="A481" s="23"/>
      <c r="D481" s="35"/>
      <c r="F481" s="32"/>
    </row>
    <row r="482" spans="1:6" ht="15.75" customHeight="1">
      <c r="A482" s="23"/>
      <c r="D482" s="35"/>
      <c r="F482" s="32"/>
    </row>
    <row r="483" spans="1:6" ht="15.75" customHeight="1">
      <c r="A483" s="23"/>
      <c r="D483" s="35"/>
      <c r="F483" s="32"/>
    </row>
    <row r="484" spans="1:6" ht="15.75" customHeight="1">
      <c r="A484" s="23"/>
      <c r="D484" s="35"/>
      <c r="F484" s="32"/>
    </row>
    <row r="485" spans="1:6" ht="15.75" customHeight="1">
      <c r="A485" s="23"/>
      <c r="D485" s="35"/>
      <c r="F485" s="32"/>
    </row>
    <row r="486" spans="1:6" ht="15.75" customHeight="1">
      <c r="A486" s="23"/>
      <c r="D486" s="35"/>
      <c r="F486" s="32"/>
    </row>
    <row r="487" spans="1:6" ht="15.75" customHeight="1">
      <c r="A487" s="23"/>
      <c r="D487" s="35"/>
      <c r="F487" s="32"/>
    </row>
    <row r="488" spans="1:6" ht="15.75" customHeight="1">
      <c r="A488" s="23"/>
      <c r="D488" s="35"/>
      <c r="F488" s="32"/>
    </row>
    <row r="489" spans="1:6" ht="15.75" customHeight="1">
      <c r="A489" s="23"/>
      <c r="D489" s="35"/>
      <c r="F489" s="32"/>
    </row>
    <row r="490" spans="1:6" ht="15.75" customHeight="1">
      <c r="A490" s="23"/>
      <c r="D490" s="35"/>
      <c r="F490" s="32"/>
    </row>
    <row r="491" spans="1:6" ht="15.75" customHeight="1">
      <c r="A491" s="23"/>
      <c r="D491" s="35"/>
      <c r="F491" s="32"/>
    </row>
    <row r="492" spans="1:6" ht="15.75" customHeight="1">
      <c r="A492" s="23"/>
      <c r="D492" s="35"/>
      <c r="F492" s="32"/>
    </row>
    <row r="493" spans="1:6" ht="15.75" customHeight="1">
      <c r="A493" s="23"/>
      <c r="D493" s="35"/>
      <c r="F493" s="32"/>
    </row>
    <row r="494" spans="1:6" ht="15.75" customHeight="1">
      <c r="A494" s="23"/>
      <c r="D494" s="35"/>
      <c r="F494" s="32"/>
    </row>
    <row r="495" spans="1:6" ht="15.75" customHeight="1">
      <c r="A495" s="23"/>
      <c r="D495" s="35"/>
      <c r="F495" s="32"/>
    </row>
    <row r="496" spans="1:6" ht="15.75" customHeight="1">
      <c r="A496" s="23"/>
      <c r="D496" s="35"/>
      <c r="F496" s="32"/>
    </row>
    <row r="497" spans="1:6" ht="15.75" customHeight="1">
      <c r="A497" s="23"/>
      <c r="D497" s="35"/>
      <c r="F497" s="32"/>
    </row>
    <row r="498" spans="1:6" ht="15.75" customHeight="1">
      <c r="A498" s="23"/>
      <c r="D498" s="35"/>
      <c r="F498" s="32"/>
    </row>
    <row r="499" spans="1:6" ht="15.75" customHeight="1">
      <c r="A499" s="23"/>
      <c r="D499" s="35"/>
      <c r="F499" s="32"/>
    </row>
    <row r="500" spans="1:6" ht="15.75" customHeight="1">
      <c r="A500" s="23"/>
      <c r="D500" s="35"/>
      <c r="F500" s="32"/>
    </row>
    <row r="501" spans="1:6" ht="15.75" customHeight="1">
      <c r="A501" s="23"/>
      <c r="D501" s="35"/>
      <c r="F501" s="32"/>
    </row>
    <row r="502" spans="1:6" ht="15.75" customHeight="1">
      <c r="A502" s="23"/>
      <c r="D502" s="35"/>
      <c r="F502" s="32"/>
    </row>
    <row r="503" spans="1:6" ht="15.75" customHeight="1">
      <c r="A503" s="23"/>
      <c r="D503" s="35"/>
      <c r="F503" s="32"/>
    </row>
    <row r="504" spans="1:6" ht="15.75" customHeight="1">
      <c r="A504" s="23"/>
      <c r="D504" s="35"/>
      <c r="F504" s="32"/>
    </row>
    <row r="505" spans="1:6" ht="15.75" customHeight="1">
      <c r="A505" s="23"/>
      <c r="D505" s="35"/>
      <c r="F505" s="32"/>
    </row>
    <row r="506" spans="1:6" ht="15.75" customHeight="1">
      <c r="A506" s="23"/>
      <c r="D506" s="35"/>
      <c r="F506" s="32"/>
    </row>
    <row r="507" spans="1:6" ht="15.75" customHeight="1">
      <c r="A507" s="23"/>
      <c r="D507" s="35"/>
      <c r="F507" s="32"/>
    </row>
    <row r="508" spans="1:6" ht="15.75" customHeight="1">
      <c r="A508" s="23"/>
      <c r="D508" s="35"/>
      <c r="F508" s="32"/>
    </row>
    <row r="509" spans="1:6" ht="15.75" customHeight="1">
      <c r="A509" s="23"/>
      <c r="D509" s="35"/>
      <c r="F509" s="32"/>
    </row>
    <row r="510" spans="1:6" ht="15.75" customHeight="1">
      <c r="A510" s="23"/>
      <c r="D510" s="35"/>
      <c r="F510" s="32"/>
    </row>
    <row r="511" spans="1:6" ht="15.75" customHeight="1">
      <c r="A511" s="23"/>
      <c r="D511" s="35"/>
      <c r="F511" s="32"/>
    </row>
    <row r="512" spans="1:6" ht="15.75" customHeight="1">
      <c r="A512" s="23"/>
      <c r="D512" s="35"/>
      <c r="F512" s="32"/>
    </row>
    <row r="513" spans="1:6" ht="15.75" customHeight="1">
      <c r="A513" s="23"/>
      <c r="D513" s="35"/>
      <c r="F513" s="32"/>
    </row>
    <row r="514" spans="1:6" ht="15.75" customHeight="1">
      <c r="A514" s="23"/>
      <c r="D514" s="35"/>
      <c r="F514" s="32"/>
    </row>
    <row r="515" spans="1:6" ht="15.75" customHeight="1">
      <c r="A515" s="23"/>
      <c r="D515" s="35"/>
      <c r="F515" s="32"/>
    </row>
    <row r="516" spans="1:6" ht="15.75" customHeight="1">
      <c r="A516" s="23"/>
      <c r="D516" s="35"/>
      <c r="F516" s="32"/>
    </row>
    <row r="517" spans="1:6" ht="15.75" customHeight="1">
      <c r="A517" s="23"/>
      <c r="D517" s="35"/>
      <c r="F517" s="32"/>
    </row>
    <row r="518" spans="1:6" ht="15.75" customHeight="1">
      <c r="A518" s="23"/>
      <c r="D518" s="35"/>
      <c r="F518" s="32"/>
    </row>
    <row r="519" spans="1:6" ht="15.75" customHeight="1">
      <c r="A519" s="23"/>
      <c r="D519" s="35"/>
      <c r="F519" s="32"/>
    </row>
    <row r="520" spans="1:6" ht="15.75" customHeight="1">
      <c r="A520" s="23"/>
      <c r="D520" s="35"/>
      <c r="F520" s="32"/>
    </row>
    <row r="521" spans="1:6" ht="15.75" customHeight="1">
      <c r="A521" s="23"/>
      <c r="D521" s="35"/>
      <c r="F521" s="32"/>
    </row>
    <row r="522" spans="1:6" ht="15.75" customHeight="1">
      <c r="A522" s="23"/>
      <c r="D522" s="35"/>
      <c r="F522" s="32"/>
    </row>
    <row r="523" spans="1:6" ht="15.75" customHeight="1">
      <c r="A523" s="23"/>
      <c r="D523" s="35"/>
      <c r="F523" s="32"/>
    </row>
    <row r="524" spans="1:6" ht="15.75" customHeight="1">
      <c r="A524" s="23"/>
      <c r="D524" s="35"/>
      <c r="F524" s="32"/>
    </row>
    <row r="525" spans="1:6" ht="15.75" customHeight="1">
      <c r="A525" s="23"/>
      <c r="D525" s="35"/>
      <c r="F525" s="32"/>
    </row>
    <row r="526" spans="1:6" ht="15.75" customHeight="1">
      <c r="A526" s="23"/>
      <c r="D526" s="35"/>
      <c r="F526" s="32"/>
    </row>
    <row r="527" spans="1:6" ht="15.75" customHeight="1">
      <c r="A527" s="23"/>
      <c r="D527" s="35"/>
      <c r="F527" s="32"/>
    </row>
    <row r="528" spans="1:6" ht="15.75" customHeight="1">
      <c r="A528" s="23"/>
      <c r="D528" s="35"/>
      <c r="F528" s="32"/>
    </row>
    <row r="529" spans="1:6" ht="15.75" customHeight="1">
      <c r="A529" s="23"/>
      <c r="D529" s="35"/>
      <c r="F529" s="32"/>
    </row>
    <row r="530" spans="1:6" ht="15.75" customHeight="1">
      <c r="A530" s="23"/>
      <c r="D530" s="35"/>
      <c r="F530" s="32"/>
    </row>
    <row r="531" spans="1:6" ht="15.75" customHeight="1">
      <c r="A531" s="23"/>
      <c r="D531" s="35"/>
      <c r="F531" s="32"/>
    </row>
    <row r="532" spans="1:6" ht="15.75" customHeight="1">
      <c r="A532" s="23"/>
      <c r="D532" s="35"/>
      <c r="F532" s="32"/>
    </row>
    <row r="533" spans="1:6" ht="15.75" customHeight="1">
      <c r="A533" s="23"/>
      <c r="D533" s="35"/>
      <c r="F533" s="32"/>
    </row>
    <row r="534" spans="1:6" ht="15.75" customHeight="1">
      <c r="A534" s="23"/>
      <c r="D534" s="35"/>
      <c r="F534" s="32"/>
    </row>
    <row r="535" spans="1:6" ht="15.75" customHeight="1">
      <c r="A535" s="23"/>
      <c r="D535" s="35"/>
      <c r="F535" s="32"/>
    </row>
    <row r="536" spans="1:6" ht="15.75" customHeight="1">
      <c r="A536" s="23"/>
      <c r="D536" s="35"/>
      <c r="F536" s="32"/>
    </row>
    <row r="537" spans="1:6" ht="15.75" customHeight="1">
      <c r="A537" s="23"/>
      <c r="D537" s="35"/>
      <c r="F537" s="32"/>
    </row>
    <row r="538" spans="1:6" ht="15.75" customHeight="1">
      <c r="A538" s="23"/>
      <c r="D538" s="35"/>
      <c r="F538" s="32"/>
    </row>
    <row r="539" spans="1:6" ht="15.75" customHeight="1">
      <c r="A539" s="23"/>
      <c r="D539" s="35"/>
      <c r="F539" s="32"/>
    </row>
    <row r="540" spans="1:6" ht="15.75" customHeight="1">
      <c r="A540" s="23"/>
      <c r="D540" s="35"/>
      <c r="F540" s="32"/>
    </row>
    <row r="541" spans="1:6" ht="15.75" customHeight="1">
      <c r="A541" s="23"/>
      <c r="D541" s="35"/>
      <c r="F541" s="32"/>
    </row>
    <row r="542" spans="1:6" ht="15.75" customHeight="1">
      <c r="A542" s="23"/>
      <c r="D542" s="35"/>
      <c r="F542" s="32"/>
    </row>
    <row r="543" spans="1:6" ht="15.75" customHeight="1">
      <c r="A543" s="23"/>
      <c r="D543" s="35"/>
      <c r="F543" s="32"/>
    </row>
    <row r="544" spans="1:6" ht="15.75" customHeight="1">
      <c r="A544" s="23"/>
      <c r="D544" s="35"/>
      <c r="F544" s="32"/>
    </row>
    <row r="545" spans="1:6" ht="15.75" customHeight="1">
      <c r="A545" s="23"/>
      <c r="D545" s="35"/>
      <c r="F545" s="32"/>
    </row>
    <row r="546" spans="1:6" ht="15.75" customHeight="1">
      <c r="A546" s="23"/>
      <c r="D546" s="35"/>
      <c r="F546" s="32"/>
    </row>
    <row r="547" spans="1:6" ht="15.75" customHeight="1">
      <c r="A547" s="23"/>
      <c r="D547" s="35"/>
      <c r="F547" s="32"/>
    </row>
    <row r="548" spans="1:6" ht="15.75" customHeight="1">
      <c r="A548" s="23"/>
      <c r="D548" s="35"/>
      <c r="F548" s="32"/>
    </row>
    <row r="549" spans="1:6" ht="15.75" customHeight="1">
      <c r="A549" s="23"/>
      <c r="D549" s="35"/>
      <c r="F549" s="32"/>
    </row>
    <row r="550" spans="1:6" ht="15.75" customHeight="1">
      <c r="A550" s="23"/>
      <c r="D550" s="35"/>
      <c r="F550" s="32"/>
    </row>
    <row r="551" spans="1:6" ht="15.75" customHeight="1">
      <c r="A551" s="23"/>
      <c r="D551" s="35"/>
      <c r="F551" s="32"/>
    </row>
    <row r="552" spans="1:6" ht="15.75" customHeight="1">
      <c r="A552" s="23"/>
      <c r="D552" s="35"/>
      <c r="F552" s="32"/>
    </row>
    <row r="553" spans="1:6" ht="15.75" customHeight="1">
      <c r="A553" s="23"/>
      <c r="D553" s="35"/>
      <c r="F553" s="32"/>
    </row>
    <row r="554" spans="1:6" ht="15.75" customHeight="1">
      <c r="A554" s="23"/>
      <c r="D554" s="35"/>
      <c r="F554" s="32"/>
    </row>
    <row r="555" spans="1:6" ht="15.75" customHeight="1">
      <c r="A555" s="23"/>
      <c r="D555" s="35"/>
      <c r="F555" s="32"/>
    </row>
    <row r="556" spans="1:6" ht="15.75" customHeight="1">
      <c r="A556" s="23"/>
      <c r="D556" s="35"/>
      <c r="F556" s="32"/>
    </row>
    <row r="557" spans="1:6" ht="15.75" customHeight="1">
      <c r="A557" s="23"/>
      <c r="D557" s="35"/>
      <c r="F557" s="32"/>
    </row>
    <row r="558" spans="1:6" ht="15.75" customHeight="1">
      <c r="A558" s="23"/>
    </row>
    <row r="559" spans="1:6" ht="15.75" customHeight="1">
      <c r="A559" s="23"/>
    </row>
    <row r="560" spans="1:6" ht="15.75" customHeight="1">
      <c r="A560" s="23"/>
    </row>
    <row r="561" spans="1:1" ht="15.75" customHeight="1">
      <c r="A561" s="23"/>
    </row>
    <row r="562" spans="1:1" ht="15.75" customHeight="1">
      <c r="A562" s="23"/>
    </row>
    <row r="563" spans="1:1" ht="15.75" customHeight="1">
      <c r="A563" s="23"/>
    </row>
    <row r="564" spans="1:1" ht="15.75" customHeight="1">
      <c r="A564" s="23"/>
    </row>
    <row r="565" spans="1:1" ht="15.75" customHeight="1">
      <c r="A565" s="23"/>
    </row>
    <row r="566" spans="1:1" ht="15.75" customHeight="1">
      <c r="A566" s="23"/>
    </row>
    <row r="567" spans="1:1" ht="15.75" customHeight="1">
      <c r="A567" s="23"/>
    </row>
    <row r="568" spans="1:1" ht="15.75" customHeight="1">
      <c r="A568" s="23"/>
    </row>
    <row r="569" spans="1:1" ht="15.75" customHeight="1">
      <c r="A569" s="23"/>
    </row>
    <row r="570" spans="1:1" ht="15.75" customHeight="1">
      <c r="A570" s="23"/>
    </row>
    <row r="571" spans="1:1" ht="15.75" customHeight="1">
      <c r="A571" s="23"/>
    </row>
    <row r="572" spans="1:1" ht="15.75" customHeight="1">
      <c r="A572" s="23"/>
    </row>
    <row r="573" spans="1:1" ht="15.75" customHeight="1">
      <c r="A573" s="23"/>
    </row>
    <row r="574" spans="1:1" ht="15.75" customHeight="1">
      <c r="A574" s="23"/>
    </row>
    <row r="575" spans="1:1" ht="15.75" customHeight="1">
      <c r="A575" s="23"/>
    </row>
    <row r="576" spans="1:1" ht="15.75" customHeight="1">
      <c r="A576" s="23"/>
    </row>
    <row r="577" spans="1:1" ht="15.75" customHeight="1">
      <c r="A577" s="23"/>
    </row>
    <row r="578" spans="1:1" ht="15.75" customHeight="1">
      <c r="A578" s="23"/>
    </row>
    <row r="579" spans="1:1" ht="15.75" customHeight="1">
      <c r="A579" s="23"/>
    </row>
    <row r="580" spans="1:1" ht="15.75" customHeight="1">
      <c r="A580" s="23"/>
    </row>
    <row r="581" spans="1:1" ht="15.75" customHeight="1">
      <c r="A581" s="23"/>
    </row>
    <row r="582" spans="1:1" ht="15.75" customHeight="1">
      <c r="A582" s="23"/>
    </row>
    <row r="583" spans="1:1" ht="15.75" customHeight="1">
      <c r="A583" s="23"/>
    </row>
    <row r="584" spans="1:1" ht="15.75" customHeight="1">
      <c r="A584" s="23"/>
    </row>
    <row r="585" spans="1:1" ht="15.75" customHeight="1">
      <c r="A585" s="23"/>
    </row>
    <row r="586" spans="1:1" ht="15.75" customHeight="1">
      <c r="A586" s="23"/>
    </row>
    <row r="587" spans="1:1" ht="15.75" customHeight="1">
      <c r="A587" s="23"/>
    </row>
    <row r="588" spans="1:1" ht="15.75" customHeight="1">
      <c r="A588" s="23"/>
    </row>
    <row r="589" spans="1:1" ht="15.75" customHeight="1">
      <c r="A589" s="23"/>
    </row>
    <row r="590" spans="1:1" ht="15.75" customHeight="1">
      <c r="A590" s="23"/>
    </row>
    <row r="591" spans="1:1" ht="15.75" customHeight="1">
      <c r="A591" s="23"/>
    </row>
    <row r="592" spans="1:1" ht="15.75" customHeight="1">
      <c r="A592" s="23"/>
    </row>
    <row r="593" spans="1:1" ht="15.75" customHeight="1">
      <c r="A593" s="23"/>
    </row>
    <row r="594" spans="1:1" ht="15.75" customHeight="1">
      <c r="A594" s="23"/>
    </row>
    <row r="595" spans="1:1" ht="15.75" customHeight="1">
      <c r="A595" s="23"/>
    </row>
    <row r="596" spans="1:1" ht="15.75" customHeight="1">
      <c r="A596" s="23"/>
    </row>
    <row r="597" spans="1:1" ht="15.75" customHeight="1">
      <c r="A597" s="23"/>
    </row>
    <row r="598" spans="1:1" ht="15.75" customHeight="1">
      <c r="A598" s="23"/>
    </row>
    <row r="599" spans="1:1" ht="15.75" customHeight="1">
      <c r="A599" s="23"/>
    </row>
    <row r="600" spans="1:1" ht="15.75" customHeight="1">
      <c r="A600" s="23"/>
    </row>
    <row r="601" spans="1:1" ht="15.75" customHeight="1">
      <c r="A601" s="23"/>
    </row>
    <row r="602" spans="1:1" ht="15.75" customHeight="1">
      <c r="A602" s="23"/>
    </row>
    <row r="603" spans="1:1" ht="15.75" customHeight="1">
      <c r="A603" s="23"/>
    </row>
    <row r="604" spans="1:1" ht="15.75" customHeight="1">
      <c r="A604" s="23"/>
    </row>
    <row r="605" spans="1:1" ht="15.75" customHeight="1">
      <c r="A605" s="23"/>
    </row>
    <row r="606" spans="1:1" ht="15.75" customHeight="1">
      <c r="A606" s="23"/>
    </row>
    <row r="607" spans="1:1" ht="15.75" customHeight="1">
      <c r="A607" s="23"/>
    </row>
    <row r="608" spans="1:1" ht="15.75" customHeight="1">
      <c r="A608" s="23"/>
    </row>
    <row r="609" spans="1:1" ht="15.75" customHeight="1">
      <c r="A609" s="23"/>
    </row>
    <row r="610" spans="1:1" ht="15.75" customHeight="1">
      <c r="A610" s="23"/>
    </row>
    <row r="611" spans="1:1" ht="15.75" customHeight="1">
      <c r="A611" s="23"/>
    </row>
    <row r="612" spans="1:1" ht="15.75" customHeight="1">
      <c r="A612" s="23"/>
    </row>
    <row r="613" spans="1:1" ht="15.75" customHeight="1">
      <c r="A613" s="23"/>
    </row>
    <row r="614" spans="1:1" ht="15.75" customHeight="1">
      <c r="A614" s="23"/>
    </row>
    <row r="615" spans="1:1" ht="15.75" customHeight="1">
      <c r="A615" s="23"/>
    </row>
    <row r="616" spans="1:1" ht="15.75" customHeight="1">
      <c r="A616" s="23"/>
    </row>
    <row r="617" spans="1:1" ht="15.75" customHeight="1">
      <c r="A617" s="23"/>
    </row>
    <row r="618" spans="1:1" ht="15.75" customHeight="1">
      <c r="A618" s="23"/>
    </row>
    <row r="619" spans="1:1" ht="15.75" customHeight="1">
      <c r="A619" s="23"/>
    </row>
    <row r="620" spans="1:1" ht="15.75" customHeight="1">
      <c r="A620" s="23"/>
    </row>
    <row r="621" spans="1:1" ht="15.75" customHeight="1">
      <c r="A621" s="23"/>
    </row>
    <row r="622" spans="1:1" ht="15.75" customHeight="1">
      <c r="A622" s="23"/>
    </row>
    <row r="623" spans="1:1" ht="15.75" customHeight="1">
      <c r="A623" s="23"/>
    </row>
    <row r="624" spans="1:1" ht="15.75" customHeight="1">
      <c r="A624" s="23"/>
    </row>
    <row r="625" spans="1:1" ht="15.75" customHeight="1">
      <c r="A625" s="23"/>
    </row>
    <row r="626" spans="1:1" ht="15.75" customHeight="1">
      <c r="A626" s="23"/>
    </row>
    <row r="627" spans="1:1" ht="15.75" customHeight="1">
      <c r="A627" s="23"/>
    </row>
    <row r="628" spans="1:1" ht="15.75" customHeight="1">
      <c r="A628" s="23"/>
    </row>
    <row r="629" spans="1:1" ht="15.75" customHeight="1">
      <c r="A629" s="23"/>
    </row>
    <row r="630" spans="1:1" ht="15.75" customHeight="1">
      <c r="A630" s="23"/>
    </row>
    <row r="631" spans="1:1" ht="15.75" customHeight="1">
      <c r="A631" s="23"/>
    </row>
    <row r="632" spans="1:1" ht="15.75" customHeight="1">
      <c r="A632" s="23"/>
    </row>
    <row r="633" spans="1:1" ht="15.75" customHeight="1">
      <c r="A633" s="23"/>
    </row>
    <row r="634" spans="1:1" ht="15.75" customHeight="1">
      <c r="A634" s="23"/>
    </row>
    <row r="635" spans="1:1" ht="15.75" customHeight="1">
      <c r="A635" s="23"/>
    </row>
    <row r="636" spans="1:1" ht="15.75" customHeight="1">
      <c r="A636" s="23"/>
    </row>
    <row r="637" spans="1:1" ht="15.75" customHeight="1">
      <c r="A637" s="23"/>
    </row>
    <row r="638" spans="1:1" ht="15.75" customHeight="1">
      <c r="A638" s="23"/>
    </row>
    <row r="639" spans="1:1" ht="15.75" customHeight="1">
      <c r="A639" s="23"/>
    </row>
    <row r="640" spans="1:1" ht="15.75" customHeight="1">
      <c r="A640" s="23"/>
    </row>
    <row r="641" spans="1:1" ht="15.75" customHeight="1">
      <c r="A641" s="23"/>
    </row>
    <row r="642" spans="1:1" ht="15.75" customHeight="1">
      <c r="A642" s="23"/>
    </row>
    <row r="643" spans="1:1" ht="15.75" customHeight="1">
      <c r="A643" s="23"/>
    </row>
    <row r="644" spans="1:1" ht="15.75" customHeight="1">
      <c r="A644" s="23"/>
    </row>
    <row r="645" spans="1:1" ht="15.75" customHeight="1">
      <c r="A645" s="23"/>
    </row>
    <row r="646" spans="1:1" ht="15.75" customHeight="1">
      <c r="A646" s="23"/>
    </row>
    <row r="647" spans="1:1" ht="15.75" customHeight="1">
      <c r="A647" s="23"/>
    </row>
    <row r="648" spans="1:1" ht="15.75" customHeight="1">
      <c r="A648" s="23"/>
    </row>
    <row r="649" spans="1:1" ht="15.75" customHeight="1">
      <c r="A649" s="23"/>
    </row>
    <row r="650" spans="1:1" ht="15.75" customHeight="1">
      <c r="A650" s="23"/>
    </row>
    <row r="651" spans="1:1" ht="15.75" customHeight="1">
      <c r="A651" s="23"/>
    </row>
    <row r="652" spans="1:1" ht="15.75" customHeight="1">
      <c r="A652" s="23"/>
    </row>
    <row r="653" spans="1:1" ht="15.75" customHeight="1">
      <c r="A653" s="23"/>
    </row>
    <row r="654" spans="1:1" ht="15.75" customHeight="1">
      <c r="A654" s="23"/>
    </row>
    <row r="655" spans="1:1" ht="15.75" customHeight="1">
      <c r="A655" s="23"/>
    </row>
    <row r="656" spans="1:1" ht="15.75" customHeight="1">
      <c r="A656" s="23"/>
    </row>
    <row r="657" spans="1:1" ht="15.75" customHeight="1">
      <c r="A657" s="23"/>
    </row>
    <row r="658" spans="1:1" ht="15.75" customHeight="1">
      <c r="A658" s="23"/>
    </row>
    <row r="659" spans="1:1" ht="15.75" customHeight="1">
      <c r="A659" s="23"/>
    </row>
    <row r="660" spans="1:1" ht="15.75" customHeight="1">
      <c r="A660" s="23"/>
    </row>
    <row r="661" spans="1:1" ht="15.75" customHeight="1">
      <c r="A661" s="23"/>
    </row>
    <row r="662" spans="1:1" ht="15.75" customHeight="1">
      <c r="A662" s="23"/>
    </row>
    <row r="663" spans="1:1" ht="15.75" customHeight="1">
      <c r="A663" s="23"/>
    </row>
    <row r="664" spans="1:1" ht="15.75" customHeight="1">
      <c r="A664" s="23"/>
    </row>
    <row r="665" spans="1:1" ht="15.75" customHeight="1">
      <c r="A665" s="23"/>
    </row>
    <row r="666" spans="1:1" ht="15.75" customHeight="1">
      <c r="A666" s="23"/>
    </row>
    <row r="667" spans="1:1" ht="15.75" customHeight="1">
      <c r="A667" s="23"/>
    </row>
    <row r="668" spans="1:1" ht="15.75" customHeight="1">
      <c r="A668" s="23"/>
    </row>
    <row r="669" spans="1:1" ht="15.75" customHeight="1">
      <c r="A669" s="23"/>
    </row>
    <row r="670" spans="1:1" ht="15.75" customHeight="1">
      <c r="A670" s="23"/>
    </row>
    <row r="671" spans="1:1" ht="15.75" customHeight="1">
      <c r="A671" s="23"/>
    </row>
    <row r="672" spans="1:1" ht="15.75" customHeight="1">
      <c r="A672" s="23"/>
    </row>
    <row r="673" spans="1:1" ht="15.75" customHeight="1">
      <c r="A673" s="23"/>
    </row>
    <row r="674" spans="1:1" ht="15.75" customHeight="1">
      <c r="A674" s="23"/>
    </row>
    <row r="675" spans="1:1" ht="15.75" customHeight="1">
      <c r="A675" s="23"/>
    </row>
    <row r="676" spans="1:1" ht="15.75" customHeight="1">
      <c r="A676" s="23"/>
    </row>
    <row r="677" spans="1:1" ht="15.75" customHeight="1">
      <c r="A677" s="23"/>
    </row>
    <row r="678" spans="1:1" ht="15.75" customHeight="1">
      <c r="A678" s="23"/>
    </row>
    <row r="679" spans="1:1" ht="15.75" customHeight="1">
      <c r="A679" s="23"/>
    </row>
    <row r="680" spans="1:1" ht="15.75" customHeight="1">
      <c r="A680" s="23"/>
    </row>
    <row r="681" spans="1:1" ht="15.75" customHeight="1">
      <c r="A681" s="23"/>
    </row>
    <row r="682" spans="1:1" ht="15.75" customHeight="1">
      <c r="A682" s="23"/>
    </row>
    <row r="683" spans="1:1" ht="15.75" customHeight="1">
      <c r="A683" s="23"/>
    </row>
    <row r="684" spans="1:1" ht="15.75" customHeight="1">
      <c r="A684" s="23"/>
    </row>
    <row r="685" spans="1:1" ht="15.75" customHeight="1">
      <c r="A685" s="23"/>
    </row>
    <row r="686" spans="1:1" ht="15.75" customHeight="1">
      <c r="A686" s="23"/>
    </row>
    <row r="687" spans="1:1" ht="15.75" customHeight="1">
      <c r="A687" s="23"/>
    </row>
    <row r="688" spans="1:1" ht="15.75" customHeight="1">
      <c r="A688" s="23"/>
    </row>
    <row r="689" spans="1:1" ht="15.75" customHeight="1">
      <c r="A689" s="23"/>
    </row>
    <row r="690" spans="1:1" ht="15.75" customHeight="1">
      <c r="A690" s="23"/>
    </row>
    <row r="691" spans="1:1" ht="15.75" customHeight="1">
      <c r="A691" s="23"/>
    </row>
    <row r="692" spans="1:1" ht="15.75" customHeight="1">
      <c r="A692" s="23"/>
    </row>
    <row r="693" spans="1:1" ht="15.75" customHeight="1">
      <c r="A693" s="23"/>
    </row>
    <row r="694" spans="1:1" ht="15.75" customHeight="1">
      <c r="A694" s="23"/>
    </row>
    <row r="695" spans="1:1" ht="15.75" customHeight="1">
      <c r="A695" s="23"/>
    </row>
    <row r="696" spans="1:1" ht="15.75" customHeight="1">
      <c r="A696" s="23"/>
    </row>
    <row r="697" spans="1:1" ht="15.75" customHeight="1">
      <c r="A697" s="23"/>
    </row>
    <row r="698" spans="1:1" ht="15.75" customHeight="1">
      <c r="A698" s="23"/>
    </row>
    <row r="699" spans="1:1" ht="15.75" customHeight="1">
      <c r="A699" s="23"/>
    </row>
    <row r="700" spans="1:1" ht="15.75" customHeight="1">
      <c r="A700" s="23"/>
    </row>
    <row r="701" spans="1:1" ht="15.75" customHeight="1">
      <c r="A701" s="23"/>
    </row>
    <row r="702" spans="1:1" ht="15.75" customHeight="1">
      <c r="A702" s="23"/>
    </row>
    <row r="703" spans="1:1" ht="15.75" customHeight="1">
      <c r="A703" s="23"/>
    </row>
    <row r="704" spans="1:1" ht="15.75" customHeight="1">
      <c r="A704" s="23"/>
    </row>
    <row r="705" spans="1:1" ht="15.75" customHeight="1">
      <c r="A705" s="23"/>
    </row>
    <row r="706" spans="1:1" ht="15.75" customHeight="1">
      <c r="A706" s="23"/>
    </row>
    <row r="707" spans="1:1" ht="15.75" customHeight="1">
      <c r="A707" s="23"/>
    </row>
    <row r="708" spans="1:1" ht="15.75" customHeight="1">
      <c r="A708" s="23"/>
    </row>
    <row r="709" spans="1:1" ht="15.75" customHeight="1">
      <c r="A709" s="23"/>
    </row>
    <row r="710" spans="1:1" ht="15.75" customHeight="1">
      <c r="A710" s="23"/>
    </row>
    <row r="711" spans="1:1" ht="15.75" customHeight="1">
      <c r="A711" s="23"/>
    </row>
    <row r="712" spans="1:1" ht="15.75" customHeight="1">
      <c r="A712" s="23"/>
    </row>
    <row r="713" spans="1:1" ht="15.75" customHeight="1">
      <c r="A713" s="23"/>
    </row>
    <row r="714" spans="1:1" ht="15.75" customHeight="1">
      <c r="A714" s="23"/>
    </row>
    <row r="715" spans="1:1" ht="15.75" customHeight="1">
      <c r="A715" s="23"/>
    </row>
    <row r="716" spans="1:1" ht="15.75" customHeight="1">
      <c r="A716" s="23"/>
    </row>
    <row r="717" spans="1:1" ht="15.75" customHeight="1">
      <c r="A717" s="23"/>
    </row>
    <row r="718" spans="1:1" ht="15.75" customHeight="1">
      <c r="A718" s="23"/>
    </row>
    <row r="719" spans="1:1" ht="15.75" customHeight="1">
      <c r="A719" s="23"/>
    </row>
    <row r="720" spans="1:1" ht="15.75" customHeight="1">
      <c r="A720" s="23"/>
    </row>
    <row r="721" spans="1:1" ht="15.75" customHeight="1">
      <c r="A721" s="23"/>
    </row>
    <row r="722" spans="1:1" ht="15.75" customHeight="1">
      <c r="A722" s="23"/>
    </row>
    <row r="723" spans="1:1" ht="15.75" customHeight="1">
      <c r="A723" s="23"/>
    </row>
    <row r="724" spans="1:1" ht="15.75" customHeight="1">
      <c r="A724" s="23"/>
    </row>
    <row r="725" spans="1:1" ht="15.75" customHeight="1">
      <c r="A725" s="23"/>
    </row>
    <row r="726" spans="1:1" ht="15.75" customHeight="1">
      <c r="A726" s="23"/>
    </row>
    <row r="727" spans="1:1" ht="15.75" customHeight="1">
      <c r="A727" s="23"/>
    </row>
    <row r="728" spans="1:1" ht="15.75" customHeight="1">
      <c r="A728" s="23"/>
    </row>
    <row r="729" spans="1:1" ht="15.75" customHeight="1">
      <c r="A729" s="23"/>
    </row>
    <row r="730" spans="1:1" ht="15.75" customHeight="1">
      <c r="A730" s="23"/>
    </row>
    <row r="731" spans="1:1" ht="15.75" customHeight="1">
      <c r="A731" s="23"/>
    </row>
    <row r="732" spans="1:1" ht="15.75" customHeight="1">
      <c r="A732" s="23"/>
    </row>
    <row r="733" spans="1:1" ht="15.75" customHeight="1">
      <c r="A733" s="23"/>
    </row>
    <row r="734" spans="1:1" ht="15.75" customHeight="1">
      <c r="A734" s="23"/>
    </row>
    <row r="735" spans="1:1" ht="15.75" customHeight="1">
      <c r="A735" s="23"/>
    </row>
    <row r="736" spans="1:1" ht="15.75" customHeight="1">
      <c r="A736" s="23"/>
    </row>
    <row r="737" spans="1:1" ht="15.75" customHeight="1">
      <c r="A737" s="23"/>
    </row>
    <row r="738" spans="1:1" ht="15.75" customHeight="1">
      <c r="A738" s="23"/>
    </row>
    <row r="739" spans="1:1" ht="15.75" customHeight="1">
      <c r="A739" s="23"/>
    </row>
    <row r="740" spans="1:1" ht="15.75" customHeight="1">
      <c r="A740" s="23"/>
    </row>
    <row r="741" spans="1:1" ht="15.75" customHeight="1">
      <c r="A741" s="23"/>
    </row>
    <row r="742" spans="1:1" ht="15.75" customHeight="1">
      <c r="A742" s="23"/>
    </row>
    <row r="743" spans="1:1" ht="15.75" customHeight="1">
      <c r="A743" s="23"/>
    </row>
    <row r="744" spans="1:1" ht="15.75" customHeight="1">
      <c r="A744" s="23"/>
    </row>
    <row r="745" spans="1:1" ht="15.75" customHeight="1">
      <c r="A745" s="23"/>
    </row>
    <row r="746" spans="1:1" ht="15.75" customHeight="1">
      <c r="A746" s="23"/>
    </row>
    <row r="747" spans="1:1" ht="15.75" customHeight="1">
      <c r="A747" s="23"/>
    </row>
    <row r="748" spans="1:1" ht="15.75" customHeight="1">
      <c r="A748" s="23"/>
    </row>
    <row r="749" spans="1:1" ht="15.75" customHeight="1">
      <c r="A749" s="23"/>
    </row>
    <row r="750" spans="1:1" ht="15.75" customHeight="1">
      <c r="A750" s="23"/>
    </row>
    <row r="751" spans="1:1" ht="15.75" customHeight="1">
      <c r="A751" s="23"/>
    </row>
    <row r="752" spans="1:1" ht="15.75" customHeight="1">
      <c r="A752" s="23"/>
    </row>
    <row r="753" spans="1:1" ht="15.75" customHeight="1">
      <c r="A753" s="23"/>
    </row>
    <row r="754" spans="1:1" ht="15.75" customHeight="1">
      <c r="A754" s="23"/>
    </row>
    <row r="755" spans="1:1" ht="15.75" customHeight="1">
      <c r="A755" s="23"/>
    </row>
    <row r="756" spans="1:1" ht="15.75" customHeight="1">
      <c r="A756" s="23"/>
    </row>
    <row r="757" spans="1:1" ht="15.75" customHeight="1">
      <c r="A757" s="23"/>
    </row>
    <row r="758" spans="1:1" ht="15.75" customHeight="1">
      <c r="A758" s="23"/>
    </row>
    <row r="759" spans="1:1" ht="15.75" customHeight="1">
      <c r="A759" s="23"/>
    </row>
    <row r="760" spans="1:1" ht="15.75" customHeight="1">
      <c r="A760" s="23"/>
    </row>
    <row r="761" spans="1:1" ht="15.75" customHeight="1">
      <c r="A761" s="23"/>
    </row>
    <row r="762" spans="1:1" ht="15.75" customHeight="1">
      <c r="A762" s="23"/>
    </row>
    <row r="763" spans="1:1" ht="15.75" customHeight="1">
      <c r="A763" s="23"/>
    </row>
    <row r="764" spans="1:1" ht="15.75" customHeight="1">
      <c r="A764" s="23"/>
    </row>
    <row r="765" spans="1:1" ht="15.75" customHeight="1">
      <c r="A765" s="23"/>
    </row>
    <row r="766" spans="1:1" ht="15.75" customHeight="1">
      <c r="A766" s="23"/>
    </row>
    <row r="767" spans="1:1" ht="15.75" customHeight="1">
      <c r="A767" s="23"/>
    </row>
    <row r="768" spans="1:1" ht="15.75" customHeight="1">
      <c r="A768" s="23"/>
    </row>
    <row r="769" spans="1:1" ht="15.75" customHeight="1">
      <c r="A769" s="23"/>
    </row>
    <row r="770" spans="1:1" ht="15.75" customHeight="1">
      <c r="A770" s="23"/>
    </row>
    <row r="771" spans="1:1" ht="15.75" customHeight="1">
      <c r="A771" s="23"/>
    </row>
    <row r="772" spans="1:1" ht="15.75" customHeight="1">
      <c r="A772" s="23"/>
    </row>
    <row r="773" spans="1:1" ht="15.75" customHeight="1">
      <c r="A773" s="23"/>
    </row>
    <row r="774" spans="1:1" ht="15.75" customHeight="1">
      <c r="A774" s="23"/>
    </row>
    <row r="775" spans="1:1" ht="15.75" customHeight="1">
      <c r="A775" s="23"/>
    </row>
    <row r="776" spans="1:1" ht="15.75" customHeight="1">
      <c r="A776" s="23"/>
    </row>
    <row r="777" spans="1:1" ht="15.75" customHeight="1">
      <c r="A777" s="23"/>
    </row>
    <row r="778" spans="1:1" ht="15.75" customHeight="1">
      <c r="A778" s="23"/>
    </row>
    <row r="779" spans="1:1" ht="15.75" customHeight="1">
      <c r="A779" s="23"/>
    </row>
    <row r="780" spans="1:1" ht="15.75" customHeight="1">
      <c r="A780" s="23"/>
    </row>
    <row r="781" spans="1:1" ht="15.75" customHeight="1">
      <c r="A781" s="23"/>
    </row>
    <row r="782" spans="1:1" ht="15.75" customHeight="1">
      <c r="A782" s="23"/>
    </row>
    <row r="783" spans="1:1" ht="15.75" customHeight="1">
      <c r="A783" s="23"/>
    </row>
    <row r="784" spans="1:1" ht="15.75" customHeight="1">
      <c r="A784" s="23"/>
    </row>
    <row r="785" spans="1:1" ht="15.75" customHeight="1">
      <c r="A785" s="23"/>
    </row>
    <row r="786" spans="1:1" ht="15.75" customHeight="1">
      <c r="A786" s="23"/>
    </row>
    <row r="787" spans="1:1" ht="15.75" customHeight="1">
      <c r="A787" s="23"/>
    </row>
    <row r="788" spans="1:1" ht="15.75" customHeight="1">
      <c r="A788" s="23"/>
    </row>
    <row r="789" spans="1:1" ht="15.75" customHeight="1">
      <c r="A789" s="23"/>
    </row>
    <row r="790" spans="1:1" ht="15.75" customHeight="1">
      <c r="A790" s="23"/>
    </row>
    <row r="791" spans="1:1" ht="15.75" customHeight="1">
      <c r="A791" s="23"/>
    </row>
    <row r="792" spans="1:1" ht="15.75" customHeight="1">
      <c r="A792" s="23"/>
    </row>
    <row r="793" spans="1:1" ht="15.75" customHeight="1">
      <c r="A793" s="23"/>
    </row>
    <row r="794" spans="1:1" ht="15.75" customHeight="1">
      <c r="A794" s="23"/>
    </row>
    <row r="795" spans="1:1" ht="15.75" customHeight="1">
      <c r="A795" s="23"/>
    </row>
    <row r="796" spans="1:1" ht="15.75" customHeight="1">
      <c r="A796" s="23"/>
    </row>
    <row r="797" spans="1:1" ht="15.75" customHeight="1">
      <c r="A797" s="23"/>
    </row>
    <row r="798" spans="1:1" ht="15.75" customHeight="1">
      <c r="A798" s="23"/>
    </row>
    <row r="799" spans="1:1" ht="15.75" customHeight="1">
      <c r="A799" s="23"/>
    </row>
    <row r="800" spans="1:1" ht="15.75" customHeight="1">
      <c r="A800" s="23"/>
    </row>
    <row r="801" spans="1:1" ht="15.75" customHeight="1">
      <c r="A801" s="23"/>
    </row>
    <row r="802" spans="1:1" ht="15.75" customHeight="1">
      <c r="A802" s="23"/>
    </row>
    <row r="803" spans="1:1" ht="15.75" customHeight="1">
      <c r="A803" s="23"/>
    </row>
    <row r="804" spans="1:1" ht="15.75" customHeight="1">
      <c r="A804" s="23"/>
    </row>
    <row r="805" spans="1:1" ht="15.75" customHeight="1">
      <c r="A805" s="23"/>
    </row>
    <row r="806" spans="1:1" ht="15.75" customHeight="1">
      <c r="A806" s="23"/>
    </row>
    <row r="807" spans="1:1" ht="15.75" customHeight="1">
      <c r="A807" s="23"/>
    </row>
    <row r="808" spans="1:1" ht="15.75" customHeight="1">
      <c r="A808" s="23"/>
    </row>
    <row r="809" spans="1:1" ht="15.75" customHeight="1">
      <c r="A809" s="23"/>
    </row>
    <row r="810" spans="1:1" ht="15.75" customHeight="1">
      <c r="A810" s="23"/>
    </row>
    <row r="811" spans="1:1" ht="15.75" customHeight="1">
      <c r="A811" s="23"/>
    </row>
    <row r="812" spans="1:1" ht="15.75" customHeight="1">
      <c r="A812" s="23"/>
    </row>
    <row r="813" spans="1:1" ht="15.75" customHeight="1">
      <c r="A813" s="23"/>
    </row>
    <row r="814" spans="1:1" ht="15.75" customHeight="1">
      <c r="A814" s="23"/>
    </row>
    <row r="815" spans="1:1" ht="15.75" customHeight="1">
      <c r="A815" s="23"/>
    </row>
    <row r="816" spans="1:1" ht="15.75" customHeight="1">
      <c r="A816" s="23"/>
    </row>
    <row r="817" spans="1:1" ht="15.75" customHeight="1">
      <c r="A817" s="23"/>
    </row>
    <row r="818" spans="1:1" ht="15.75" customHeight="1">
      <c r="A818" s="23"/>
    </row>
    <row r="819" spans="1:1" ht="15.75" customHeight="1">
      <c r="A819" s="23"/>
    </row>
    <row r="820" spans="1:1" ht="15.75" customHeight="1">
      <c r="A820" s="23"/>
    </row>
    <row r="821" spans="1:1" ht="15.75" customHeight="1">
      <c r="A821" s="23"/>
    </row>
    <row r="822" spans="1:1" ht="15.75" customHeight="1">
      <c r="A822" s="23"/>
    </row>
    <row r="823" spans="1:1" ht="15.75" customHeight="1">
      <c r="A823" s="23"/>
    </row>
    <row r="824" spans="1:1" ht="15.75" customHeight="1">
      <c r="A824" s="23"/>
    </row>
    <row r="825" spans="1:1" ht="15.75" customHeight="1">
      <c r="A825" s="23"/>
    </row>
    <row r="826" spans="1:1" ht="15.75" customHeight="1">
      <c r="A826" s="23"/>
    </row>
    <row r="827" spans="1:1" ht="15.75" customHeight="1">
      <c r="A827" s="23"/>
    </row>
    <row r="828" spans="1:1" ht="15.75" customHeight="1">
      <c r="A828" s="23"/>
    </row>
    <row r="829" spans="1:1" ht="15.75" customHeight="1">
      <c r="A829" s="23"/>
    </row>
    <row r="830" spans="1:1" ht="15.75" customHeight="1">
      <c r="A830" s="23"/>
    </row>
    <row r="831" spans="1:1" ht="15.75" customHeight="1">
      <c r="A831" s="23"/>
    </row>
    <row r="832" spans="1:1" ht="15.75" customHeight="1">
      <c r="A832" s="23"/>
    </row>
    <row r="833" spans="1:1" ht="15.75" customHeight="1">
      <c r="A833" s="23"/>
    </row>
    <row r="834" spans="1:1" ht="15.75" customHeight="1">
      <c r="A834" s="23"/>
    </row>
    <row r="835" spans="1:1" ht="15.75" customHeight="1">
      <c r="A835" s="23"/>
    </row>
    <row r="836" spans="1:1" ht="15.75" customHeight="1">
      <c r="A836" s="23"/>
    </row>
    <row r="837" spans="1:1" ht="15.75" customHeight="1">
      <c r="A837" s="23"/>
    </row>
    <row r="838" spans="1:1" ht="15.75" customHeight="1">
      <c r="A838" s="23"/>
    </row>
    <row r="839" spans="1:1" ht="15.75" customHeight="1">
      <c r="A839" s="23"/>
    </row>
    <row r="840" spans="1:1" ht="15.75" customHeight="1">
      <c r="A840" s="23"/>
    </row>
    <row r="841" spans="1:1" ht="15.75" customHeight="1">
      <c r="A841" s="23"/>
    </row>
    <row r="842" spans="1:1" ht="15.75" customHeight="1">
      <c r="A842" s="23"/>
    </row>
    <row r="843" spans="1:1" ht="15.75" customHeight="1">
      <c r="A843" s="23"/>
    </row>
    <row r="844" spans="1:1" ht="15.75" customHeight="1">
      <c r="A844" s="23"/>
    </row>
    <row r="845" spans="1:1" ht="15.75" customHeight="1">
      <c r="A845" s="23"/>
    </row>
    <row r="846" spans="1:1" ht="15.75" customHeight="1">
      <c r="A846" s="23"/>
    </row>
    <row r="847" spans="1:1" ht="15.75" customHeight="1">
      <c r="A847" s="23"/>
    </row>
    <row r="848" spans="1:1" ht="15.75" customHeight="1">
      <c r="A848" s="23"/>
    </row>
    <row r="849" spans="1:1" ht="15.75" customHeight="1">
      <c r="A849" s="23"/>
    </row>
    <row r="850" spans="1:1" ht="15.75" customHeight="1">
      <c r="A850" s="23"/>
    </row>
    <row r="851" spans="1:1" ht="15.75" customHeight="1">
      <c r="A851" s="23"/>
    </row>
    <row r="852" spans="1:1" ht="15.75" customHeight="1">
      <c r="A852" s="23"/>
    </row>
    <row r="853" spans="1:1" ht="15.75" customHeight="1">
      <c r="A853" s="23"/>
    </row>
    <row r="854" spans="1:1" ht="15.75" customHeight="1">
      <c r="A854" s="23"/>
    </row>
    <row r="855" spans="1:1" ht="15.75" customHeight="1">
      <c r="A855" s="23"/>
    </row>
    <row r="856" spans="1:1" ht="15.75" customHeight="1">
      <c r="A856" s="23"/>
    </row>
    <row r="857" spans="1:1" ht="15.75" customHeight="1">
      <c r="A857" s="23"/>
    </row>
    <row r="858" spans="1:1" ht="15.75" customHeight="1">
      <c r="A858" s="23"/>
    </row>
    <row r="859" spans="1:1" ht="15.75" customHeight="1">
      <c r="A859" s="23"/>
    </row>
    <row r="860" spans="1:1" ht="15.75" customHeight="1">
      <c r="A860" s="23"/>
    </row>
    <row r="861" spans="1:1" ht="15.75" customHeight="1">
      <c r="A861" s="23"/>
    </row>
    <row r="862" spans="1:1" ht="15.75" customHeight="1">
      <c r="A862" s="23"/>
    </row>
    <row r="863" spans="1:1" ht="15.75" customHeight="1">
      <c r="A863" s="23"/>
    </row>
    <row r="864" spans="1:1" ht="15.75" customHeight="1">
      <c r="A864" s="23"/>
    </row>
    <row r="865" spans="1:1" ht="15.75" customHeight="1">
      <c r="A865" s="23"/>
    </row>
    <row r="866" spans="1:1" ht="15.75" customHeight="1">
      <c r="A866" s="23"/>
    </row>
    <row r="867" spans="1:1" ht="15.75" customHeight="1">
      <c r="A867" s="23"/>
    </row>
    <row r="868" spans="1:1" ht="15.75" customHeight="1">
      <c r="A868" s="23"/>
    </row>
    <row r="869" spans="1:1" ht="15.75" customHeight="1">
      <c r="A869" s="23"/>
    </row>
    <row r="870" spans="1:1" ht="15.75" customHeight="1">
      <c r="A870" s="23"/>
    </row>
    <row r="871" spans="1:1" ht="15.75" customHeight="1">
      <c r="A871" s="23"/>
    </row>
    <row r="872" spans="1:1" ht="15.75" customHeight="1">
      <c r="A872" s="23"/>
    </row>
    <row r="873" spans="1:1" ht="15.75" customHeight="1">
      <c r="A873" s="23"/>
    </row>
    <row r="874" spans="1:1" ht="15.75" customHeight="1">
      <c r="A874" s="23"/>
    </row>
    <row r="875" spans="1:1" ht="15.75" customHeight="1">
      <c r="A875" s="23"/>
    </row>
    <row r="876" spans="1:1" ht="15.75" customHeight="1">
      <c r="A876" s="23"/>
    </row>
    <row r="877" spans="1:1" ht="15.75" customHeight="1">
      <c r="A877" s="23"/>
    </row>
    <row r="878" spans="1:1" ht="15.75" customHeight="1">
      <c r="A878" s="23"/>
    </row>
    <row r="879" spans="1:1" ht="15.75" customHeight="1">
      <c r="A879" s="23"/>
    </row>
    <row r="880" spans="1:1" ht="15.75" customHeight="1">
      <c r="A880" s="23"/>
    </row>
    <row r="881" spans="1:1" ht="15.75" customHeight="1">
      <c r="A881" s="23"/>
    </row>
    <row r="882" spans="1:1" ht="15.75" customHeight="1">
      <c r="A882" s="23"/>
    </row>
    <row r="883" spans="1:1" ht="15.75" customHeight="1">
      <c r="A883" s="23"/>
    </row>
    <row r="884" spans="1:1" ht="15.75" customHeight="1">
      <c r="A884" s="23"/>
    </row>
    <row r="885" spans="1:1" ht="15.75" customHeight="1">
      <c r="A885" s="23"/>
    </row>
    <row r="886" spans="1:1" ht="15.75" customHeight="1">
      <c r="A886" s="23"/>
    </row>
    <row r="887" spans="1:1" ht="15.75" customHeight="1">
      <c r="A887" s="23"/>
    </row>
    <row r="888" spans="1:1" ht="15.75" customHeight="1">
      <c r="A888" s="23"/>
    </row>
    <row r="889" spans="1:1" ht="15.75" customHeight="1">
      <c r="A889" s="23"/>
    </row>
    <row r="890" spans="1:1" ht="15.75" customHeight="1">
      <c r="A890" s="23"/>
    </row>
    <row r="891" spans="1:1" ht="15.75" customHeight="1">
      <c r="A891" s="23"/>
    </row>
    <row r="892" spans="1:1" ht="15.75" customHeight="1">
      <c r="A892" s="23"/>
    </row>
    <row r="893" spans="1:1" ht="15.75" customHeight="1">
      <c r="A893" s="23"/>
    </row>
    <row r="894" spans="1:1" ht="15.75" customHeight="1">
      <c r="A894" s="23"/>
    </row>
    <row r="895" spans="1:1" ht="15.75" customHeight="1">
      <c r="A895" s="23"/>
    </row>
    <row r="896" spans="1:1" ht="15.75" customHeight="1">
      <c r="A896" s="23"/>
    </row>
    <row r="897" spans="1:1" ht="15.75" customHeight="1">
      <c r="A897" s="23"/>
    </row>
    <row r="898" spans="1:1" ht="15.75" customHeight="1">
      <c r="A898" s="23"/>
    </row>
    <row r="899" spans="1:1" ht="15.75" customHeight="1">
      <c r="A899" s="23"/>
    </row>
    <row r="900" spans="1:1" ht="15.75" customHeight="1">
      <c r="A900" s="23"/>
    </row>
    <row r="901" spans="1:1" ht="15.75" customHeight="1">
      <c r="A901" s="23"/>
    </row>
    <row r="902" spans="1:1" ht="15.75" customHeight="1">
      <c r="A902" s="23"/>
    </row>
    <row r="903" spans="1:1" ht="15.75" customHeight="1">
      <c r="A903" s="23"/>
    </row>
    <row r="904" spans="1:1" ht="15.75" customHeight="1">
      <c r="A904" s="23"/>
    </row>
    <row r="905" spans="1:1" ht="15.75" customHeight="1">
      <c r="A905" s="23"/>
    </row>
    <row r="906" spans="1:1" ht="15.75" customHeight="1">
      <c r="A906" s="23"/>
    </row>
    <row r="907" spans="1:1" ht="15.75" customHeight="1">
      <c r="A907" s="23"/>
    </row>
    <row r="908" spans="1:1" ht="15.75" customHeight="1">
      <c r="A908" s="23"/>
    </row>
    <row r="909" spans="1:1" ht="15.75" customHeight="1">
      <c r="A909" s="23"/>
    </row>
    <row r="910" spans="1:1" ht="15.75" customHeight="1">
      <c r="A910" s="23"/>
    </row>
    <row r="911" spans="1:1" ht="15.75" customHeight="1">
      <c r="A911" s="23"/>
    </row>
    <row r="912" spans="1:1" ht="15.75" customHeight="1">
      <c r="A912" s="23"/>
    </row>
    <row r="913" spans="1:1" ht="15.75" customHeight="1">
      <c r="A913" s="23"/>
    </row>
    <row r="914" spans="1:1" ht="15.75" customHeight="1">
      <c r="A914" s="23"/>
    </row>
    <row r="915" spans="1:1" ht="15.75" customHeight="1">
      <c r="A915" s="23"/>
    </row>
    <row r="916" spans="1:1" ht="15.75" customHeight="1">
      <c r="A916" s="23"/>
    </row>
    <row r="917" spans="1:1" ht="15.75" customHeight="1">
      <c r="A917" s="23"/>
    </row>
    <row r="918" spans="1:1" ht="15.75" customHeight="1">
      <c r="A918" s="23"/>
    </row>
    <row r="919" spans="1:1" ht="15.75" customHeight="1">
      <c r="A919" s="23"/>
    </row>
    <row r="920" spans="1:1" ht="15.75" customHeight="1">
      <c r="A920" s="23"/>
    </row>
    <row r="921" spans="1:1" ht="15.75" customHeight="1">
      <c r="A921" s="23"/>
    </row>
    <row r="922" spans="1:1" ht="15.75" customHeight="1">
      <c r="A922" s="23"/>
    </row>
    <row r="923" spans="1:1" ht="15.75" customHeight="1">
      <c r="A923" s="23"/>
    </row>
    <row r="924" spans="1:1" ht="15.75" customHeight="1">
      <c r="A924" s="23"/>
    </row>
    <row r="925" spans="1:1" ht="15.75" customHeight="1">
      <c r="A925" s="23"/>
    </row>
    <row r="926" spans="1:1" ht="15.75" customHeight="1">
      <c r="A926" s="23"/>
    </row>
    <row r="927" spans="1:1" ht="15.75" customHeight="1">
      <c r="A927" s="23"/>
    </row>
    <row r="928" spans="1:1" ht="15.75" customHeight="1">
      <c r="A928" s="23"/>
    </row>
    <row r="929" spans="1:1" ht="15.75" customHeight="1">
      <c r="A929" s="23"/>
    </row>
    <row r="930" spans="1:1" ht="15.75" customHeight="1">
      <c r="A930" s="23"/>
    </row>
    <row r="931" spans="1:1" ht="15.75" customHeight="1">
      <c r="A931" s="23"/>
    </row>
    <row r="932" spans="1:1" ht="15.75" customHeight="1">
      <c r="A932" s="23"/>
    </row>
    <row r="933" spans="1:1" ht="15.75" customHeight="1">
      <c r="A933" s="23"/>
    </row>
    <row r="934" spans="1:1" ht="15.75" customHeight="1">
      <c r="A934" s="23"/>
    </row>
    <row r="935" spans="1:1" ht="15.75" customHeight="1">
      <c r="A935" s="23"/>
    </row>
    <row r="936" spans="1:1" ht="15.75" customHeight="1">
      <c r="A936" s="23"/>
    </row>
    <row r="937" spans="1:1" ht="15.75" customHeight="1">
      <c r="A937" s="23"/>
    </row>
    <row r="938" spans="1:1" ht="15.75" customHeight="1">
      <c r="A938" s="23"/>
    </row>
    <row r="939" spans="1:1" ht="15.75" customHeight="1">
      <c r="A939" s="23"/>
    </row>
    <row r="940" spans="1:1" ht="15.75" customHeight="1">
      <c r="A940" s="23"/>
    </row>
    <row r="941" spans="1:1" ht="15.75" customHeight="1">
      <c r="A941" s="23"/>
    </row>
    <row r="942" spans="1:1" ht="15.75" customHeight="1">
      <c r="A942" s="23"/>
    </row>
    <row r="943" spans="1:1" ht="15.75" customHeight="1">
      <c r="A943" s="23"/>
    </row>
    <row r="944" spans="1:1" ht="15.75" customHeight="1">
      <c r="A944" s="23"/>
    </row>
    <row r="945" spans="1:1" ht="15.75" customHeight="1">
      <c r="A945" s="23"/>
    </row>
    <row r="946" spans="1:1" ht="15.75" customHeight="1">
      <c r="A946" s="23"/>
    </row>
    <row r="947" spans="1:1" ht="15.75" customHeight="1">
      <c r="A947" s="23"/>
    </row>
    <row r="948" spans="1:1" ht="15.75" customHeight="1">
      <c r="A948" s="23"/>
    </row>
    <row r="949" spans="1:1" ht="15.75" customHeight="1">
      <c r="A949" s="23"/>
    </row>
    <row r="950" spans="1:1" ht="15.75" customHeight="1">
      <c r="A950" s="23"/>
    </row>
    <row r="951" spans="1:1" ht="15.75" customHeight="1">
      <c r="A951" s="23"/>
    </row>
    <row r="952" spans="1:1" ht="15.75" customHeight="1">
      <c r="A952" s="23"/>
    </row>
    <row r="953" spans="1:1" ht="15.75" customHeight="1">
      <c r="A953" s="23"/>
    </row>
    <row r="954" spans="1:1" ht="15.75" customHeight="1">
      <c r="A954" s="23"/>
    </row>
    <row r="955" spans="1:1" ht="15.75" customHeight="1">
      <c r="A955" s="23"/>
    </row>
    <row r="956" spans="1:1" ht="15.75" customHeight="1">
      <c r="A956" s="23"/>
    </row>
    <row r="957" spans="1:1" ht="15.75" customHeight="1">
      <c r="A957" s="23"/>
    </row>
    <row r="958" spans="1:1" ht="15.75" customHeight="1">
      <c r="A958" s="23"/>
    </row>
    <row r="959" spans="1:1" ht="15.75" customHeight="1">
      <c r="A959" s="23"/>
    </row>
    <row r="960" spans="1:1" ht="15.75" customHeight="1">
      <c r="A960" s="23"/>
    </row>
    <row r="961" spans="1:1" ht="15.75" customHeight="1">
      <c r="A961" s="23"/>
    </row>
    <row r="962" spans="1:1" ht="15.75" customHeight="1">
      <c r="A962" s="23"/>
    </row>
    <row r="963" spans="1:1" ht="15.75" customHeight="1">
      <c r="A963" s="23"/>
    </row>
    <row r="964" spans="1:1" ht="15.75" customHeight="1">
      <c r="A964" s="23"/>
    </row>
    <row r="965" spans="1:1" ht="15.75" customHeight="1">
      <c r="A965" s="23"/>
    </row>
    <row r="966" spans="1:1" ht="15.75" customHeight="1">
      <c r="A966" s="23"/>
    </row>
    <row r="967" spans="1:1" ht="15.75" customHeight="1">
      <c r="A967" s="23"/>
    </row>
    <row r="968" spans="1:1" ht="15.75" customHeight="1">
      <c r="A968" s="23"/>
    </row>
    <row r="969" spans="1:1" ht="15.75" customHeight="1">
      <c r="A969" s="23"/>
    </row>
    <row r="970" spans="1:1" ht="15.75" customHeight="1">
      <c r="A970" s="23"/>
    </row>
    <row r="971" spans="1:1" ht="15.75" customHeight="1">
      <c r="A971" s="23"/>
    </row>
    <row r="972" spans="1:1" ht="15.75" customHeight="1">
      <c r="A972" s="23"/>
    </row>
    <row r="973" spans="1:1" ht="15.75" customHeight="1">
      <c r="A973" s="23"/>
    </row>
    <row r="974" spans="1:1" ht="15.75" customHeight="1">
      <c r="A974" s="23"/>
    </row>
    <row r="975" spans="1:1" ht="15.75" customHeight="1">
      <c r="A975" s="23"/>
    </row>
    <row r="976" spans="1:1" ht="15.75" customHeight="1">
      <c r="A976" s="23"/>
    </row>
    <row r="977" spans="1:1" ht="15.75" customHeight="1">
      <c r="A977" s="23"/>
    </row>
    <row r="978" spans="1:1" ht="15.75" customHeight="1">
      <c r="A978" s="23"/>
    </row>
    <row r="979" spans="1:1" ht="15.75" customHeight="1">
      <c r="A979" s="23"/>
    </row>
    <row r="980" spans="1:1" ht="15.75" customHeight="1">
      <c r="A980" s="23"/>
    </row>
    <row r="981" spans="1:1" ht="15.75" customHeight="1">
      <c r="A981" s="23"/>
    </row>
    <row r="982" spans="1:1" ht="15.75" customHeight="1">
      <c r="A982" s="23"/>
    </row>
    <row r="983" spans="1:1" ht="15.75" customHeight="1">
      <c r="A983" s="23"/>
    </row>
    <row r="984" spans="1:1" ht="15.75" customHeight="1">
      <c r="A984" s="23"/>
    </row>
    <row r="985" spans="1:1" ht="15.75" customHeight="1">
      <c r="A985" s="23"/>
    </row>
    <row r="986" spans="1:1" ht="15.75" customHeight="1">
      <c r="A986" s="23"/>
    </row>
    <row r="987" spans="1:1" ht="15.75" customHeight="1">
      <c r="A987" s="23"/>
    </row>
    <row r="988" spans="1:1" ht="15.75" customHeight="1">
      <c r="A988" s="23"/>
    </row>
    <row r="989" spans="1:1" ht="15.75" customHeight="1">
      <c r="A989" s="23"/>
    </row>
    <row r="990" spans="1:1" ht="15.75" customHeight="1">
      <c r="A990" s="23"/>
    </row>
    <row r="991" spans="1:1" ht="15.75" customHeight="1">
      <c r="A991" s="23"/>
    </row>
    <row r="992" spans="1:1" ht="15.75" customHeight="1">
      <c r="A992" s="23"/>
    </row>
    <row r="993" spans="1:1" ht="15.75" customHeight="1">
      <c r="A993" s="23"/>
    </row>
    <row r="994" spans="1:1" ht="15.75" customHeight="1">
      <c r="A994" s="23"/>
    </row>
    <row r="995" spans="1:1" ht="15.75" customHeight="1">
      <c r="A995" s="23"/>
    </row>
    <row r="996" spans="1:1" ht="15.75" customHeight="1">
      <c r="A996" s="23"/>
    </row>
    <row r="997" spans="1:1" ht="15.75" customHeight="1">
      <c r="A997" s="23"/>
    </row>
    <row r="998" spans="1:1" ht="15.75" customHeight="1">
      <c r="A998" s="23"/>
    </row>
    <row r="999" spans="1:1" ht="15.75" customHeight="1">
      <c r="A999" s="23"/>
    </row>
    <row r="1000" spans="1:1" ht="15.75" customHeight="1">
      <c r="A1000" s="23"/>
    </row>
  </sheetData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AD1000"/>
  <sheetViews>
    <sheetView topLeftCell="F10" workbookViewId="0">
      <selection activeCell="P22" sqref="P22"/>
    </sheetView>
  </sheetViews>
  <sheetFormatPr baseColWidth="10" defaultColWidth="12.59765625" defaultRowHeight="15" customHeight="1"/>
  <cols>
    <col min="1" max="1" width="12.59765625" customWidth="1"/>
    <col min="2" max="2" width="14.09765625" customWidth="1"/>
    <col min="3" max="3" width="9.3984375" customWidth="1"/>
    <col min="4" max="4" width="11.69921875" customWidth="1"/>
    <col min="5" max="5" width="21.09765625" customWidth="1"/>
    <col min="6" max="6" width="19.5" customWidth="1"/>
    <col min="7" max="9" width="18.3984375" customWidth="1"/>
    <col min="10" max="10" width="14.69921875" customWidth="1"/>
    <col min="11" max="11" width="9.3984375" customWidth="1"/>
    <col min="12" max="12" width="13.09765625" customWidth="1"/>
    <col min="13" max="13" width="19.69921875" customWidth="1"/>
    <col min="14" max="14" width="14.09765625" customWidth="1"/>
    <col min="15" max="15" width="16.8984375" customWidth="1"/>
    <col min="16" max="30" width="9.3984375" customWidth="1"/>
  </cols>
  <sheetData>
    <row r="1" spans="1:30" ht="60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450</v>
      </c>
      <c r="F1" s="36" t="s">
        <v>451</v>
      </c>
      <c r="G1" s="2" t="s">
        <v>452</v>
      </c>
      <c r="H1" s="2" t="s">
        <v>453</v>
      </c>
      <c r="I1" s="2" t="s">
        <v>454</v>
      </c>
      <c r="J1" s="37"/>
      <c r="K1" s="4"/>
      <c r="L1" s="2" t="s">
        <v>7</v>
      </c>
      <c r="M1" s="2" t="s">
        <v>455</v>
      </c>
      <c r="N1" s="2" t="s">
        <v>456</v>
      </c>
      <c r="O1" s="5" t="s">
        <v>457</v>
      </c>
      <c r="P1" s="3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</row>
    <row r="2" spans="1:30" ht="14.4">
      <c r="A2" s="6">
        <v>10101</v>
      </c>
      <c r="B2" s="7" t="s">
        <v>11</v>
      </c>
      <c r="C2" s="7" t="s">
        <v>12</v>
      </c>
      <c r="D2" s="7" t="s">
        <v>13</v>
      </c>
      <c r="E2" s="8">
        <f t="shared" ref="E2:E256" si="0">(F2/G2)*1000</f>
        <v>7.1390953244777346</v>
      </c>
      <c r="F2" s="20">
        <v>122</v>
      </c>
      <c r="G2" s="17">
        <v>17089</v>
      </c>
      <c r="H2" s="17">
        <f t="shared" ref="H2:I2" si="1">F2/5</f>
        <v>24.4</v>
      </c>
      <c r="I2" s="17">
        <f t="shared" si="1"/>
        <v>3417.8</v>
      </c>
      <c r="J2" s="38"/>
      <c r="L2" s="7" t="s">
        <v>11</v>
      </c>
      <c r="M2" s="12">
        <f t="shared" ref="M2:N2" si="2">SUM(F2:F30)</f>
        <v>330</v>
      </c>
      <c r="N2" s="12">
        <f t="shared" si="2"/>
        <v>35806</v>
      </c>
      <c r="O2" s="39">
        <f t="shared" ref="O2:O11" si="3">(M2/N2)*1000</f>
        <v>9.216332458247221</v>
      </c>
      <c r="P2" s="14"/>
    </row>
    <row r="3" spans="1:30" ht="14.4">
      <c r="A3" s="6">
        <v>10102</v>
      </c>
      <c r="B3" s="7" t="s">
        <v>11</v>
      </c>
      <c r="C3" s="7" t="s">
        <v>12</v>
      </c>
      <c r="D3" s="7" t="s">
        <v>14</v>
      </c>
      <c r="E3" s="8">
        <f t="shared" si="0"/>
        <v>17.341040462427745</v>
      </c>
      <c r="F3" s="20">
        <v>9</v>
      </c>
      <c r="G3" s="17">
        <v>519</v>
      </c>
      <c r="H3" s="17">
        <f t="shared" ref="H3:I3" si="4">F3/5</f>
        <v>1.8</v>
      </c>
      <c r="I3" s="17">
        <f t="shared" si="4"/>
        <v>103.8</v>
      </c>
      <c r="J3" s="30"/>
      <c r="L3" s="7" t="s">
        <v>15</v>
      </c>
      <c r="M3" s="15">
        <f t="shared" ref="M3:N3" si="5">+SUM(F31:F117)</f>
        <v>2288</v>
      </c>
      <c r="N3" s="15">
        <f t="shared" si="5"/>
        <v>175213</v>
      </c>
      <c r="O3" s="39">
        <f t="shared" si="3"/>
        <v>13.058391785997616</v>
      </c>
      <c r="P3" s="14"/>
    </row>
    <row r="4" spans="1:30" ht="14.4">
      <c r="A4" s="6">
        <v>10103</v>
      </c>
      <c r="B4" s="7" t="s">
        <v>11</v>
      </c>
      <c r="C4" s="7" t="s">
        <v>12</v>
      </c>
      <c r="D4" s="7" t="s">
        <v>16</v>
      </c>
      <c r="E4" s="8">
        <f t="shared" si="0"/>
        <v>18.45444059976932</v>
      </c>
      <c r="F4" s="20">
        <v>16</v>
      </c>
      <c r="G4" s="17">
        <v>867</v>
      </c>
      <c r="H4" s="17">
        <f t="shared" ref="H4:I4" si="6">F4/5</f>
        <v>3.2</v>
      </c>
      <c r="I4" s="17">
        <f t="shared" si="6"/>
        <v>173.4</v>
      </c>
      <c r="J4" s="30"/>
      <c r="L4" s="7" t="s">
        <v>17</v>
      </c>
      <c r="M4" s="15">
        <f t="shared" ref="M4:N4" si="7">+SUM(F118:F165)</f>
        <v>1317</v>
      </c>
      <c r="N4" s="15">
        <f t="shared" si="7"/>
        <v>128674</v>
      </c>
      <c r="O4" s="39">
        <f t="shared" si="3"/>
        <v>10.235167943795949</v>
      </c>
      <c r="P4" s="14"/>
    </row>
    <row r="5" spans="1:30" ht="14.4">
      <c r="A5" s="6">
        <v>10201</v>
      </c>
      <c r="B5" s="7" t="s">
        <v>11</v>
      </c>
      <c r="C5" s="7" t="s">
        <v>18</v>
      </c>
      <c r="D5" s="7" t="s">
        <v>19</v>
      </c>
      <c r="E5" s="8">
        <f t="shared" si="0"/>
        <v>15.296367112810707</v>
      </c>
      <c r="F5" s="20">
        <v>8</v>
      </c>
      <c r="G5" s="17">
        <v>523</v>
      </c>
      <c r="H5" s="17">
        <f t="shared" ref="H5:I5" si="8">F5/5</f>
        <v>1.6</v>
      </c>
      <c r="I5" s="17">
        <f t="shared" si="8"/>
        <v>104.6</v>
      </c>
      <c r="J5" s="30"/>
      <c r="L5" s="7" t="s">
        <v>20</v>
      </c>
      <c r="M5" s="15">
        <f t="shared" ref="M5:N5" si="9">+SUM(F166:F200)</f>
        <v>455</v>
      </c>
      <c r="N5" s="15">
        <f t="shared" si="9"/>
        <v>35024</v>
      </c>
      <c r="O5" s="39">
        <f t="shared" si="3"/>
        <v>12.991091822750114</v>
      </c>
      <c r="P5" s="14"/>
    </row>
    <row r="6" spans="1:30" ht="14.4">
      <c r="A6" s="6">
        <v>10202</v>
      </c>
      <c r="B6" s="7" t="s">
        <v>11</v>
      </c>
      <c r="C6" s="7" t="s">
        <v>18</v>
      </c>
      <c r="D6" s="7" t="s">
        <v>21</v>
      </c>
      <c r="E6" s="8">
        <f t="shared" si="0"/>
        <v>10.587102983638113</v>
      </c>
      <c r="F6" s="20">
        <v>11</v>
      </c>
      <c r="G6" s="17">
        <v>1039</v>
      </c>
      <c r="H6" s="17">
        <f t="shared" ref="H6:I6" si="10">F6/5</f>
        <v>2.2000000000000002</v>
      </c>
      <c r="I6" s="17">
        <f t="shared" si="10"/>
        <v>207.8</v>
      </c>
      <c r="J6" s="30"/>
      <c r="L6" s="7" t="s">
        <v>22</v>
      </c>
      <c r="M6" s="15">
        <f t="shared" ref="M6:N6" si="11">+SUM(F201:F242)</f>
        <v>979</v>
      </c>
      <c r="N6" s="15">
        <f t="shared" si="11"/>
        <v>57031</v>
      </c>
      <c r="O6" s="39">
        <f t="shared" si="3"/>
        <v>17.166102645929406</v>
      </c>
      <c r="P6" s="14"/>
    </row>
    <row r="7" spans="1:30" ht="14.4">
      <c r="A7" s="6">
        <v>10301</v>
      </c>
      <c r="B7" s="7" t="s">
        <v>11</v>
      </c>
      <c r="C7" s="7" t="s">
        <v>23</v>
      </c>
      <c r="D7" s="7" t="s">
        <v>24</v>
      </c>
      <c r="E7" s="8">
        <f t="shared" si="0"/>
        <v>3.7313432835820897</v>
      </c>
      <c r="F7" s="20">
        <v>3</v>
      </c>
      <c r="G7" s="17">
        <v>804</v>
      </c>
      <c r="H7" s="17">
        <f t="shared" ref="H7:I7" si="12">F7/5</f>
        <v>0.6</v>
      </c>
      <c r="I7" s="17">
        <f t="shared" si="12"/>
        <v>160.80000000000001</v>
      </c>
      <c r="J7" s="30"/>
      <c r="L7" s="7" t="s">
        <v>25</v>
      </c>
      <c r="M7" s="15">
        <f t="shared" ref="M7:N7" si="13">+SUM(F243:F253)</f>
        <v>201</v>
      </c>
      <c r="N7" s="15">
        <f t="shared" si="13"/>
        <v>31547</v>
      </c>
      <c r="O7" s="39">
        <f t="shared" si="3"/>
        <v>6.3714457793134054</v>
      </c>
      <c r="P7" s="14"/>
    </row>
    <row r="8" spans="1:30" ht="14.4">
      <c r="A8" s="6">
        <v>10302</v>
      </c>
      <c r="B8" s="7" t="s">
        <v>11</v>
      </c>
      <c r="C8" s="7" t="s">
        <v>23</v>
      </c>
      <c r="D8" s="7" t="s">
        <v>26</v>
      </c>
      <c r="E8" s="8">
        <f t="shared" si="0"/>
        <v>10.269576379974325</v>
      </c>
      <c r="F8" s="20">
        <v>8</v>
      </c>
      <c r="G8" s="17">
        <v>779</v>
      </c>
      <c r="H8" s="17">
        <f t="shared" ref="H8:I8" si="14">F8/5</f>
        <v>1.6</v>
      </c>
      <c r="I8" s="17">
        <f t="shared" si="14"/>
        <v>155.80000000000001</v>
      </c>
      <c r="J8" s="30"/>
      <c r="L8" s="7" t="s">
        <v>27</v>
      </c>
      <c r="M8" s="15">
        <f t="shared" ref="M8:N8" si="15">+SUM(F254:F309)</f>
        <v>1631</v>
      </c>
      <c r="N8" s="15">
        <f t="shared" si="15"/>
        <v>210592</v>
      </c>
      <c r="O8" s="39">
        <f t="shared" si="3"/>
        <v>7.7448336119130827</v>
      </c>
      <c r="P8" s="14"/>
    </row>
    <row r="9" spans="1:30" ht="14.4">
      <c r="A9" s="6">
        <v>10303</v>
      </c>
      <c r="B9" s="7" t="s">
        <v>11</v>
      </c>
      <c r="C9" s="7" t="s">
        <v>23</v>
      </c>
      <c r="D9" s="7" t="s">
        <v>28</v>
      </c>
      <c r="E9" s="8">
        <f t="shared" si="0"/>
        <v>9.1407678244972583</v>
      </c>
      <c r="F9" s="20">
        <v>5</v>
      </c>
      <c r="G9" s="17">
        <v>547</v>
      </c>
      <c r="H9" s="17">
        <f t="shared" ref="H9:I9" si="16">F9/5</f>
        <v>1</v>
      </c>
      <c r="I9" s="17">
        <f t="shared" si="16"/>
        <v>109.4</v>
      </c>
      <c r="J9" s="30"/>
      <c r="L9" s="7" t="s">
        <v>29</v>
      </c>
      <c r="M9" s="15">
        <f t="shared" ref="M9:N9" si="17">+SUM(F310:F329)</f>
        <v>336</v>
      </c>
      <c r="N9" s="15">
        <f t="shared" si="17"/>
        <v>36199</v>
      </c>
      <c r="O9" s="39">
        <f t="shared" si="3"/>
        <v>9.2820243653139602</v>
      </c>
      <c r="P9" s="14"/>
    </row>
    <row r="10" spans="1:30" ht="14.4">
      <c r="A10" s="6">
        <v>10304</v>
      </c>
      <c r="B10" s="7" t="s">
        <v>11</v>
      </c>
      <c r="C10" s="7" t="s">
        <v>23</v>
      </c>
      <c r="D10" s="7" t="s">
        <v>30</v>
      </c>
      <c r="E10" s="8">
        <f t="shared" si="0"/>
        <v>9.6339113680154131</v>
      </c>
      <c r="F10" s="20">
        <v>5</v>
      </c>
      <c r="G10" s="17">
        <v>519</v>
      </c>
      <c r="H10" s="17">
        <f t="shared" ref="H10:I10" si="18">F10/5</f>
        <v>1</v>
      </c>
      <c r="I10" s="17">
        <f t="shared" si="18"/>
        <v>103.8</v>
      </c>
      <c r="J10" s="30"/>
      <c r="L10" s="7" t="s">
        <v>31</v>
      </c>
      <c r="M10" s="15">
        <f t="shared" ref="M10:N10" si="19">+SUM(F330:F344)</f>
        <v>71</v>
      </c>
      <c r="N10" s="15">
        <f t="shared" si="19"/>
        <v>9512</v>
      </c>
      <c r="O10" s="39">
        <f t="shared" si="3"/>
        <v>7.464255677039529</v>
      </c>
      <c r="P10" s="14"/>
    </row>
    <row r="11" spans="1:30" ht="14.4">
      <c r="A11" s="6">
        <v>10401</v>
      </c>
      <c r="B11" s="7" t="s">
        <v>11</v>
      </c>
      <c r="C11" s="7" t="s">
        <v>32</v>
      </c>
      <c r="D11" s="7" t="s">
        <v>33</v>
      </c>
      <c r="E11" s="8">
        <f t="shared" si="0"/>
        <v>5.1369863013698627</v>
      </c>
      <c r="F11" s="20">
        <v>3</v>
      </c>
      <c r="G11" s="17">
        <v>584</v>
      </c>
      <c r="H11" s="17">
        <f t="shared" ref="H11:I11" si="20">F11/5</f>
        <v>0.6</v>
      </c>
      <c r="I11" s="17">
        <f t="shared" si="20"/>
        <v>116.8</v>
      </c>
      <c r="J11" s="30"/>
      <c r="L11" s="7" t="s">
        <v>34</v>
      </c>
      <c r="M11" s="16">
        <f t="shared" ref="M11:N11" si="21">SUM(M2:M10)</f>
        <v>7608</v>
      </c>
      <c r="N11" s="17">
        <f t="shared" si="21"/>
        <v>719598</v>
      </c>
      <c r="O11" s="39">
        <f t="shared" si="3"/>
        <v>10.572569684740646</v>
      </c>
      <c r="P11" s="14"/>
    </row>
    <row r="12" spans="1:30" ht="14.4">
      <c r="A12" s="6">
        <v>10402</v>
      </c>
      <c r="B12" s="7" t="s">
        <v>11</v>
      </c>
      <c r="C12" s="7" t="s">
        <v>32</v>
      </c>
      <c r="D12" s="7" t="s">
        <v>32</v>
      </c>
      <c r="E12" s="8">
        <f t="shared" si="0"/>
        <v>5.5045871559633035</v>
      </c>
      <c r="F12" s="20">
        <v>3</v>
      </c>
      <c r="G12" s="17">
        <v>545</v>
      </c>
      <c r="H12" s="17">
        <f t="shared" ref="H12:I12" si="22">F12/5</f>
        <v>0.6</v>
      </c>
      <c r="I12" s="17">
        <f t="shared" si="22"/>
        <v>109</v>
      </c>
      <c r="J12" s="30"/>
    </row>
    <row r="13" spans="1:30" ht="14.4">
      <c r="A13" s="6">
        <v>10403</v>
      </c>
      <c r="B13" s="7" t="s">
        <v>11</v>
      </c>
      <c r="C13" s="7" t="s">
        <v>32</v>
      </c>
      <c r="D13" s="7" t="s">
        <v>35</v>
      </c>
      <c r="E13" s="8">
        <f t="shared" si="0"/>
        <v>2.3364485981308412</v>
      </c>
      <c r="F13" s="20">
        <v>1</v>
      </c>
      <c r="G13" s="17">
        <v>428</v>
      </c>
      <c r="H13" s="17">
        <f t="shared" ref="H13:I13" si="23">F13/5</f>
        <v>0.2</v>
      </c>
      <c r="I13" s="17">
        <f t="shared" si="23"/>
        <v>85.6</v>
      </c>
      <c r="J13" s="30"/>
    </row>
    <row r="14" spans="1:30" ht="14.4">
      <c r="A14" s="6">
        <v>10404</v>
      </c>
      <c r="B14" s="7" t="s">
        <v>11</v>
      </c>
      <c r="C14" s="7" t="s">
        <v>32</v>
      </c>
      <c r="D14" s="7" t="s">
        <v>36</v>
      </c>
      <c r="E14" s="8">
        <f t="shared" si="0"/>
        <v>4.9019607843137258</v>
      </c>
      <c r="F14" s="20">
        <v>1</v>
      </c>
      <c r="G14" s="17">
        <v>204</v>
      </c>
      <c r="H14" s="17">
        <f t="shared" ref="H14:I14" si="24">F14/5</f>
        <v>0.2</v>
      </c>
      <c r="I14" s="17">
        <f t="shared" si="24"/>
        <v>40.799999999999997</v>
      </c>
      <c r="J14" s="30"/>
    </row>
    <row r="15" spans="1:30" ht="14.4">
      <c r="A15" s="6">
        <v>10405</v>
      </c>
      <c r="B15" s="7" t="s">
        <v>11</v>
      </c>
      <c r="C15" s="7" t="s">
        <v>32</v>
      </c>
      <c r="D15" s="7" t="s">
        <v>37</v>
      </c>
      <c r="E15" s="8">
        <f t="shared" si="0"/>
        <v>11.834319526627219</v>
      </c>
      <c r="F15" s="20">
        <v>4</v>
      </c>
      <c r="G15" s="17">
        <v>338</v>
      </c>
      <c r="H15" s="17">
        <f t="shared" ref="H15:I15" si="25">F15/5</f>
        <v>0.8</v>
      </c>
      <c r="I15" s="17">
        <f t="shared" si="25"/>
        <v>67.599999999999994</v>
      </c>
      <c r="J15" s="30"/>
    </row>
    <row r="16" spans="1:30" ht="115.2">
      <c r="A16" s="6">
        <v>10501</v>
      </c>
      <c r="B16" s="7" t="s">
        <v>11</v>
      </c>
      <c r="C16" s="7" t="s">
        <v>38</v>
      </c>
      <c r="D16" s="7" t="s">
        <v>39</v>
      </c>
      <c r="E16" s="8">
        <f t="shared" si="0"/>
        <v>6.4102564102564097</v>
      </c>
      <c r="F16" s="20">
        <v>9</v>
      </c>
      <c r="G16" s="17">
        <v>1404</v>
      </c>
      <c r="H16" s="17">
        <f t="shared" ref="H16:I16" si="26">F16/5</f>
        <v>1.8</v>
      </c>
      <c r="I16" s="17">
        <f t="shared" si="26"/>
        <v>280.8</v>
      </c>
      <c r="J16" s="30"/>
      <c r="L16" s="5" t="s">
        <v>465</v>
      </c>
      <c r="M16" s="60" t="s">
        <v>7</v>
      </c>
      <c r="N16" s="60" t="s">
        <v>466</v>
      </c>
      <c r="O16" s="60" t="s">
        <v>467</v>
      </c>
      <c r="P16" s="60" t="s">
        <v>468</v>
      </c>
      <c r="Q16" s="60" t="s">
        <v>469</v>
      </c>
      <c r="R16" s="63" t="s">
        <v>488</v>
      </c>
      <c r="S16" s="63" t="s">
        <v>489</v>
      </c>
      <c r="T16" s="63" t="s">
        <v>482</v>
      </c>
      <c r="U16" s="63" t="s">
        <v>483</v>
      </c>
    </row>
    <row r="17" spans="1:21" ht="14.4">
      <c r="A17" s="6">
        <v>10502</v>
      </c>
      <c r="B17" s="7" t="s">
        <v>11</v>
      </c>
      <c r="C17" s="7" t="s">
        <v>38</v>
      </c>
      <c r="D17" s="7" t="s">
        <v>40</v>
      </c>
      <c r="E17" s="8">
        <f t="shared" si="0"/>
        <v>8.5287846481876333</v>
      </c>
      <c r="F17" s="20">
        <v>4</v>
      </c>
      <c r="G17" s="17">
        <v>469</v>
      </c>
      <c r="H17" s="17">
        <f t="shared" ref="H17:I17" si="27">F17/5</f>
        <v>0.8</v>
      </c>
      <c r="I17" s="17">
        <f t="shared" si="27"/>
        <v>93.8</v>
      </c>
      <c r="J17" s="30"/>
      <c r="L17" s="59">
        <v>1</v>
      </c>
      <c r="M17" s="61" t="s">
        <v>11</v>
      </c>
      <c r="N17" s="61">
        <v>22</v>
      </c>
      <c r="O17" s="61">
        <v>8</v>
      </c>
      <c r="P17" s="62">
        <f>'Indicador_DEP '!C2-N17</f>
        <v>0</v>
      </c>
      <c r="Q17" s="62">
        <f>'Indicador_DEP '!D2-O17</f>
        <v>0</v>
      </c>
      <c r="R17" s="64">
        <v>1536</v>
      </c>
      <c r="S17" s="64">
        <v>964</v>
      </c>
      <c r="T17" s="65">
        <v>571</v>
      </c>
      <c r="U17" s="65">
        <v>370</v>
      </c>
    </row>
    <row r="18" spans="1:21" ht="14.4">
      <c r="A18" s="6">
        <v>10601</v>
      </c>
      <c r="B18" s="7" t="s">
        <v>11</v>
      </c>
      <c r="C18" s="7" t="s">
        <v>41</v>
      </c>
      <c r="D18" s="7" t="s">
        <v>42</v>
      </c>
      <c r="E18" s="8">
        <f t="shared" si="0"/>
        <v>18.232819074333801</v>
      </c>
      <c r="F18" s="20">
        <v>13</v>
      </c>
      <c r="G18" s="17">
        <v>713</v>
      </c>
      <c r="H18" s="17">
        <f t="shared" ref="H18:I18" si="28">F18/5</f>
        <v>2.6</v>
      </c>
      <c r="I18" s="17">
        <f t="shared" si="28"/>
        <v>142.6</v>
      </c>
      <c r="J18" s="30"/>
      <c r="L18" s="59">
        <v>2</v>
      </c>
      <c r="M18" s="61" t="s">
        <v>15</v>
      </c>
      <c r="N18" s="61">
        <v>59</v>
      </c>
      <c r="O18" s="61">
        <v>15</v>
      </c>
      <c r="P18" s="62">
        <f>'Indicador_DEP '!C3-N18</f>
        <v>0</v>
      </c>
      <c r="Q18" s="62">
        <f>'Indicador_DEP '!D3-O18</f>
        <v>2</v>
      </c>
      <c r="R18" s="64">
        <v>3325</v>
      </c>
      <c r="S18" s="64">
        <v>5129</v>
      </c>
      <c r="T18" s="65">
        <v>1226</v>
      </c>
      <c r="U18" s="65">
        <v>1738</v>
      </c>
    </row>
    <row r="19" spans="1:21" ht="14.4">
      <c r="A19" s="6">
        <v>10602</v>
      </c>
      <c r="B19" s="7" t="s">
        <v>11</v>
      </c>
      <c r="C19" s="7" t="s">
        <v>41</v>
      </c>
      <c r="D19" s="7" t="s">
        <v>41</v>
      </c>
      <c r="E19" s="8">
        <f t="shared" si="0"/>
        <v>6.5217391304347823</v>
      </c>
      <c r="F19" s="20">
        <v>3</v>
      </c>
      <c r="G19" s="17">
        <v>460</v>
      </c>
      <c r="H19" s="17">
        <f t="shared" ref="H19:I19" si="29">F19/5</f>
        <v>0.6</v>
      </c>
      <c r="I19" s="17">
        <f t="shared" si="29"/>
        <v>92</v>
      </c>
      <c r="J19" s="30"/>
      <c r="L19" s="59">
        <v>3</v>
      </c>
      <c r="M19" s="61" t="s">
        <v>17</v>
      </c>
      <c r="N19" s="61">
        <v>57</v>
      </c>
      <c r="O19" s="61">
        <v>6</v>
      </c>
      <c r="P19" s="62">
        <f>'Indicador_DEP '!C4-N19</f>
        <v>0</v>
      </c>
      <c r="Q19" s="62">
        <f>'Indicador_DEP '!D4-O19</f>
        <v>5</v>
      </c>
      <c r="R19" s="64">
        <v>2276</v>
      </c>
      <c r="S19" s="64">
        <v>3081</v>
      </c>
      <c r="T19" s="65">
        <v>974</v>
      </c>
      <c r="U19" s="65">
        <v>1257</v>
      </c>
    </row>
    <row r="20" spans="1:21" ht="14.4">
      <c r="A20" s="6">
        <v>10701</v>
      </c>
      <c r="B20" s="7" t="s">
        <v>11</v>
      </c>
      <c r="C20" s="7" t="s">
        <v>43</v>
      </c>
      <c r="D20" s="7" t="s">
        <v>44</v>
      </c>
      <c r="E20" s="8">
        <f t="shared" si="0"/>
        <v>13.414634146341463</v>
      </c>
      <c r="F20" s="20">
        <v>11</v>
      </c>
      <c r="G20" s="17">
        <v>820</v>
      </c>
      <c r="H20" s="17">
        <f t="shared" ref="H20:I20" si="30">F20/5</f>
        <v>2.2000000000000002</v>
      </c>
      <c r="I20" s="17">
        <f t="shared" si="30"/>
        <v>164</v>
      </c>
      <c r="J20" s="30"/>
      <c r="L20" s="59">
        <v>4</v>
      </c>
      <c r="M20" s="61" t="s">
        <v>20</v>
      </c>
      <c r="N20" s="61">
        <v>51</v>
      </c>
      <c r="O20" s="61">
        <v>29</v>
      </c>
      <c r="P20" s="62">
        <f>'Indicador_DEP '!C5-N20</f>
        <v>0</v>
      </c>
      <c r="Q20" s="62">
        <f>'Indicador_DEP '!D5-O20</f>
        <v>2</v>
      </c>
      <c r="R20" s="64">
        <v>1565</v>
      </c>
      <c r="S20" s="64">
        <v>937</v>
      </c>
      <c r="T20" s="65">
        <v>628</v>
      </c>
      <c r="U20" s="65">
        <v>291</v>
      </c>
    </row>
    <row r="21" spans="1:21" ht="15.75" customHeight="1">
      <c r="A21" s="6">
        <v>10702</v>
      </c>
      <c r="B21" s="7" t="s">
        <v>11</v>
      </c>
      <c r="C21" s="7" t="s">
        <v>43</v>
      </c>
      <c r="D21" s="7" t="s">
        <v>45</v>
      </c>
      <c r="E21" s="8">
        <f t="shared" si="0"/>
        <v>15.960374243258117</v>
      </c>
      <c r="F21" s="20">
        <v>29</v>
      </c>
      <c r="G21" s="17">
        <v>1817</v>
      </c>
      <c r="H21" s="17">
        <f t="shared" ref="H21:I21" si="31">F21/5</f>
        <v>5.8</v>
      </c>
      <c r="I21" s="17">
        <f t="shared" si="31"/>
        <v>363.4</v>
      </c>
      <c r="J21" s="30"/>
      <c r="L21" s="59">
        <v>5</v>
      </c>
      <c r="M21" s="61" t="s">
        <v>263</v>
      </c>
      <c r="N21" s="61">
        <v>91</v>
      </c>
      <c r="O21" s="61">
        <v>21</v>
      </c>
      <c r="P21" s="62">
        <f>'Indicador_DEP '!C6-N21</f>
        <v>0</v>
      </c>
      <c r="Q21" s="62">
        <f>'Indicador_DEP '!D6-O21</f>
        <v>21</v>
      </c>
      <c r="R21" s="64">
        <v>1779</v>
      </c>
      <c r="S21" s="64">
        <v>1634</v>
      </c>
      <c r="T21" s="65">
        <v>727</v>
      </c>
      <c r="U21" s="65">
        <v>509</v>
      </c>
    </row>
    <row r="22" spans="1:21" ht="15.75" customHeight="1">
      <c r="A22" s="6">
        <v>10703</v>
      </c>
      <c r="B22" s="7" t="s">
        <v>11</v>
      </c>
      <c r="C22" s="7" t="s">
        <v>43</v>
      </c>
      <c r="D22" s="7" t="s">
        <v>46</v>
      </c>
      <c r="E22" s="8">
        <f t="shared" si="0"/>
        <v>15.355086372360844</v>
      </c>
      <c r="F22" s="20">
        <v>16</v>
      </c>
      <c r="G22" s="17">
        <v>1042</v>
      </c>
      <c r="H22" s="17">
        <f t="shared" ref="H22:I22" si="32">F22/5</f>
        <v>3.2</v>
      </c>
      <c r="I22" s="17">
        <f t="shared" si="32"/>
        <v>208.4</v>
      </c>
      <c r="J22" s="30"/>
      <c r="L22" s="59">
        <v>6</v>
      </c>
      <c r="M22" s="61" t="s">
        <v>25</v>
      </c>
      <c r="N22" s="61">
        <v>33</v>
      </c>
      <c r="O22" s="61">
        <v>21</v>
      </c>
      <c r="P22" s="62">
        <f>'Indicador_DEP '!C7-N22</f>
        <v>0</v>
      </c>
      <c r="Q22" s="62">
        <f>'Indicador_DEP '!D7-O22</f>
        <v>4</v>
      </c>
      <c r="R22" s="64">
        <v>1717</v>
      </c>
      <c r="S22" s="64">
        <v>831</v>
      </c>
      <c r="T22" s="65">
        <v>527</v>
      </c>
      <c r="U22" s="65">
        <v>355</v>
      </c>
    </row>
    <row r="23" spans="1:21" ht="15.75" customHeight="1">
      <c r="A23" s="6">
        <v>10704</v>
      </c>
      <c r="B23" s="7" t="s">
        <v>11</v>
      </c>
      <c r="C23" s="7" t="s">
        <v>43</v>
      </c>
      <c r="D23" s="7" t="s">
        <v>47</v>
      </c>
      <c r="E23" s="8">
        <f t="shared" si="0"/>
        <v>8.8932806324110683</v>
      </c>
      <c r="F23" s="20">
        <v>9</v>
      </c>
      <c r="G23" s="17">
        <v>1012</v>
      </c>
      <c r="H23" s="17">
        <f t="shared" ref="H23:I23" si="33">F23/5</f>
        <v>1.8</v>
      </c>
      <c r="I23" s="17">
        <f t="shared" si="33"/>
        <v>202.4</v>
      </c>
      <c r="J23" s="30"/>
      <c r="L23" s="59">
        <v>7</v>
      </c>
      <c r="M23" s="61" t="s">
        <v>27</v>
      </c>
      <c r="N23" s="61">
        <v>21</v>
      </c>
      <c r="O23" s="61">
        <v>6</v>
      </c>
      <c r="P23" s="62">
        <f>'Indicador_DEP '!C8-N23</f>
        <v>0</v>
      </c>
      <c r="Q23" s="62">
        <f>'Indicador_DEP '!D8-O23</f>
        <v>2</v>
      </c>
      <c r="R23" s="64">
        <v>2933</v>
      </c>
      <c r="S23" s="64">
        <v>3717</v>
      </c>
      <c r="T23" s="65">
        <v>1112</v>
      </c>
      <c r="U23" s="65">
        <v>2087</v>
      </c>
    </row>
    <row r="24" spans="1:21" ht="15.75" customHeight="1">
      <c r="A24" s="6">
        <v>10801</v>
      </c>
      <c r="B24" s="7" t="s">
        <v>11</v>
      </c>
      <c r="C24" s="7" t="s">
        <v>48</v>
      </c>
      <c r="D24" s="7" t="s">
        <v>49</v>
      </c>
      <c r="E24" s="8">
        <f t="shared" si="0"/>
        <v>9.8231827111984273</v>
      </c>
      <c r="F24" s="20">
        <v>5</v>
      </c>
      <c r="G24" s="17">
        <v>509</v>
      </c>
      <c r="H24" s="17">
        <f t="shared" ref="H24:I24" si="34">F24/5</f>
        <v>1</v>
      </c>
      <c r="I24" s="17">
        <f t="shared" si="34"/>
        <v>101.8</v>
      </c>
      <c r="J24" s="30"/>
      <c r="L24" s="59">
        <v>8</v>
      </c>
      <c r="M24" s="61" t="s">
        <v>29</v>
      </c>
      <c r="N24" s="61">
        <v>34</v>
      </c>
      <c r="O24" s="61">
        <v>13</v>
      </c>
      <c r="P24" s="62">
        <f>'Indicador_DEP '!C9-N24</f>
        <v>0</v>
      </c>
      <c r="Q24" s="62">
        <f>'Indicador_DEP '!D9-O24</f>
        <v>11</v>
      </c>
      <c r="R24" s="64">
        <v>545</v>
      </c>
      <c r="S24" s="64">
        <v>1431</v>
      </c>
      <c r="T24" s="65">
        <v>639</v>
      </c>
      <c r="U24" s="65">
        <v>331</v>
      </c>
    </row>
    <row r="25" spans="1:21" ht="15.75" customHeight="1">
      <c r="A25" s="6">
        <v>10901</v>
      </c>
      <c r="B25" s="7" t="s">
        <v>11</v>
      </c>
      <c r="C25" s="7" t="s">
        <v>50</v>
      </c>
      <c r="D25" s="7" t="s">
        <v>51</v>
      </c>
      <c r="E25" s="8">
        <f t="shared" si="0"/>
        <v>3.3003300330033003</v>
      </c>
      <c r="F25" s="20">
        <v>1</v>
      </c>
      <c r="G25" s="17">
        <v>303</v>
      </c>
      <c r="H25" s="17">
        <f t="shared" ref="H25:I25" si="35">F25/5</f>
        <v>0.2</v>
      </c>
      <c r="I25" s="17">
        <f t="shared" si="35"/>
        <v>60.6</v>
      </c>
      <c r="J25" s="30"/>
      <c r="L25" s="59">
        <v>9</v>
      </c>
      <c r="M25" s="61" t="s">
        <v>31</v>
      </c>
      <c r="N25" s="61">
        <f>43</f>
        <v>43</v>
      </c>
      <c r="O25" s="61">
        <v>10</v>
      </c>
      <c r="P25" s="62">
        <f>'Indicador_DEP '!C10-N25</f>
        <v>0</v>
      </c>
      <c r="Q25" s="62">
        <f>'Indicador_DEP '!D10-O25</f>
        <v>0</v>
      </c>
      <c r="R25" s="64">
        <v>749</v>
      </c>
      <c r="S25" s="64">
        <v>99</v>
      </c>
      <c r="T25" s="65">
        <v>657</v>
      </c>
      <c r="U25" s="65">
        <v>106</v>
      </c>
    </row>
    <row r="26" spans="1:21" ht="15.75" customHeight="1">
      <c r="A26" s="6">
        <v>10902</v>
      </c>
      <c r="B26" s="7" t="s">
        <v>11</v>
      </c>
      <c r="C26" s="7" t="s">
        <v>50</v>
      </c>
      <c r="D26" s="7" t="s">
        <v>52</v>
      </c>
      <c r="E26" s="8">
        <f t="shared" si="0"/>
        <v>15.015015015015015</v>
      </c>
      <c r="F26" s="20">
        <v>15</v>
      </c>
      <c r="G26" s="17">
        <v>999</v>
      </c>
      <c r="H26" s="17">
        <f t="shared" ref="H26:I26" si="36">F26/5</f>
        <v>3</v>
      </c>
      <c r="I26" s="17">
        <f t="shared" si="36"/>
        <v>199.8</v>
      </c>
      <c r="J26" s="30"/>
      <c r="L26" s="59">
        <v>11</v>
      </c>
      <c r="M26" s="61" t="s">
        <v>34</v>
      </c>
      <c r="N26" s="61">
        <v>50</v>
      </c>
      <c r="O26" s="61">
        <v>12</v>
      </c>
      <c r="P26" s="62">
        <f>'Indicador_DEP '!C12-N26</f>
        <v>0</v>
      </c>
      <c r="Q26" s="62">
        <f>'Indicador_DEP '!D12-O26</f>
        <v>4</v>
      </c>
      <c r="R26" s="64">
        <v>16939</v>
      </c>
      <c r="S26" s="64">
        <v>16939</v>
      </c>
      <c r="T26" s="65">
        <v>7061</v>
      </c>
      <c r="U26" s="65">
        <v>7043</v>
      </c>
    </row>
    <row r="27" spans="1:21" ht="15.75" customHeight="1">
      <c r="A27" s="6">
        <v>10903</v>
      </c>
      <c r="B27" s="7" t="s">
        <v>11</v>
      </c>
      <c r="C27" s="7" t="s">
        <v>50</v>
      </c>
      <c r="D27" s="7" t="s">
        <v>53</v>
      </c>
      <c r="E27" s="8">
        <f t="shared" si="0"/>
        <v>4.166666666666667</v>
      </c>
      <c r="F27" s="20">
        <v>1</v>
      </c>
      <c r="G27" s="17">
        <v>240</v>
      </c>
      <c r="H27" s="17">
        <f t="shared" ref="H27:I27" si="37">F27/5</f>
        <v>0.2</v>
      </c>
      <c r="I27" s="17">
        <f t="shared" si="37"/>
        <v>48</v>
      </c>
      <c r="J27" s="30"/>
      <c r="L27" s="32" t="s">
        <v>470</v>
      </c>
      <c r="M27" s="61" t="s">
        <v>486</v>
      </c>
      <c r="N27" s="61">
        <v>36</v>
      </c>
      <c r="O27" s="61">
        <v>9</v>
      </c>
      <c r="P27" s="61"/>
      <c r="Q27" s="61" t="s">
        <v>484</v>
      </c>
      <c r="R27" s="64">
        <v>10905</v>
      </c>
      <c r="S27" s="64">
        <v>11183</v>
      </c>
      <c r="T27" s="65">
        <v>4821</v>
      </c>
      <c r="U27" s="65">
        <v>4905</v>
      </c>
    </row>
    <row r="28" spans="1:21" ht="15.75" customHeight="1">
      <c r="A28" s="6">
        <v>11001</v>
      </c>
      <c r="B28" s="7" t="s">
        <v>11</v>
      </c>
      <c r="C28" s="7" t="s">
        <v>54</v>
      </c>
      <c r="D28" s="7" t="s">
        <v>55</v>
      </c>
      <c r="E28" s="8">
        <f t="shared" si="0"/>
        <v>6.2992125984251963</v>
      </c>
      <c r="F28" s="20">
        <v>4</v>
      </c>
      <c r="G28" s="17">
        <v>635</v>
      </c>
      <c r="H28" s="17">
        <f t="shared" ref="H28:I28" si="38">F28/5</f>
        <v>0.8</v>
      </c>
      <c r="I28" s="17">
        <f t="shared" si="38"/>
        <v>127</v>
      </c>
      <c r="J28" s="30"/>
      <c r="L28" s="32"/>
      <c r="M28" s="61" t="s">
        <v>487</v>
      </c>
      <c r="N28" s="61">
        <v>67</v>
      </c>
      <c r="O28" s="61">
        <v>17</v>
      </c>
      <c r="P28" s="61"/>
      <c r="Q28" s="61" t="s">
        <v>485</v>
      </c>
      <c r="R28" s="64">
        <v>6034</v>
      </c>
      <c r="S28" s="64">
        <v>5756</v>
      </c>
      <c r="T28" s="65">
        <v>2240</v>
      </c>
      <c r="U28" s="65">
        <v>2137</v>
      </c>
    </row>
    <row r="29" spans="1:21" ht="15.75" customHeight="1">
      <c r="A29" s="6">
        <v>11002</v>
      </c>
      <c r="B29" s="7" t="s">
        <v>11</v>
      </c>
      <c r="C29" s="7" t="s">
        <v>54</v>
      </c>
      <c r="D29" s="7" t="s">
        <v>56</v>
      </c>
      <c r="E29" s="8">
        <f t="shared" si="0"/>
        <v>17.964071856287426</v>
      </c>
      <c r="F29" s="20">
        <v>3</v>
      </c>
      <c r="G29" s="17">
        <v>167</v>
      </c>
      <c r="H29" s="17">
        <f t="shared" ref="H29:I29" si="39">F29/5</f>
        <v>0.6</v>
      </c>
      <c r="I29" s="17">
        <f t="shared" si="39"/>
        <v>33.4</v>
      </c>
      <c r="J29" s="30"/>
    </row>
    <row r="30" spans="1:21" ht="15.75" customHeight="1">
      <c r="A30" s="6">
        <v>11003</v>
      </c>
      <c r="B30" s="7" t="s">
        <v>11</v>
      </c>
      <c r="C30" s="7" t="s">
        <v>54</v>
      </c>
      <c r="D30" s="7" t="s">
        <v>57</v>
      </c>
      <c r="E30" s="8">
        <f t="shared" si="0"/>
        <v>18.561484918793504</v>
      </c>
      <c r="F30" s="20">
        <v>8</v>
      </c>
      <c r="G30" s="17">
        <v>431</v>
      </c>
      <c r="H30" s="17">
        <f t="shared" ref="H30:I30" si="40">F30/5</f>
        <v>1.6</v>
      </c>
      <c r="I30" s="17">
        <f t="shared" si="40"/>
        <v>86.2</v>
      </c>
      <c r="J30" s="30"/>
    </row>
    <row r="31" spans="1:21" ht="15.75" customHeight="1">
      <c r="A31" s="6">
        <v>20101</v>
      </c>
      <c r="B31" s="7" t="s">
        <v>15</v>
      </c>
      <c r="C31" s="7" t="s">
        <v>58</v>
      </c>
      <c r="D31" s="7" t="s">
        <v>59</v>
      </c>
      <c r="E31" s="8">
        <f t="shared" si="0"/>
        <v>10.194624652455978</v>
      </c>
      <c r="F31" s="20">
        <v>352</v>
      </c>
      <c r="G31" s="17">
        <v>34528</v>
      </c>
      <c r="H31" s="17">
        <f t="shared" ref="H31:I31" si="41">F31/5</f>
        <v>70.400000000000006</v>
      </c>
      <c r="I31" s="17">
        <f t="shared" si="41"/>
        <v>6905.6</v>
      </c>
      <c r="J31" s="30"/>
    </row>
    <row r="32" spans="1:21" ht="15.75" customHeight="1">
      <c r="A32" s="6">
        <v>20102</v>
      </c>
      <c r="B32" s="7" t="s">
        <v>15</v>
      </c>
      <c r="C32" s="7" t="s">
        <v>58</v>
      </c>
      <c r="D32" s="7" t="s">
        <v>60</v>
      </c>
      <c r="E32" s="8">
        <f t="shared" si="0"/>
        <v>17.275747508305649</v>
      </c>
      <c r="F32" s="20">
        <v>26</v>
      </c>
      <c r="G32" s="17">
        <v>1505</v>
      </c>
      <c r="H32" s="17">
        <f t="shared" ref="H32:I32" si="42">F32/5</f>
        <v>5.2</v>
      </c>
      <c r="I32" s="17">
        <f t="shared" si="42"/>
        <v>301</v>
      </c>
      <c r="J32" s="30"/>
    </row>
    <row r="33" spans="1:10" ht="15.75" customHeight="1">
      <c r="A33" s="6">
        <v>20103</v>
      </c>
      <c r="B33" s="7" t="s">
        <v>15</v>
      </c>
      <c r="C33" s="7" t="s">
        <v>58</v>
      </c>
      <c r="D33" s="7" t="s">
        <v>61</v>
      </c>
      <c r="E33" s="8">
        <f t="shared" si="0"/>
        <v>12.100259291270527</v>
      </c>
      <c r="F33" s="20">
        <v>14</v>
      </c>
      <c r="G33" s="17">
        <v>1157</v>
      </c>
      <c r="H33" s="17">
        <f t="shared" ref="H33:I33" si="43">F33/5</f>
        <v>2.8</v>
      </c>
      <c r="I33" s="17">
        <f t="shared" si="43"/>
        <v>231.4</v>
      </c>
      <c r="J33" s="30"/>
    </row>
    <row r="34" spans="1:10" ht="15.75" customHeight="1">
      <c r="A34" s="6">
        <v>20104</v>
      </c>
      <c r="B34" s="7" t="s">
        <v>15</v>
      </c>
      <c r="C34" s="7" t="s">
        <v>58</v>
      </c>
      <c r="D34" s="7" t="s">
        <v>62</v>
      </c>
      <c r="E34" s="8">
        <f t="shared" si="0"/>
        <v>13.062908215881746</v>
      </c>
      <c r="F34" s="20">
        <v>38</v>
      </c>
      <c r="G34" s="17">
        <v>2909</v>
      </c>
      <c r="H34" s="17">
        <f t="shared" ref="H34:I34" si="44">F34/5</f>
        <v>7.6</v>
      </c>
      <c r="I34" s="17">
        <f t="shared" si="44"/>
        <v>581.79999999999995</v>
      </c>
      <c r="J34" s="30"/>
    </row>
    <row r="35" spans="1:10" ht="15.75" customHeight="1">
      <c r="A35" s="6">
        <v>20105</v>
      </c>
      <c r="B35" s="7" t="s">
        <v>15</v>
      </c>
      <c r="C35" s="7" t="s">
        <v>58</v>
      </c>
      <c r="D35" s="7" t="s">
        <v>63</v>
      </c>
      <c r="E35" s="8">
        <f t="shared" si="0"/>
        <v>13.186079994381432</v>
      </c>
      <c r="F35" s="20">
        <v>751</v>
      </c>
      <c r="G35" s="17">
        <v>56954</v>
      </c>
      <c r="H35" s="17">
        <f t="shared" ref="H35:I35" si="45">F35/5</f>
        <v>150.19999999999999</v>
      </c>
      <c r="I35" s="17">
        <f t="shared" si="45"/>
        <v>11390.8</v>
      </c>
      <c r="J35" s="30"/>
    </row>
    <row r="36" spans="1:10" ht="15.75" customHeight="1">
      <c r="A36" s="6">
        <v>20201</v>
      </c>
      <c r="B36" s="7" t="s">
        <v>15</v>
      </c>
      <c r="C36" s="7" t="s">
        <v>64</v>
      </c>
      <c r="D36" s="7" t="s">
        <v>65</v>
      </c>
      <c r="E36" s="8">
        <f t="shared" si="0"/>
        <v>16.406562625050022</v>
      </c>
      <c r="F36" s="20">
        <v>41</v>
      </c>
      <c r="G36" s="17">
        <v>2499</v>
      </c>
      <c r="H36" s="17">
        <f t="shared" ref="H36:I36" si="46">F36/5</f>
        <v>8.1999999999999993</v>
      </c>
      <c r="I36" s="17">
        <f t="shared" si="46"/>
        <v>499.8</v>
      </c>
      <c r="J36" s="30"/>
    </row>
    <row r="37" spans="1:10" ht="15.75" customHeight="1">
      <c r="A37" s="6">
        <v>20202</v>
      </c>
      <c r="B37" s="7" t="s">
        <v>15</v>
      </c>
      <c r="C37" s="7" t="s">
        <v>64</v>
      </c>
      <c r="D37" s="7" t="s">
        <v>66</v>
      </c>
      <c r="E37" s="8">
        <f t="shared" si="0"/>
        <v>13.398294762484774</v>
      </c>
      <c r="F37" s="20">
        <v>11</v>
      </c>
      <c r="G37" s="17">
        <v>821</v>
      </c>
      <c r="H37" s="17">
        <f t="shared" ref="H37:I37" si="47">F37/5</f>
        <v>2.2000000000000002</v>
      </c>
      <c r="I37" s="17">
        <f t="shared" si="47"/>
        <v>164.2</v>
      </c>
      <c r="J37" s="30"/>
    </row>
    <row r="38" spans="1:10" ht="15.75" customHeight="1">
      <c r="A38" s="6">
        <v>20203</v>
      </c>
      <c r="B38" s="7" t="s">
        <v>15</v>
      </c>
      <c r="C38" s="7" t="s">
        <v>64</v>
      </c>
      <c r="D38" s="7" t="s">
        <v>67</v>
      </c>
      <c r="E38" s="8">
        <f t="shared" si="0"/>
        <v>18.018018018018019</v>
      </c>
      <c r="F38" s="20">
        <v>6</v>
      </c>
      <c r="G38" s="17">
        <v>333</v>
      </c>
      <c r="H38" s="17">
        <f t="shared" ref="H38:I38" si="48">F38/5</f>
        <v>1.2</v>
      </c>
      <c r="I38" s="17">
        <f t="shared" si="48"/>
        <v>66.599999999999994</v>
      </c>
      <c r="J38" s="30"/>
    </row>
    <row r="39" spans="1:10" ht="15.75" customHeight="1">
      <c r="A39" s="6">
        <v>20204</v>
      </c>
      <c r="B39" s="7" t="s">
        <v>15</v>
      </c>
      <c r="C39" s="7" t="s">
        <v>64</v>
      </c>
      <c r="D39" s="7" t="s">
        <v>68</v>
      </c>
      <c r="E39" s="8">
        <f t="shared" si="0"/>
        <v>14.354066985645934</v>
      </c>
      <c r="F39" s="20">
        <v>6</v>
      </c>
      <c r="G39" s="17">
        <v>418</v>
      </c>
      <c r="H39" s="17">
        <f t="shared" ref="H39:I39" si="49">F39/5</f>
        <v>1.2</v>
      </c>
      <c r="I39" s="17">
        <f t="shared" si="49"/>
        <v>83.6</v>
      </c>
      <c r="J39" s="30"/>
    </row>
    <row r="40" spans="1:10" ht="15.75" customHeight="1">
      <c r="A40" s="6">
        <v>20205</v>
      </c>
      <c r="B40" s="7" t="s">
        <v>15</v>
      </c>
      <c r="C40" s="7" t="s">
        <v>64</v>
      </c>
      <c r="D40" s="7" t="s">
        <v>69</v>
      </c>
      <c r="E40" s="8">
        <f t="shared" si="0"/>
        <v>7.2463768115942031</v>
      </c>
      <c r="F40" s="20">
        <v>3</v>
      </c>
      <c r="G40" s="17">
        <v>414</v>
      </c>
      <c r="H40" s="17">
        <f t="shared" ref="H40:I40" si="50">F40/5</f>
        <v>0.6</v>
      </c>
      <c r="I40" s="17">
        <f t="shared" si="50"/>
        <v>82.8</v>
      </c>
      <c r="J40" s="30"/>
    </row>
    <row r="41" spans="1:10" ht="15.75" customHeight="1">
      <c r="A41" s="6">
        <v>20206</v>
      </c>
      <c r="B41" s="7" t="s">
        <v>15</v>
      </c>
      <c r="C41" s="7" t="s">
        <v>64</v>
      </c>
      <c r="D41" s="7" t="s">
        <v>70</v>
      </c>
      <c r="E41" s="8">
        <f t="shared" si="0"/>
        <v>37.234042553191486</v>
      </c>
      <c r="F41" s="20">
        <v>7</v>
      </c>
      <c r="G41" s="17">
        <v>188</v>
      </c>
      <c r="H41" s="17">
        <f t="shared" ref="H41:I41" si="51">F41/5</f>
        <v>1.4</v>
      </c>
      <c r="I41" s="17">
        <f t="shared" si="51"/>
        <v>37.6</v>
      </c>
      <c r="J41" s="30"/>
    </row>
    <row r="42" spans="1:10" ht="15.75" customHeight="1">
      <c r="A42" s="6">
        <v>20301</v>
      </c>
      <c r="B42" s="7" t="s">
        <v>15</v>
      </c>
      <c r="C42" s="7" t="s">
        <v>71</v>
      </c>
      <c r="D42" s="7" t="s">
        <v>72</v>
      </c>
      <c r="E42" s="8">
        <f t="shared" si="0"/>
        <v>22.900763358778626</v>
      </c>
      <c r="F42" s="20">
        <v>15</v>
      </c>
      <c r="G42" s="17">
        <v>655</v>
      </c>
      <c r="H42" s="17">
        <f t="shared" ref="H42:I42" si="52">F42/5</f>
        <v>3</v>
      </c>
      <c r="I42" s="17">
        <f t="shared" si="52"/>
        <v>131</v>
      </c>
      <c r="J42" s="30"/>
    </row>
    <row r="43" spans="1:10" ht="15.75" customHeight="1">
      <c r="A43" s="6">
        <v>20302</v>
      </c>
      <c r="B43" s="7" t="s">
        <v>15</v>
      </c>
      <c r="C43" s="7" t="s">
        <v>71</v>
      </c>
      <c r="D43" s="7" t="s">
        <v>73</v>
      </c>
      <c r="E43" s="8">
        <f t="shared" si="0"/>
        <v>14.824797843665769</v>
      </c>
      <c r="F43" s="20">
        <v>11</v>
      </c>
      <c r="G43" s="17">
        <v>742</v>
      </c>
      <c r="H43" s="17">
        <f t="shared" ref="H43:I43" si="53">F43/5</f>
        <v>2.2000000000000002</v>
      </c>
      <c r="I43" s="17">
        <f t="shared" si="53"/>
        <v>148.4</v>
      </c>
      <c r="J43" s="30"/>
    </row>
    <row r="44" spans="1:10" ht="15.75" customHeight="1">
      <c r="A44" s="6">
        <v>20303</v>
      </c>
      <c r="B44" s="7" t="s">
        <v>15</v>
      </c>
      <c r="C44" s="7" t="s">
        <v>71</v>
      </c>
      <c r="D44" s="7" t="s">
        <v>74</v>
      </c>
      <c r="E44" s="8">
        <f t="shared" si="0"/>
        <v>19.298245614035089</v>
      </c>
      <c r="F44" s="20">
        <v>11</v>
      </c>
      <c r="G44" s="17">
        <v>570</v>
      </c>
      <c r="H44" s="17">
        <f t="shared" ref="H44:I44" si="54">F44/5</f>
        <v>2.2000000000000002</v>
      </c>
      <c r="I44" s="17">
        <f t="shared" si="54"/>
        <v>114</v>
      </c>
      <c r="J44" s="30"/>
    </row>
    <row r="45" spans="1:10" ht="15.75" customHeight="1">
      <c r="A45" s="6">
        <v>20304</v>
      </c>
      <c r="B45" s="7" t="s">
        <v>15</v>
      </c>
      <c r="C45" s="7" t="s">
        <v>71</v>
      </c>
      <c r="D45" s="7" t="s">
        <v>75</v>
      </c>
      <c r="E45" s="8">
        <f t="shared" si="0"/>
        <v>12.903225806451612</v>
      </c>
      <c r="F45" s="20">
        <v>4</v>
      </c>
      <c r="G45" s="17">
        <v>310</v>
      </c>
      <c r="H45" s="17">
        <f t="shared" ref="H45:I45" si="55">F45/5</f>
        <v>0.8</v>
      </c>
      <c r="I45" s="17">
        <f t="shared" si="55"/>
        <v>62</v>
      </c>
      <c r="J45" s="30"/>
    </row>
    <row r="46" spans="1:10" ht="15.75" customHeight="1">
      <c r="A46" s="6">
        <v>20305</v>
      </c>
      <c r="B46" s="7" t="s">
        <v>15</v>
      </c>
      <c r="C46" s="7" t="s">
        <v>71</v>
      </c>
      <c r="D46" s="7" t="s">
        <v>76</v>
      </c>
      <c r="E46" s="8">
        <f t="shared" si="0"/>
        <v>25.751072961373392</v>
      </c>
      <c r="F46" s="20">
        <v>6</v>
      </c>
      <c r="G46" s="17">
        <v>233</v>
      </c>
      <c r="H46" s="17">
        <f t="shared" ref="H46:I46" si="56">F46/5</f>
        <v>1.2</v>
      </c>
      <c r="I46" s="17">
        <f t="shared" si="56"/>
        <v>46.6</v>
      </c>
      <c r="J46" s="30"/>
    </row>
    <row r="47" spans="1:10" ht="15.75" customHeight="1">
      <c r="A47" s="6">
        <v>20306</v>
      </c>
      <c r="B47" s="7" t="s">
        <v>15</v>
      </c>
      <c r="C47" s="7" t="s">
        <v>71</v>
      </c>
      <c r="D47" s="7" t="s">
        <v>77</v>
      </c>
      <c r="E47" s="8">
        <f t="shared" si="0"/>
        <v>31.818181818181817</v>
      </c>
      <c r="F47" s="20">
        <v>7</v>
      </c>
      <c r="G47" s="17">
        <v>220</v>
      </c>
      <c r="H47" s="17">
        <f t="shared" ref="H47:I47" si="57">F47/5</f>
        <v>1.4</v>
      </c>
      <c r="I47" s="17">
        <f t="shared" si="57"/>
        <v>44</v>
      </c>
      <c r="J47" s="30"/>
    </row>
    <row r="48" spans="1:10" ht="15.75" customHeight="1">
      <c r="A48" s="6">
        <v>20307</v>
      </c>
      <c r="B48" s="7" t="s">
        <v>15</v>
      </c>
      <c r="C48" s="7" t="s">
        <v>71</v>
      </c>
      <c r="D48" s="7" t="s">
        <v>78</v>
      </c>
      <c r="E48" s="8">
        <f t="shared" si="0"/>
        <v>4.4642857142857144</v>
      </c>
      <c r="F48" s="20">
        <v>1</v>
      </c>
      <c r="G48" s="17">
        <v>224</v>
      </c>
      <c r="H48" s="17">
        <f t="shared" ref="H48:I48" si="58">F48/5</f>
        <v>0.2</v>
      </c>
      <c r="I48" s="17">
        <f t="shared" si="58"/>
        <v>44.8</v>
      </c>
      <c r="J48" s="30"/>
    </row>
    <row r="49" spans="1:10" ht="15.75" customHeight="1">
      <c r="A49" s="6">
        <v>20308</v>
      </c>
      <c r="B49" s="7" t="s">
        <v>15</v>
      </c>
      <c r="C49" s="7" t="s">
        <v>71</v>
      </c>
      <c r="D49" s="7" t="s">
        <v>79</v>
      </c>
      <c r="E49" s="8">
        <f t="shared" si="0"/>
        <v>8.5714285714285712</v>
      </c>
      <c r="F49" s="20">
        <v>3</v>
      </c>
      <c r="G49" s="17">
        <v>350</v>
      </c>
      <c r="H49" s="17">
        <f t="shared" ref="H49:I49" si="59">F49/5</f>
        <v>0.6</v>
      </c>
      <c r="I49" s="17">
        <f t="shared" si="59"/>
        <v>70</v>
      </c>
      <c r="J49" s="30"/>
    </row>
    <row r="50" spans="1:10" ht="15.75" customHeight="1">
      <c r="A50" s="6">
        <v>20401</v>
      </c>
      <c r="B50" s="7" t="s">
        <v>15</v>
      </c>
      <c r="C50" s="7" t="s">
        <v>80</v>
      </c>
      <c r="D50" s="7" t="s">
        <v>81</v>
      </c>
      <c r="E50" s="8">
        <f t="shared" si="0"/>
        <v>12.820512820512819</v>
      </c>
      <c r="F50" s="20">
        <v>8</v>
      </c>
      <c r="G50" s="17">
        <v>624</v>
      </c>
      <c r="H50" s="17">
        <f t="shared" ref="H50:I50" si="60">F50/5</f>
        <v>1.6</v>
      </c>
      <c r="I50" s="17">
        <f t="shared" si="60"/>
        <v>124.8</v>
      </c>
      <c r="J50" s="30"/>
    </row>
    <row r="51" spans="1:10" ht="15.75" customHeight="1">
      <c r="A51" s="6">
        <v>20402</v>
      </c>
      <c r="B51" s="7" t="s">
        <v>15</v>
      </c>
      <c r="C51" s="7" t="s">
        <v>80</v>
      </c>
      <c r="D51" s="7" t="s">
        <v>82</v>
      </c>
      <c r="E51" s="8">
        <f t="shared" si="0"/>
        <v>14.012738853503185</v>
      </c>
      <c r="F51" s="20">
        <v>11</v>
      </c>
      <c r="G51" s="17">
        <v>785</v>
      </c>
      <c r="H51" s="17">
        <f t="shared" ref="H51:I51" si="61">F51/5</f>
        <v>2.2000000000000002</v>
      </c>
      <c r="I51" s="17">
        <f t="shared" si="61"/>
        <v>157</v>
      </c>
      <c r="J51" s="30"/>
    </row>
    <row r="52" spans="1:10" ht="15.75" customHeight="1">
      <c r="A52" s="6">
        <v>20403</v>
      </c>
      <c r="B52" s="7" t="s">
        <v>15</v>
      </c>
      <c r="C52" s="7" t="s">
        <v>80</v>
      </c>
      <c r="D52" s="7" t="s">
        <v>83</v>
      </c>
      <c r="E52" s="8">
        <f t="shared" si="0"/>
        <v>20.38369304556355</v>
      </c>
      <c r="F52" s="20">
        <v>17</v>
      </c>
      <c r="G52" s="17">
        <v>834</v>
      </c>
      <c r="H52" s="17">
        <f t="shared" ref="H52:I52" si="62">F52/5</f>
        <v>3.4</v>
      </c>
      <c r="I52" s="17">
        <f t="shared" si="62"/>
        <v>166.8</v>
      </c>
      <c r="J52" s="30"/>
    </row>
    <row r="53" spans="1:10" ht="15.75" customHeight="1">
      <c r="A53" s="6">
        <v>20404</v>
      </c>
      <c r="B53" s="7" t="s">
        <v>15</v>
      </c>
      <c r="C53" s="7" t="s">
        <v>80</v>
      </c>
      <c r="D53" s="7" t="s">
        <v>84</v>
      </c>
      <c r="E53" s="8">
        <f t="shared" si="0"/>
        <v>7.2463768115942031</v>
      </c>
      <c r="F53" s="20">
        <v>2</v>
      </c>
      <c r="G53" s="17">
        <v>276</v>
      </c>
      <c r="H53" s="17">
        <f t="shared" ref="H53:I53" si="63">F53/5</f>
        <v>0.4</v>
      </c>
      <c r="I53" s="17">
        <f t="shared" si="63"/>
        <v>55.2</v>
      </c>
      <c r="J53" s="30"/>
    </row>
    <row r="54" spans="1:10" ht="15.75" customHeight="1">
      <c r="A54" s="6">
        <v>20405</v>
      </c>
      <c r="B54" s="7" t="s">
        <v>15</v>
      </c>
      <c r="C54" s="7" t="s">
        <v>80</v>
      </c>
      <c r="D54" s="7" t="s">
        <v>85</v>
      </c>
      <c r="E54" s="8">
        <f t="shared" si="0"/>
        <v>15.625</v>
      </c>
      <c r="F54" s="20">
        <v>6</v>
      </c>
      <c r="G54" s="17">
        <v>384</v>
      </c>
      <c r="H54" s="17">
        <f t="shared" ref="H54:I54" si="64">F54/5</f>
        <v>1.2</v>
      </c>
      <c r="I54" s="17">
        <f t="shared" si="64"/>
        <v>76.8</v>
      </c>
      <c r="J54" s="30"/>
    </row>
    <row r="55" spans="1:10" ht="15.75" customHeight="1">
      <c r="A55" s="6">
        <v>20501</v>
      </c>
      <c r="B55" s="7" t="s">
        <v>15</v>
      </c>
      <c r="C55" s="7" t="s">
        <v>86</v>
      </c>
      <c r="D55" s="7" t="s">
        <v>87</v>
      </c>
      <c r="E55" s="8">
        <f t="shared" si="0"/>
        <v>8.8105726872246706</v>
      </c>
      <c r="F55" s="20">
        <v>8</v>
      </c>
      <c r="G55" s="17">
        <v>908</v>
      </c>
      <c r="H55" s="17">
        <f t="shared" ref="H55:I55" si="65">F55/5</f>
        <v>1.6</v>
      </c>
      <c r="I55" s="17">
        <f t="shared" si="65"/>
        <v>181.6</v>
      </c>
      <c r="J55" s="30"/>
    </row>
    <row r="56" spans="1:10" ht="15.75" customHeight="1">
      <c r="A56" s="6">
        <v>20502</v>
      </c>
      <c r="B56" s="7" t="s">
        <v>15</v>
      </c>
      <c r="C56" s="7" t="s">
        <v>86</v>
      </c>
      <c r="D56" s="7" t="s">
        <v>88</v>
      </c>
      <c r="E56" s="8">
        <f t="shared" si="0"/>
        <v>6.6225165562913908</v>
      </c>
      <c r="F56" s="20">
        <v>3</v>
      </c>
      <c r="G56" s="17">
        <v>453</v>
      </c>
      <c r="H56" s="17">
        <f t="shared" ref="H56:I56" si="66">F56/5</f>
        <v>0.6</v>
      </c>
      <c r="I56" s="17">
        <f t="shared" si="66"/>
        <v>90.6</v>
      </c>
      <c r="J56" s="30"/>
    </row>
    <row r="57" spans="1:10" ht="15.75" customHeight="1">
      <c r="A57" s="6">
        <v>20503</v>
      </c>
      <c r="B57" s="7" t="s">
        <v>15</v>
      </c>
      <c r="C57" s="7" t="s">
        <v>86</v>
      </c>
      <c r="D57" s="7" t="s">
        <v>89</v>
      </c>
      <c r="E57" s="8">
        <f t="shared" si="0"/>
        <v>8.9887640449438209</v>
      </c>
      <c r="F57" s="20">
        <v>4</v>
      </c>
      <c r="G57" s="17">
        <v>445</v>
      </c>
      <c r="H57" s="17">
        <f t="shared" ref="H57:I57" si="67">F57/5</f>
        <v>0.8</v>
      </c>
      <c r="I57" s="17">
        <f t="shared" si="67"/>
        <v>89</v>
      </c>
      <c r="J57" s="30"/>
    </row>
    <row r="58" spans="1:10" ht="15.75" customHeight="1">
      <c r="A58" s="6">
        <v>20601</v>
      </c>
      <c r="B58" s="7" t="s">
        <v>15</v>
      </c>
      <c r="C58" s="7" t="s">
        <v>90</v>
      </c>
      <c r="D58" s="7" t="s">
        <v>91</v>
      </c>
      <c r="E58" s="8">
        <f t="shared" si="0"/>
        <v>11.702127659574467</v>
      </c>
      <c r="F58" s="20">
        <v>22</v>
      </c>
      <c r="G58" s="17">
        <v>1880</v>
      </c>
      <c r="H58" s="17">
        <f t="shared" ref="H58:I58" si="68">F58/5</f>
        <v>4.4000000000000004</v>
      </c>
      <c r="I58" s="17">
        <f t="shared" si="68"/>
        <v>376</v>
      </c>
      <c r="J58" s="30"/>
    </row>
    <row r="59" spans="1:10" ht="15.75" customHeight="1">
      <c r="A59" s="6">
        <v>20602</v>
      </c>
      <c r="B59" s="7" t="s">
        <v>15</v>
      </c>
      <c r="C59" s="7" t="s">
        <v>90</v>
      </c>
      <c r="D59" s="7" t="s">
        <v>92</v>
      </c>
      <c r="E59" s="8">
        <f t="shared" si="0"/>
        <v>18.549747048903878</v>
      </c>
      <c r="F59" s="20">
        <v>22</v>
      </c>
      <c r="G59" s="17">
        <v>1186</v>
      </c>
      <c r="H59" s="17">
        <f t="shared" ref="H59:I59" si="69">F59/5</f>
        <v>4.4000000000000004</v>
      </c>
      <c r="I59" s="17">
        <f t="shared" si="69"/>
        <v>237.2</v>
      </c>
      <c r="J59" s="30"/>
    </row>
    <row r="60" spans="1:10" ht="15.75" customHeight="1">
      <c r="A60" s="6">
        <v>20603</v>
      </c>
      <c r="B60" s="7" t="s">
        <v>15</v>
      </c>
      <c r="C60" s="7" t="s">
        <v>90</v>
      </c>
      <c r="D60" s="7" t="s">
        <v>93</v>
      </c>
      <c r="E60" s="8">
        <f t="shared" si="0"/>
        <v>0</v>
      </c>
      <c r="F60" s="20">
        <v>0</v>
      </c>
      <c r="G60" s="17">
        <v>645</v>
      </c>
      <c r="H60" s="17">
        <f t="shared" ref="H60:I60" si="70">F60/5</f>
        <v>0</v>
      </c>
      <c r="I60" s="17">
        <f t="shared" si="70"/>
        <v>129</v>
      </c>
      <c r="J60" s="30"/>
    </row>
    <row r="61" spans="1:10" ht="15.75" customHeight="1">
      <c r="A61" s="6">
        <v>20604</v>
      </c>
      <c r="B61" s="7" t="s">
        <v>15</v>
      </c>
      <c r="C61" s="7" t="s">
        <v>90</v>
      </c>
      <c r="D61" s="7" t="s">
        <v>94</v>
      </c>
      <c r="E61" s="8">
        <f t="shared" si="0"/>
        <v>27.972027972027973</v>
      </c>
      <c r="F61" s="20">
        <v>8</v>
      </c>
      <c r="G61" s="17">
        <v>286</v>
      </c>
      <c r="H61" s="17">
        <f t="shared" ref="H61:I61" si="71">F61/5</f>
        <v>1.6</v>
      </c>
      <c r="I61" s="17">
        <f t="shared" si="71"/>
        <v>57.2</v>
      </c>
      <c r="J61" s="30"/>
    </row>
    <row r="62" spans="1:10" ht="15.75" customHeight="1">
      <c r="A62" s="6">
        <v>20605</v>
      </c>
      <c r="B62" s="7" t="s">
        <v>15</v>
      </c>
      <c r="C62" s="7" t="s">
        <v>90</v>
      </c>
      <c r="D62" s="7" t="s">
        <v>95</v>
      </c>
      <c r="E62" s="8">
        <f t="shared" si="0"/>
        <v>15.151515151515152</v>
      </c>
      <c r="F62" s="20">
        <v>2</v>
      </c>
      <c r="G62" s="17">
        <v>132</v>
      </c>
      <c r="H62" s="17">
        <f t="shared" ref="H62:I62" si="72">F62/5</f>
        <v>0.4</v>
      </c>
      <c r="I62" s="17">
        <f t="shared" si="72"/>
        <v>26.4</v>
      </c>
      <c r="J62" s="30"/>
    </row>
    <row r="63" spans="1:10" ht="15.75" customHeight="1">
      <c r="A63" s="6">
        <v>20606</v>
      </c>
      <c r="B63" s="7" t="s">
        <v>15</v>
      </c>
      <c r="C63" s="7" t="s">
        <v>90</v>
      </c>
      <c r="D63" s="7" t="s">
        <v>96</v>
      </c>
      <c r="E63" s="8">
        <f t="shared" si="0"/>
        <v>20.522388059701491</v>
      </c>
      <c r="F63" s="20">
        <v>11</v>
      </c>
      <c r="G63" s="17">
        <v>536</v>
      </c>
      <c r="H63" s="17">
        <f t="shared" ref="H63:I63" si="73">F63/5</f>
        <v>2.2000000000000002</v>
      </c>
      <c r="I63" s="17">
        <f t="shared" si="73"/>
        <v>107.2</v>
      </c>
      <c r="J63" s="30"/>
    </row>
    <row r="64" spans="1:10" ht="15.75" customHeight="1">
      <c r="A64" s="6">
        <v>20607</v>
      </c>
      <c r="B64" s="7" t="s">
        <v>15</v>
      </c>
      <c r="C64" s="7" t="s">
        <v>90</v>
      </c>
      <c r="D64" s="7" t="s">
        <v>97</v>
      </c>
      <c r="E64" s="8">
        <f t="shared" si="0"/>
        <v>12.698412698412698</v>
      </c>
      <c r="F64" s="20">
        <v>24</v>
      </c>
      <c r="G64" s="17">
        <v>1890</v>
      </c>
      <c r="H64" s="17">
        <f t="shared" ref="H64:I64" si="74">F64/5</f>
        <v>4.8</v>
      </c>
      <c r="I64" s="17">
        <f t="shared" si="74"/>
        <v>378</v>
      </c>
      <c r="J64" s="30"/>
    </row>
    <row r="65" spans="1:10" ht="15.75" customHeight="1">
      <c r="A65" s="6">
        <v>20608</v>
      </c>
      <c r="B65" s="7" t="s">
        <v>15</v>
      </c>
      <c r="C65" s="7" t="s">
        <v>90</v>
      </c>
      <c r="D65" s="7" t="s">
        <v>98</v>
      </c>
      <c r="E65" s="8">
        <f t="shared" si="0"/>
        <v>16.163793103448278</v>
      </c>
      <c r="F65" s="20">
        <v>15</v>
      </c>
      <c r="G65" s="17">
        <v>928</v>
      </c>
      <c r="H65" s="17">
        <f t="shared" ref="H65:I65" si="75">F65/5</f>
        <v>3</v>
      </c>
      <c r="I65" s="17">
        <f t="shared" si="75"/>
        <v>185.6</v>
      </c>
      <c r="J65" s="30"/>
    </row>
    <row r="66" spans="1:10" ht="15.75" customHeight="1">
      <c r="A66" s="6">
        <v>20701</v>
      </c>
      <c r="B66" s="7" t="s">
        <v>15</v>
      </c>
      <c r="C66" s="7" t="s">
        <v>99</v>
      </c>
      <c r="D66" s="7" t="s">
        <v>100</v>
      </c>
      <c r="E66" s="8">
        <f t="shared" si="0"/>
        <v>17.567567567567568</v>
      </c>
      <c r="F66" s="20">
        <v>26</v>
      </c>
      <c r="G66" s="17">
        <v>1480</v>
      </c>
      <c r="H66" s="17">
        <f t="shared" ref="H66:I66" si="76">F66/5</f>
        <v>5.2</v>
      </c>
      <c r="I66" s="17">
        <f t="shared" si="76"/>
        <v>296</v>
      </c>
      <c r="J66" s="30"/>
    </row>
    <row r="67" spans="1:10" ht="15.75" customHeight="1">
      <c r="A67" s="6">
        <v>20702</v>
      </c>
      <c r="B67" s="7" t="s">
        <v>15</v>
      </c>
      <c r="C67" s="7" t="s">
        <v>99</v>
      </c>
      <c r="D67" s="7" t="s">
        <v>101</v>
      </c>
      <c r="E67" s="8">
        <f t="shared" si="0"/>
        <v>10.101010101010102</v>
      </c>
      <c r="F67" s="20">
        <v>6</v>
      </c>
      <c r="G67" s="17">
        <v>594</v>
      </c>
      <c r="H67" s="17">
        <f t="shared" ref="H67:I67" si="77">F67/5</f>
        <v>1.2</v>
      </c>
      <c r="I67" s="17">
        <f t="shared" si="77"/>
        <v>118.8</v>
      </c>
      <c r="J67" s="30"/>
    </row>
    <row r="68" spans="1:10" ht="15.75" customHeight="1">
      <c r="A68" s="6">
        <v>20801</v>
      </c>
      <c r="B68" s="7" t="s">
        <v>15</v>
      </c>
      <c r="C68" s="7" t="s">
        <v>102</v>
      </c>
      <c r="D68" s="7" t="s">
        <v>103</v>
      </c>
      <c r="E68" s="8">
        <f t="shared" si="0"/>
        <v>13.896532746285086</v>
      </c>
      <c r="F68" s="20">
        <v>101</v>
      </c>
      <c r="G68" s="17">
        <v>7268</v>
      </c>
      <c r="H68" s="17">
        <f t="shared" ref="H68:I68" si="78">F68/5</f>
        <v>20.2</v>
      </c>
      <c r="I68" s="17">
        <f t="shared" si="78"/>
        <v>1453.6</v>
      </c>
      <c r="J68" s="30"/>
    </row>
    <row r="69" spans="1:10" ht="15.75" customHeight="1">
      <c r="A69" s="6">
        <v>20802</v>
      </c>
      <c r="B69" s="7" t="s">
        <v>15</v>
      </c>
      <c r="C69" s="7" t="s">
        <v>102</v>
      </c>
      <c r="D69" s="7" t="s">
        <v>104</v>
      </c>
      <c r="E69" s="8">
        <f t="shared" si="0"/>
        <v>23.419203747072601</v>
      </c>
      <c r="F69" s="20">
        <v>10</v>
      </c>
      <c r="G69" s="17">
        <v>427</v>
      </c>
      <c r="H69" s="17">
        <f t="shared" ref="H69:I69" si="79">F69/5</f>
        <v>2</v>
      </c>
      <c r="I69" s="17">
        <f t="shared" si="79"/>
        <v>85.4</v>
      </c>
      <c r="J69" s="30"/>
    </row>
    <row r="70" spans="1:10" ht="15.75" customHeight="1">
      <c r="A70" s="6">
        <v>20803</v>
      </c>
      <c r="B70" s="7" t="s">
        <v>15</v>
      </c>
      <c r="C70" s="7" t="s">
        <v>102</v>
      </c>
      <c r="D70" s="7" t="s">
        <v>105</v>
      </c>
      <c r="E70" s="8">
        <f t="shared" si="0"/>
        <v>8.9171974522292992</v>
      </c>
      <c r="F70" s="20">
        <v>7</v>
      </c>
      <c r="G70" s="17">
        <v>785</v>
      </c>
      <c r="H70" s="17">
        <f t="shared" ref="H70:I70" si="80">F70/5</f>
        <v>1.4</v>
      </c>
      <c r="I70" s="17">
        <f t="shared" si="80"/>
        <v>157</v>
      </c>
      <c r="J70" s="30"/>
    </row>
    <row r="71" spans="1:10" ht="15.75" customHeight="1">
      <c r="A71" s="6">
        <v>20804</v>
      </c>
      <c r="B71" s="7" t="s">
        <v>15</v>
      </c>
      <c r="C71" s="7" t="s">
        <v>102</v>
      </c>
      <c r="D71" s="7" t="s">
        <v>106</v>
      </c>
      <c r="E71" s="8">
        <f t="shared" si="0"/>
        <v>16.460905349794238</v>
      </c>
      <c r="F71" s="20">
        <v>8</v>
      </c>
      <c r="G71" s="17">
        <v>486</v>
      </c>
      <c r="H71" s="17">
        <f t="shared" ref="H71:I71" si="81">F71/5</f>
        <v>1.6</v>
      </c>
      <c r="I71" s="17">
        <f t="shared" si="81"/>
        <v>97.2</v>
      </c>
      <c r="J71" s="30"/>
    </row>
    <row r="72" spans="1:10" ht="15.75" customHeight="1">
      <c r="A72" s="6">
        <v>20805</v>
      </c>
      <c r="B72" s="7" t="s">
        <v>15</v>
      </c>
      <c r="C72" s="7" t="s">
        <v>102</v>
      </c>
      <c r="D72" s="7" t="s">
        <v>107</v>
      </c>
      <c r="E72" s="8">
        <f t="shared" si="0"/>
        <v>13.513513513513514</v>
      </c>
      <c r="F72" s="20">
        <v>5</v>
      </c>
      <c r="G72" s="17">
        <v>370</v>
      </c>
      <c r="H72" s="17">
        <f t="shared" ref="H72:I72" si="82">F72/5</f>
        <v>1</v>
      </c>
      <c r="I72" s="17">
        <f t="shared" si="82"/>
        <v>74</v>
      </c>
      <c r="J72" s="30"/>
    </row>
    <row r="73" spans="1:10" ht="15.75" customHeight="1">
      <c r="A73" s="6">
        <v>20806</v>
      </c>
      <c r="B73" s="7" t="s">
        <v>15</v>
      </c>
      <c r="C73" s="7" t="s">
        <v>102</v>
      </c>
      <c r="D73" s="7" t="s">
        <v>108</v>
      </c>
      <c r="E73" s="8">
        <f t="shared" si="0"/>
        <v>6.0827250608272507</v>
      </c>
      <c r="F73" s="20">
        <v>5</v>
      </c>
      <c r="G73" s="17">
        <v>822</v>
      </c>
      <c r="H73" s="17">
        <f t="shared" ref="H73:I73" si="83">F73/5</f>
        <v>1</v>
      </c>
      <c r="I73" s="17">
        <f t="shared" si="83"/>
        <v>164.4</v>
      </c>
      <c r="J73" s="30"/>
    </row>
    <row r="74" spans="1:10" ht="15.75" customHeight="1">
      <c r="A74" s="6">
        <v>20807</v>
      </c>
      <c r="B74" s="7" t="s">
        <v>15</v>
      </c>
      <c r="C74" s="7" t="s">
        <v>102</v>
      </c>
      <c r="D74" s="7" t="s">
        <v>109</v>
      </c>
      <c r="E74" s="8">
        <f t="shared" si="0"/>
        <v>5.0377833753148611</v>
      </c>
      <c r="F74" s="20">
        <v>2</v>
      </c>
      <c r="G74" s="17">
        <v>397</v>
      </c>
      <c r="H74" s="17">
        <f t="shared" ref="H74:I74" si="84">F74/5</f>
        <v>0.4</v>
      </c>
      <c r="I74" s="17">
        <f t="shared" si="84"/>
        <v>79.400000000000006</v>
      </c>
      <c r="J74" s="30"/>
    </row>
    <row r="75" spans="1:10" ht="15.75" customHeight="1">
      <c r="A75" s="6">
        <v>20901</v>
      </c>
      <c r="B75" s="7" t="s">
        <v>15</v>
      </c>
      <c r="C75" s="7" t="s">
        <v>110</v>
      </c>
      <c r="D75" s="7" t="s">
        <v>111</v>
      </c>
      <c r="E75" s="8">
        <f t="shared" si="0"/>
        <v>5.0083472454090145</v>
      </c>
      <c r="F75" s="20">
        <v>3</v>
      </c>
      <c r="G75" s="17">
        <v>599</v>
      </c>
      <c r="H75" s="17">
        <f t="shared" ref="H75:I75" si="85">F75/5</f>
        <v>0.6</v>
      </c>
      <c r="I75" s="17">
        <f t="shared" si="85"/>
        <v>119.8</v>
      </c>
      <c r="J75" s="30"/>
    </row>
    <row r="76" spans="1:10" ht="15.75" customHeight="1">
      <c r="A76" s="6">
        <v>20902</v>
      </c>
      <c r="B76" s="7" t="s">
        <v>15</v>
      </c>
      <c r="C76" s="7" t="s">
        <v>110</v>
      </c>
      <c r="D76" s="7" t="s">
        <v>112</v>
      </c>
      <c r="E76" s="8">
        <f t="shared" si="0"/>
        <v>21.208907741251327</v>
      </c>
      <c r="F76" s="20">
        <v>20</v>
      </c>
      <c r="G76" s="17">
        <v>943</v>
      </c>
      <c r="H76" s="17">
        <f t="shared" ref="H76:I76" si="86">F76/5</f>
        <v>4</v>
      </c>
      <c r="I76" s="17">
        <f t="shared" si="86"/>
        <v>188.6</v>
      </c>
      <c r="J76" s="30"/>
    </row>
    <row r="77" spans="1:10" ht="15.75" customHeight="1">
      <c r="A77" s="6">
        <v>20903</v>
      </c>
      <c r="B77" s="7" t="s">
        <v>15</v>
      </c>
      <c r="C77" s="7" t="s">
        <v>110</v>
      </c>
      <c r="D77" s="7" t="s">
        <v>113</v>
      </c>
      <c r="E77" s="8">
        <f t="shared" si="0"/>
        <v>13.636363636363635</v>
      </c>
      <c r="F77" s="20">
        <v>9</v>
      </c>
      <c r="G77" s="17">
        <v>660</v>
      </c>
      <c r="H77" s="17">
        <f t="shared" ref="H77:I77" si="87">F77/5</f>
        <v>1.8</v>
      </c>
      <c r="I77" s="17">
        <f t="shared" si="87"/>
        <v>132</v>
      </c>
      <c r="J77" s="30"/>
    </row>
    <row r="78" spans="1:10" ht="15.75" customHeight="1">
      <c r="A78" s="6">
        <v>20904</v>
      </c>
      <c r="B78" s="7" t="s">
        <v>15</v>
      </c>
      <c r="C78" s="7" t="s">
        <v>110</v>
      </c>
      <c r="D78" s="7" t="s">
        <v>114</v>
      </c>
      <c r="E78" s="8">
        <f t="shared" si="0"/>
        <v>2.8901734104046239</v>
      </c>
      <c r="F78" s="20">
        <v>1</v>
      </c>
      <c r="G78" s="17">
        <v>346</v>
      </c>
      <c r="H78" s="17">
        <f t="shared" ref="H78:I78" si="88">F78/5</f>
        <v>0.2</v>
      </c>
      <c r="I78" s="17">
        <f t="shared" si="88"/>
        <v>69.2</v>
      </c>
      <c r="J78" s="30"/>
    </row>
    <row r="79" spans="1:10" ht="15.75" customHeight="1">
      <c r="A79" s="6">
        <v>20905</v>
      </c>
      <c r="B79" s="7" t="s">
        <v>15</v>
      </c>
      <c r="C79" s="7" t="s">
        <v>110</v>
      </c>
      <c r="D79" s="7" t="s">
        <v>115</v>
      </c>
      <c r="E79" s="8">
        <f t="shared" si="0"/>
        <v>9.8901098901098905</v>
      </c>
      <c r="F79" s="20">
        <v>9</v>
      </c>
      <c r="G79" s="17">
        <v>910</v>
      </c>
      <c r="H79" s="17">
        <f t="shared" ref="H79:I79" si="89">F79/5</f>
        <v>1.8</v>
      </c>
      <c r="I79" s="17">
        <f t="shared" si="89"/>
        <v>182</v>
      </c>
      <c r="J79" s="30"/>
    </row>
    <row r="80" spans="1:10" ht="15.75" customHeight="1">
      <c r="A80" s="6">
        <v>21001</v>
      </c>
      <c r="B80" s="7" t="s">
        <v>15</v>
      </c>
      <c r="C80" s="7" t="s">
        <v>116</v>
      </c>
      <c r="D80" s="7" t="s">
        <v>116</v>
      </c>
      <c r="E80" s="8">
        <f t="shared" si="0"/>
        <v>9.2514718250630779</v>
      </c>
      <c r="F80" s="20">
        <v>11</v>
      </c>
      <c r="G80" s="17">
        <v>1189</v>
      </c>
      <c r="H80" s="17">
        <f t="shared" ref="H80:I80" si="90">F80/5</f>
        <v>2.2000000000000002</v>
      </c>
      <c r="I80" s="17">
        <f t="shared" si="90"/>
        <v>237.8</v>
      </c>
      <c r="J80" s="30"/>
    </row>
    <row r="81" spans="1:10" ht="15.75" customHeight="1">
      <c r="A81" s="6">
        <v>21002</v>
      </c>
      <c r="B81" s="7" t="s">
        <v>15</v>
      </c>
      <c r="C81" s="7" t="s">
        <v>116</v>
      </c>
      <c r="D81" s="7" t="s">
        <v>117</v>
      </c>
      <c r="E81" s="8">
        <f t="shared" si="0"/>
        <v>23.734177215189874</v>
      </c>
      <c r="F81" s="20">
        <v>15</v>
      </c>
      <c r="G81" s="17">
        <v>632</v>
      </c>
      <c r="H81" s="17">
        <f t="shared" ref="H81:I81" si="91">F81/5</f>
        <v>3</v>
      </c>
      <c r="I81" s="17">
        <f t="shared" si="91"/>
        <v>126.4</v>
      </c>
      <c r="J81" s="30"/>
    </row>
    <row r="82" spans="1:10" ht="15.75" customHeight="1">
      <c r="A82" s="6">
        <v>21003</v>
      </c>
      <c r="B82" s="7" t="s">
        <v>15</v>
      </c>
      <c r="C82" s="7" t="s">
        <v>116</v>
      </c>
      <c r="D82" s="7" t="s">
        <v>118</v>
      </c>
      <c r="E82" s="8">
        <f t="shared" si="0"/>
        <v>12.295081967213115</v>
      </c>
      <c r="F82" s="20">
        <v>15</v>
      </c>
      <c r="G82" s="17">
        <v>1220</v>
      </c>
      <c r="H82" s="17">
        <f t="shared" ref="H82:I82" si="92">F82/5</f>
        <v>3</v>
      </c>
      <c r="I82" s="17">
        <f t="shared" si="92"/>
        <v>244</v>
      </c>
      <c r="J82" s="30"/>
    </row>
    <row r="83" spans="1:10" ht="15.75" customHeight="1">
      <c r="A83" s="6">
        <v>21004</v>
      </c>
      <c r="B83" s="7" t="s">
        <v>15</v>
      </c>
      <c r="C83" s="7" t="s">
        <v>116</v>
      </c>
      <c r="D83" s="7" t="s">
        <v>119</v>
      </c>
      <c r="E83" s="8">
        <f t="shared" si="0"/>
        <v>17.034700315457414</v>
      </c>
      <c r="F83" s="20">
        <v>27</v>
      </c>
      <c r="G83" s="17">
        <v>1585</v>
      </c>
      <c r="H83" s="17">
        <f t="shared" ref="H83:I83" si="93">F83/5</f>
        <v>5.4</v>
      </c>
      <c r="I83" s="17">
        <f t="shared" si="93"/>
        <v>317</v>
      </c>
      <c r="J83" s="30"/>
    </row>
    <row r="84" spans="1:10" ht="15.75" customHeight="1">
      <c r="A84" s="6">
        <v>21005</v>
      </c>
      <c r="B84" s="7" t="s">
        <v>15</v>
      </c>
      <c r="C84" s="7" t="s">
        <v>116</v>
      </c>
      <c r="D84" s="7" t="s">
        <v>120</v>
      </c>
      <c r="E84" s="8">
        <f t="shared" si="0"/>
        <v>10.59322033898305</v>
      </c>
      <c r="F84" s="20">
        <v>5</v>
      </c>
      <c r="G84" s="17">
        <v>472</v>
      </c>
      <c r="H84" s="17">
        <f t="shared" ref="H84:I84" si="94">F84/5</f>
        <v>1</v>
      </c>
      <c r="I84" s="17">
        <f t="shared" si="94"/>
        <v>94.4</v>
      </c>
      <c r="J84" s="30"/>
    </row>
    <row r="85" spans="1:10" ht="15.75" customHeight="1">
      <c r="A85" s="6">
        <v>21006</v>
      </c>
      <c r="B85" s="7" t="s">
        <v>15</v>
      </c>
      <c r="C85" s="7" t="s">
        <v>116</v>
      </c>
      <c r="D85" s="7" t="s">
        <v>121</v>
      </c>
      <c r="E85" s="8">
        <f t="shared" si="0"/>
        <v>8.1632653061224492</v>
      </c>
      <c r="F85" s="20">
        <v>4</v>
      </c>
      <c r="G85" s="17">
        <v>490</v>
      </c>
      <c r="H85" s="17">
        <f t="shared" ref="H85:I85" si="95">F85/5</f>
        <v>0.8</v>
      </c>
      <c r="I85" s="17">
        <f t="shared" si="95"/>
        <v>98</v>
      </c>
      <c r="J85" s="30"/>
    </row>
    <row r="86" spans="1:10" ht="15.75" customHeight="1">
      <c r="A86" s="6">
        <v>21101</v>
      </c>
      <c r="B86" s="7" t="s">
        <v>15</v>
      </c>
      <c r="C86" s="7" t="s">
        <v>122</v>
      </c>
      <c r="D86" s="7" t="s">
        <v>123</v>
      </c>
      <c r="E86" s="8">
        <f t="shared" si="0"/>
        <v>22.314049586776857</v>
      </c>
      <c r="F86" s="20">
        <v>27</v>
      </c>
      <c r="G86" s="17">
        <v>1210</v>
      </c>
      <c r="H86" s="17">
        <f t="shared" ref="H86:I86" si="96">F86/5</f>
        <v>5.4</v>
      </c>
      <c r="I86" s="17">
        <f t="shared" si="96"/>
        <v>242</v>
      </c>
      <c r="J86" s="30"/>
    </row>
    <row r="87" spans="1:10" ht="15.75" customHeight="1">
      <c r="A87" s="6">
        <v>21102</v>
      </c>
      <c r="B87" s="7" t="s">
        <v>15</v>
      </c>
      <c r="C87" s="7" t="s">
        <v>122</v>
      </c>
      <c r="D87" s="7" t="s">
        <v>124</v>
      </c>
      <c r="E87" s="8">
        <f t="shared" si="0"/>
        <v>15.56970983722576</v>
      </c>
      <c r="F87" s="20">
        <v>22</v>
      </c>
      <c r="G87" s="17">
        <v>1413</v>
      </c>
      <c r="H87" s="17">
        <f t="shared" ref="H87:I87" si="97">F87/5</f>
        <v>4.4000000000000004</v>
      </c>
      <c r="I87" s="17">
        <f t="shared" si="97"/>
        <v>282.60000000000002</v>
      </c>
      <c r="J87" s="30"/>
    </row>
    <row r="88" spans="1:10" ht="15.75" customHeight="1">
      <c r="A88" s="6">
        <v>21103</v>
      </c>
      <c r="B88" s="7" t="s">
        <v>15</v>
      </c>
      <c r="C88" s="7" t="s">
        <v>122</v>
      </c>
      <c r="D88" s="7" t="s">
        <v>125</v>
      </c>
      <c r="E88" s="8">
        <f t="shared" si="0"/>
        <v>7.1770334928229671</v>
      </c>
      <c r="F88" s="20">
        <v>3</v>
      </c>
      <c r="G88" s="17">
        <v>418</v>
      </c>
      <c r="H88" s="17">
        <f t="shared" ref="H88:I88" si="98">F88/5</f>
        <v>0.6</v>
      </c>
      <c r="I88" s="17">
        <f t="shared" si="98"/>
        <v>83.6</v>
      </c>
      <c r="J88" s="30"/>
    </row>
    <row r="89" spans="1:10" ht="15.75" customHeight="1">
      <c r="A89" s="6">
        <v>21104</v>
      </c>
      <c r="B89" s="7" t="s">
        <v>15</v>
      </c>
      <c r="C89" s="7" t="s">
        <v>122</v>
      </c>
      <c r="D89" s="7" t="s">
        <v>126</v>
      </c>
      <c r="E89" s="8">
        <f t="shared" si="0"/>
        <v>14.742014742014742</v>
      </c>
      <c r="F89" s="20">
        <v>30</v>
      </c>
      <c r="G89" s="17">
        <v>2035</v>
      </c>
      <c r="H89" s="17">
        <f t="shared" ref="H89:I89" si="99">F89/5</f>
        <v>6</v>
      </c>
      <c r="I89" s="17">
        <f t="shared" si="99"/>
        <v>407</v>
      </c>
      <c r="J89" s="30"/>
    </row>
    <row r="90" spans="1:10" ht="15.75" customHeight="1">
      <c r="A90" s="6">
        <v>21105</v>
      </c>
      <c r="B90" s="7" t="s">
        <v>15</v>
      </c>
      <c r="C90" s="7" t="s">
        <v>122</v>
      </c>
      <c r="D90" s="7" t="s">
        <v>127</v>
      </c>
      <c r="E90" s="8">
        <f t="shared" si="0"/>
        <v>16.166281755196305</v>
      </c>
      <c r="F90" s="20">
        <v>56</v>
      </c>
      <c r="G90" s="17">
        <v>3464</v>
      </c>
      <c r="H90" s="17">
        <f t="shared" ref="H90:I90" si="100">F90/5</f>
        <v>11.2</v>
      </c>
      <c r="I90" s="17">
        <f t="shared" si="100"/>
        <v>692.8</v>
      </c>
      <c r="J90" s="30"/>
    </row>
    <row r="91" spans="1:10" ht="15.75" customHeight="1">
      <c r="A91" s="6">
        <v>21201</v>
      </c>
      <c r="B91" s="7" t="s">
        <v>15</v>
      </c>
      <c r="C91" s="7" t="s">
        <v>128</v>
      </c>
      <c r="D91" s="7" t="s">
        <v>129</v>
      </c>
      <c r="E91" s="8">
        <f t="shared" si="0"/>
        <v>13.685847589424572</v>
      </c>
      <c r="F91" s="20">
        <v>44</v>
      </c>
      <c r="G91" s="17">
        <v>3215</v>
      </c>
      <c r="H91" s="17">
        <f t="shared" ref="H91:I91" si="101">F91/5</f>
        <v>8.8000000000000007</v>
      </c>
      <c r="I91" s="17">
        <f t="shared" si="101"/>
        <v>643</v>
      </c>
      <c r="J91" s="30"/>
    </row>
    <row r="92" spans="1:10" ht="15.75" customHeight="1">
      <c r="A92" s="6">
        <v>21202</v>
      </c>
      <c r="B92" s="7" t="s">
        <v>15</v>
      </c>
      <c r="C92" s="7" t="s">
        <v>128</v>
      </c>
      <c r="D92" s="7" t="s">
        <v>130</v>
      </c>
      <c r="E92" s="8">
        <f t="shared" si="0"/>
        <v>11.919965942954448</v>
      </c>
      <c r="F92" s="20">
        <v>28</v>
      </c>
      <c r="G92" s="17">
        <v>2349</v>
      </c>
      <c r="H92" s="17">
        <f t="shared" ref="H92:I92" si="102">F92/5</f>
        <v>5.6</v>
      </c>
      <c r="I92" s="17">
        <f t="shared" si="102"/>
        <v>469.8</v>
      </c>
      <c r="J92" s="30"/>
    </row>
    <row r="93" spans="1:10" ht="15.75" customHeight="1">
      <c r="A93" s="6">
        <v>21203</v>
      </c>
      <c r="B93" s="7" t="s">
        <v>15</v>
      </c>
      <c r="C93" s="7" t="s">
        <v>128</v>
      </c>
      <c r="D93" s="7" t="s">
        <v>131</v>
      </c>
      <c r="E93" s="8">
        <f t="shared" si="0"/>
        <v>15.676567656765675</v>
      </c>
      <c r="F93" s="20">
        <v>19</v>
      </c>
      <c r="G93" s="17">
        <v>1212</v>
      </c>
      <c r="H93" s="17">
        <f t="shared" ref="H93:I93" si="103">F93/5</f>
        <v>3.8</v>
      </c>
      <c r="I93" s="17">
        <f t="shared" si="103"/>
        <v>242.4</v>
      </c>
      <c r="J93" s="30"/>
    </row>
    <row r="94" spans="1:10" ht="15.75" customHeight="1">
      <c r="A94" s="6">
        <v>21204</v>
      </c>
      <c r="B94" s="7" t="s">
        <v>15</v>
      </c>
      <c r="C94" s="7" t="s">
        <v>128</v>
      </c>
      <c r="D94" s="7" t="s">
        <v>132</v>
      </c>
      <c r="E94" s="8">
        <f t="shared" si="0"/>
        <v>8.064516129032258</v>
      </c>
      <c r="F94" s="20">
        <v>3</v>
      </c>
      <c r="G94" s="17">
        <v>372</v>
      </c>
      <c r="H94" s="17">
        <f t="shared" ref="H94:I94" si="104">F94/5</f>
        <v>0.6</v>
      </c>
      <c r="I94" s="17">
        <f t="shared" si="104"/>
        <v>74.400000000000006</v>
      </c>
      <c r="J94" s="30"/>
    </row>
    <row r="95" spans="1:10" ht="15.75" customHeight="1">
      <c r="A95" s="6">
        <v>21301</v>
      </c>
      <c r="B95" s="7" t="s">
        <v>15</v>
      </c>
      <c r="C95" s="7" t="s">
        <v>133</v>
      </c>
      <c r="D95" s="7" t="s">
        <v>134</v>
      </c>
      <c r="E95" s="8">
        <f t="shared" si="0"/>
        <v>15.225933202357563</v>
      </c>
      <c r="F95" s="20">
        <v>31</v>
      </c>
      <c r="G95" s="17">
        <v>2036</v>
      </c>
      <c r="H95" s="17">
        <f t="shared" ref="H95:I95" si="105">F95/5</f>
        <v>6.2</v>
      </c>
      <c r="I95" s="17">
        <f t="shared" si="105"/>
        <v>407.2</v>
      </c>
      <c r="J95" s="30"/>
    </row>
    <row r="96" spans="1:10" ht="15.75" customHeight="1">
      <c r="A96" s="6">
        <v>21302</v>
      </c>
      <c r="B96" s="7" t="s">
        <v>15</v>
      </c>
      <c r="C96" s="7" t="s">
        <v>133</v>
      </c>
      <c r="D96" s="7" t="s">
        <v>135</v>
      </c>
      <c r="E96" s="8">
        <f t="shared" si="0"/>
        <v>11.441647597254004</v>
      </c>
      <c r="F96" s="20">
        <v>5</v>
      </c>
      <c r="G96" s="17">
        <v>437</v>
      </c>
      <c r="H96" s="17">
        <f t="shared" ref="H96:I96" si="106">F96/5</f>
        <v>1</v>
      </c>
      <c r="I96" s="17">
        <f t="shared" si="106"/>
        <v>87.4</v>
      </c>
      <c r="J96" s="30"/>
    </row>
    <row r="97" spans="1:10" ht="15.75" customHeight="1">
      <c r="A97" s="6">
        <v>21303</v>
      </c>
      <c r="B97" s="7" t="s">
        <v>15</v>
      </c>
      <c r="C97" s="7" t="s">
        <v>133</v>
      </c>
      <c r="D97" s="7" t="s">
        <v>136</v>
      </c>
      <c r="E97" s="8">
        <f t="shared" si="0"/>
        <v>30.303030303030305</v>
      </c>
      <c r="F97" s="20">
        <v>20</v>
      </c>
      <c r="G97" s="17">
        <v>660</v>
      </c>
      <c r="H97" s="17">
        <f t="shared" ref="H97:I97" si="107">F97/5</f>
        <v>4</v>
      </c>
      <c r="I97" s="17">
        <f t="shared" si="107"/>
        <v>132</v>
      </c>
      <c r="J97" s="30"/>
    </row>
    <row r="98" spans="1:10" ht="15.75" customHeight="1">
      <c r="A98" s="6">
        <v>21304</v>
      </c>
      <c r="B98" s="7" t="s">
        <v>15</v>
      </c>
      <c r="C98" s="7" t="s">
        <v>133</v>
      </c>
      <c r="D98" s="7" t="s">
        <v>137</v>
      </c>
      <c r="E98" s="8">
        <f t="shared" si="0"/>
        <v>7.6586433260393871</v>
      </c>
      <c r="F98" s="20">
        <v>7</v>
      </c>
      <c r="G98" s="17">
        <v>914</v>
      </c>
      <c r="H98" s="17">
        <f t="shared" ref="H98:I98" si="108">F98/5</f>
        <v>1.4</v>
      </c>
      <c r="I98" s="17">
        <f t="shared" si="108"/>
        <v>182.8</v>
      </c>
      <c r="J98" s="30"/>
    </row>
    <row r="99" spans="1:10" ht="15.75" customHeight="1">
      <c r="A99" s="6">
        <v>21305</v>
      </c>
      <c r="B99" s="7" t="s">
        <v>15</v>
      </c>
      <c r="C99" s="7" t="s">
        <v>133</v>
      </c>
      <c r="D99" s="7" t="s">
        <v>138</v>
      </c>
      <c r="E99" s="8">
        <f t="shared" si="0"/>
        <v>17.783046828689983</v>
      </c>
      <c r="F99" s="20">
        <v>30</v>
      </c>
      <c r="G99" s="17">
        <v>1687</v>
      </c>
      <c r="H99" s="17">
        <f t="shared" ref="H99:I99" si="109">F99/5</f>
        <v>6</v>
      </c>
      <c r="I99" s="17">
        <f t="shared" si="109"/>
        <v>337.4</v>
      </c>
      <c r="J99" s="30"/>
    </row>
    <row r="100" spans="1:10" ht="15.75" customHeight="1">
      <c r="A100" s="6">
        <v>21306</v>
      </c>
      <c r="B100" s="7" t="s">
        <v>15</v>
      </c>
      <c r="C100" s="7" t="s">
        <v>133</v>
      </c>
      <c r="D100" s="7" t="s">
        <v>139</v>
      </c>
      <c r="E100" s="8">
        <f t="shared" si="0"/>
        <v>19.070321811680571</v>
      </c>
      <c r="F100" s="20">
        <v>16</v>
      </c>
      <c r="G100" s="17">
        <v>839</v>
      </c>
      <c r="H100" s="17">
        <f t="shared" ref="H100:I100" si="110">F100/5</f>
        <v>3.2</v>
      </c>
      <c r="I100" s="17">
        <f t="shared" si="110"/>
        <v>167.8</v>
      </c>
      <c r="J100" s="30"/>
    </row>
    <row r="101" spans="1:10" ht="15.75" customHeight="1">
      <c r="A101" s="6">
        <v>21307</v>
      </c>
      <c r="B101" s="7" t="s">
        <v>15</v>
      </c>
      <c r="C101" s="7" t="s">
        <v>133</v>
      </c>
      <c r="D101" s="7" t="s">
        <v>140</v>
      </c>
      <c r="E101" s="8">
        <f t="shared" si="0"/>
        <v>17.667844522968199</v>
      </c>
      <c r="F101" s="20">
        <v>5</v>
      </c>
      <c r="G101" s="17">
        <v>283</v>
      </c>
      <c r="H101" s="17">
        <f t="shared" ref="H101:I101" si="111">F101/5</f>
        <v>1</v>
      </c>
      <c r="I101" s="17">
        <f t="shared" si="111"/>
        <v>56.6</v>
      </c>
      <c r="J101" s="30"/>
    </row>
    <row r="102" spans="1:10" ht="15.75" customHeight="1">
      <c r="A102" s="6">
        <v>21401</v>
      </c>
      <c r="B102" s="7" t="s">
        <v>15</v>
      </c>
      <c r="C102" s="7" t="s">
        <v>141</v>
      </c>
      <c r="D102" s="7" t="s">
        <v>142</v>
      </c>
      <c r="E102" s="8">
        <f t="shared" si="0"/>
        <v>12.322858903265557</v>
      </c>
      <c r="F102" s="20">
        <v>20</v>
      </c>
      <c r="G102" s="17">
        <v>1623</v>
      </c>
      <c r="H102" s="17">
        <f t="shared" ref="H102:I102" si="112">F102/5</f>
        <v>4</v>
      </c>
      <c r="I102" s="17">
        <f t="shared" si="112"/>
        <v>324.60000000000002</v>
      </c>
      <c r="J102" s="30"/>
    </row>
    <row r="103" spans="1:10" ht="15.75" customHeight="1">
      <c r="A103" s="6">
        <v>21402</v>
      </c>
      <c r="B103" s="7" t="s">
        <v>15</v>
      </c>
      <c r="C103" s="7" t="s">
        <v>141</v>
      </c>
      <c r="D103" s="7" t="s">
        <v>143</v>
      </c>
      <c r="E103" s="8">
        <f t="shared" si="0"/>
        <v>10.403120936280885</v>
      </c>
      <c r="F103" s="20">
        <v>16</v>
      </c>
      <c r="G103" s="17">
        <v>1538</v>
      </c>
      <c r="H103" s="17">
        <f t="shared" ref="H103:I103" si="113">F103/5</f>
        <v>3.2</v>
      </c>
      <c r="I103" s="17">
        <f t="shared" si="113"/>
        <v>307.60000000000002</v>
      </c>
      <c r="J103" s="30"/>
    </row>
    <row r="104" spans="1:10" ht="15.75" customHeight="1">
      <c r="A104" s="6">
        <v>21501</v>
      </c>
      <c r="B104" s="7" t="s">
        <v>15</v>
      </c>
      <c r="C104" s="7" t="s">
        <v>144</v>
      </c>
      <c r="D104" s="7" t="s">
        <v>145</v>
      </c>
      <c r="E104" s="8">
        <f t="shared" si="0"/>
        <v>15.592515592515593</v>
      </c>
      <c r="F104" s="20">
        <v>15</v>
      </c>
      <c r="G104" s="17">
        <v>962</v>
      </c>
      <c r="H104" s="17">
        <f t="shared" ref="H104:I104" si="114">F104/5</f>
        <v>3</v>
      </c>
      <c r="I104" s="17">
        <f t="shared" si="114"/>
        <v>192.4</v>
      </c>
      <c r="J104" s="30"/>
    </row>
    <row r="105" spans="1:10" ht="15.75" customHeight="1">
      <c r="A105" s="6">
        <v>21502</v>
      </c>
      <c r="B105" s="7" t="s">
        <v>15</v>
      </c>
      <c r="C105" s="7" t="s">
        <v>144</v>
      </c>
      <c r="D105" s="7" t="s">
        <v>146</v>
      </c>
      <c r="E105" s="8">
        <f t="shared" si="0"/>
        <v>22.5</v>
      </c>
      <c r="F105" s="20">
        <v>18</v>
      </c>
      <c r="G105" s="17">
        <v>800</v>
      </c>
      <c r="H105" s="17">
        <f t="shared" ref="H105:I105" si="115">F105/5</f>
        <v>3.6</v>
      </c>
      <c r="I105" s="17">
        <f t="shared" si="115"/>
        <v>160</v>
      </c>
      <c r="J105" s="30"/>
    </row>
    <row r="106" spans="1:10" ht="15.75" customHeight="1">
      <c r="A106" s="6">
        <v>21601</v>
      </c>
      <c r="B106" s="7" t="s">
        <v>15</v>
      </c>
      <c r="C106" s="7" t="s">
        <v>147</v>
      </c>
      <c r="D106" s="7" t="s">
        <v>148</v>
      </c>
      <c r="E106" s="8">
        <f t="shared" si="0"/>
        <v>10.309278350515465</v>
      </c>
      <c r="F106" s="20">
        <v>10</v>
      </c>
      <c r="G106" s="17">
        <v>970</v>
      </c>
      <c r="H106" s="17">
        <f t="shared" ref="H106:I106" si="116">F106/5</f>
        <v>2</v>
      </c>
      <c r="I106" s="17">
        <f t="shared" si="116"/>
        <v>194</v>
      </c>
      <c r="J106" s="30"/>
    </row>
    <row r="107" spans="1:10" ht="15.75" customHeight="1">
      <c r="A107" s="6">
        <v>21602</v>
      </c>
      <c r="B107" s="7" t="s">
        <v>15</v>
      </c>
      <c r="C107" s="7" t="s">
        <v>147</v>
      </c>
      <c r="D107" s="7" t="s">
        <v>149</v>
      </c>
      <c r="E107" s="8">
        <f t="shared" si="0"/>
        <v>10.38961038961039</v>
      </c>
      <c r="F107" s="20">
        <v>4</v>
      </c>
      <c r="G107" s="17">
        <v>385</v>
      </c>
      <c r="H107" s="17">
        <f t="shared" ref="H107:I107" si="117">F107/5</f>
        <v>0.8</v>
      </c>
      <c r="I107" s="17">
        <f t="shared" si="117"/>
        <v>77</v>
      </c>
      <c r="J107" s="30"/>
    </row>
    <row r="108" spans="1:10" ht="15.75" customHeight="1">
      <c r="A108" s="6">
        <v>21701</v>
      </c>
      <c r="B108" s="7" t="s">
        <v>15</v>
      </c>
      <c r="C108" s="7" t="s">
        <v>150</v>
      </c>
      <c r="D108" s="7" t="s">
        <v>151</v>
      </c>
      <c r="E108" s="8">
        <f t="shared" si="0"/>
        <v>8.9887640449438209</v>
      </c>
      <c r="F108" s="20">
        <v>8</v>
      </c>
      <c r="G108" s="17">
        <v>890</v>
      </c>
      <c r="H108" s="17">
        <f t="shared" ref="H108:I108" si="118">F108/5</f>
        <v>1.6</v>
      </c>
      <c r="I108" s="17">
        <f t="shared" si="118"/>
        <v>178</v>
      </c>
      <c r="J108" s="30"/>
    </row>
    <row r="109" spans="1:10" ht="15.75" customHeight="1">
      <c r="A109" s="6">
        <v>21702</v>
      </c>
      <c r="B109" s="7" t="s">
        <v>15</v>
      </c>
      <c r="C109" s="7" t="s">
        <v>150</v>
      </c>
      <c r="D109" s="7" t="s">
        <v>152</v>
      </c>
      <c r="E109" s="8">
        <f t="shared" si="0"/>
        <v>25.316455696202532</v>
      </c>
      <c r="F109" s="20">
        <v>10</v>
      </c>
      <c r="G109" s="17">
        <v>395</v>
      </c>
      <c r="H109" s="17">
        <f t="shared" ref="H109:I109" si="119">F109/5</f>
        <v>2</v>
      </c>
      <c r="I109" s="17">
        <f t="shared" si="119"/>
        <v>79</v>
      </c>
      <c r="J109" s="30"/>
    </row>
    <row r="110" spans="1:10" ht="15.75" customHeight="1">
      <c r="A110" s="6">
        <v>21703</v>
      </c>
      <c r="B110" s="7" t="s">
        <v>15</v>
      </c>
      <c r="C110" s="7" t="s">
        <v>150</v>
      </c>
      <c r="D110" s="7" t="s">
        <v>153</v>
      </c>
      <c r="E110" s="8">
        <f t="shared" si="0"/>
        <v>0</v>
      </c>
      <c r="F110" s="20">
        <v>0</v>
      </c>
      <c r="G110" s="17">
        <v>188</v>
      </c>
      <c r="H110" s="17">
        <f t="shared" ref="H110:I110" si="120">F110/5</f>
        <v>0</v>
      </c>
      <c r="I110" s="17">
        <f t="shared" si="120"/>
        <v>37.6</v>
      </c>
      <c r="J110" s="30"/>
    </row>
    <row r="111" spans="1:10" ht="15.75" customHeight="1">
      <c r="A111" s="6">
        <v>21801</v>
      </c>
      <c r="B111" s="7" t="s">
        <v>15</v>
      </c>
      <c r="C111" s="7" t="s">
        <v>154</v>
      </c>
      <c r="D111" s="7" t="s">
        <v>155</v>
      </c>
      <c r="E111" s="8">
        <f t="shared" si="0"/>
        <v>15.521064301552107</v>
      </c>
      <c r="F111" s="20">
        <v>7</v>
      </c>
      <c r="G111" s="17">
        <v>451</v>
      </c>
      <c r="H111" s="17">
        <f t="shared" ref="H111:I111" si="121">F111/5</f>
        <v>1.4</v>
      </c>
      <c r="I111" s="17">
        <f t="shared" si="121"/>
        <v>90.2</v>
      </c>
      <c r="J111" s="30"/>
    </row>
    <row r="112" spans="1:10" ht="15.75" customHeight="1">
      <c r="A112" s="6">
        <v>21802</v>
      </c>
      <c r="B112" s="7" t="s">
        <v>15</v>
      </c>
      <c r="C112" s="7" t="s">
        <v>156</v>
      </c>
      <c r="D112" s="7" t="s">
        <v>157</v>
      </c>
      <c r="E112" s="8">
        <f t="shared" si="0"/>
        <v>14.534883720930232</v>
      </c>
      <c r="F112" s="20">
        <v>5</v>
      </c>
      <c r="G112" s="17">
        <v>344</v>
      </c>
      <c r="H112" s="17">
        <f t="shared" ref="H112:I112" si="122">F112/5</f>
        <v>1</v>
      </c>
      <c r="I112" s="17">
        <f t="shared" si="122"/>
        <v>68.8</v>
      </c>
      <c r="J112" s="30"/>
    </row>
    <row r="113" spans="1:10" ht="15.75" customHeight="1">
      <c r="A113" s="6">
        <v>21803</v>
      </c>
      <c r="B113" s="7" t="s">
        <v>15</v>
      </c>
      <c r="C113" s="7" t="s">
        <v>156</v>
      </c>
      <c r="D113" s="7" t="s">
        <v>158</v>
      </c>
      <c r="E113" s="8">
        <f t="shared" si="0"/>
        <v>0</v>
      </c>
      <c r="F113" s="20">
        <v>0</v>
      </c>
      <c r="G113" s="17">
        <v>120</v>
      </c>
      <c r="H113" s="17">
        <f t="shared" ref="H113:I113" si="123">F113/5</f>
        <v>0</v>
      </c>
      <c r="I113" s="17">
        <f t="shared" si="123"/>
        <v>24</v>
      </c>
      <c r="J113" s="30"/>
    </row>
    <row r="114" spans="1:10" ht="15.75" customHeight="1">
      <c r="A114" s="6">
        <v>21901</v>
      </c>
      <c r="B114" s="7" t="s">
        <v>15</v>
      </c>
      <c r="C114" s="7" t="s">
        <v>159</v>
      </c>
      <c r="D114" s="7" t="s">
        <v>160</v>
      </c>
      <c r="E114" s="8">
        <f t="shared" si="0"/>
        <v>33.63914373088685</v>
      </c>
      <c r="F114" s="20">
        <v>11</v>
      </c>
      <c r="G114" s="17">
        <v>327</v>
      </c>
      <c r="H114" s="17">
        <f t="shared" ref="H114:I114" si="124">F114/5</f>
        <v>2.2000000000000002</v>
      </c>
      <c r="I114" s="17">
        <f t="shared" si="124"/>
        <v>65.400000000000006</v>
      </c>
      <c r="J114" s="30"/>
    </row>
    <row r="115" spans="1:10" ht="15.75" customHeight="1">
      <c r="A115" s="6">
        <v>21902</v>
      </c>
      <c r="B115" s="7" t="s">
        <v>15</v>
      </c>
      <c r="C115" s="7" t="s">
        <v>159</v>
      </c>
      <c r="D115" s="7" t="s">
        <v>161</v>
      </c>
      <c r="E115" s="8">
        <f t="shared" si="0"/>
        <v>3.0674846625766872</v>
      </c>
      <c r="F115" s="20">
        <v>1</v>
      </c>
      <c r="G115" s="17">
        <v>326</v>
      </c>
      <c r="H115" s="17">
        <f t="shared" ref="H115:I115" si="125">F115/5</f>
        <v>0.2</v>
      </c>
      <c r="I115" s="17">
        <f t="shared" si="125"/>
        <v>65.2</v>
      </c>
      <c r="J115" s="30"/>
    </row>
    <row r="116" spans="1:10" ht="15.75" customHeight="1">
      <c r="A116" s="6">
        <v>22001</v>
      </c>
      <c r="B116" s="7" t="s">
        <v>15</v>
      </c>
      <c r="C116" s="7" t="s">
        <v>162</v>
      </c>
      <c r="D116" s="7" t="s">
        <v>162</v>
      </c>
      <c r="E116" s="8">
        <f t="shared" si="0"/>
        <v>10.612894667020429</v>
      </c>
      <c r="F116" s="20">
        <v>40</v>
      </c>
      <c r="G116" s="17">
        <v>3769</v>
      </c>
      <c r="H116" s="17">
        <f t="shared" ref="H116:I116" si="126">F116/5</f>
        <v>8</v>
      </c>
      <c r="I116" s="17">
        <f t="shared" si="126"/>
        <v>753.8</v>
      </c>
      <c r="J116" s="30"/>
    </row>
    <row r="117" spans="1:10" ht="15.75" customHeight="1">
      <c r="A117" s="6">
        <v>22002</v>
      </c>
      <c r="B117" s="7" t="s">
        <v>15</v>
      </c>
      <c r="C117" s="7" t="s">
        <v>162</v>
      </c>
      <c r="D117" s="7" t="s">
        <v>163</v>
      </c>
      <c r="E117" s="8">
        <f t="shared" si="0"/>
        <v>17.543859649122805</v>
      </c>
      <c r="F117" s="20">
        <v>12</v>
      </c>
      <c r="G117" s="17">
        <v>684</v>
      </c>
      <c r="H117" s="17">
        <f t="shared" ref="H117:I117" si="127">F117/5</f>
        <v>2.4</v>
      </c>
      <c r="I117" s="17">
        <f t="shared" si="127"/>
        <v>136.80000000000001</v>
      </c>
      <c r="J117" s="30"/>
    </row>
    <row r="118" spans="1:10" ht="15.75" customHeight="1">
      <c r="A118" s="6">
        <v>30101</v>
      </c>
      <c r="B118" s="7" t="s">
        <v>17</v>
      </c>
      <c r="C118" s="7" t="s">
        <v>164</v>
      </c>
      <c r="D118" s="7" t="s">
        <v>17</v>
      </c>
      <c r="E118" s="8">
        <f t="shared" si="0"/>
        <v>7.9390366948117466</v>
      </c>
      <c r="F118" s="20">
        <v>299</v>
      </c>
      <c r="G118" s="17">
        <v>37662</v>
      </c>
      <c r="H118" s="17">
        <f t="shared" ref="H118:I118" si="128">F118/5</f>
        <v>59.8</v>
      </c>
      <c r="I118" s="17">
        <f t="shared" si="128"/>
        <v>7532.4</v>
      </c>
      <c r="J118" s="30"/>
    </row>
    <row r="119" spans="1:10" ht="15.75" customHeight="1">
      <c r="A119" s="6">
        <v>30201</v>
      </c>
      <c r="B119" s="7" t="s">
        <v>17</v>
      </c>
      <c r="C119" s="7" t="s">
        <v>165</v>
      </c>
      <c r="D119" s="7" t="s">
        <v>166</v>
      </c>
      <c r="E119" s="8">
        <f t="shared" si="0"/>
        <v>5.043227665706052</v>
      </c>
      <c r="F119" s="20">
        <v>7</v>
      </c>
      <c r="G119" s="17">
        <v>1388</v>
      </c>
      <c r="H119" s="17">
        <f t="shared" ref="H119:I119" si="129">F119/5</f>
        <v>1.4</v>
      </c>
      <c r="I119" s="17">
        <f t="shared" si="129"/>
        <v>277.60000000000002</v>
      </c>
      <c r="J119" s="30"/>
    </row>
    <row r="120" spans="1:10" ht="15.75" customHeight="1">
      <c r="A120" s="6">
        <v>30202</v>
      </c>
      <c r="B120" s="7" t="s">
        <v>17</v>
      </c>
      <c r="C120" s="7" t="s">
        <v>165</v>
      </c>
      <c r="D120" s="7" t="s">
        <v>167</v>
      </c>
      <c r="E120" s="8">
        <f t="shared" si="0"/>
        <v>3.1446540880503147</v>
      </c>
      <c r="F120" s="20">
        <v>1</v>
      </c>
      <c r="G120" s="17">
        <v>318</v>
      </c>
      <c r="H120" s="17">
        <f t="shared" ref="H120:I120" si="130">F120/5</f>
        <v>0.2</v>
      </c>
      <c r="I120" s="17">
        <f t="shared" si="130"/>
        <v>63.6</v>
      </c>
      <c r="J120" s="30"/>
    </row>
    <row r="121" spans="1:10" ht="15.75" customHeight="1">
      <c r="A121" s="6">
        <v>30203</v>
      </c>
      <c r="B121" s="7" t="s">
        <v>17</v>
      </c>
      <c r="C121" s="7" t="s">
        <v>165</v>
      </c>
      <c r="D121" s="7" t="s">
        <v>168</v>
      </c>
      <c r="E121" s="8">
        <f t="shared" si="0"/>
        <v>2.150537634408602</v>
      </c>
      <c r="F121" s="20">
        <v>1</v>
      </c>
      <c r="G121" s="17">
        <v>465</v>
      </c>
      <c r="H121" s="17">
        <f t="shared" ref="H121:I121" si="131">F121/5</f>
        <v>0.2</v>
      </c>
      <c r="I121" s="17">
        <f t="shared" si="131"/>
        <v>93</v>
      </c>
      <c r="J121" s="30"/>
    </row>
    <row r="122" spans="1:10" ht="15.75" customHeight="1">
      <c r="A122" s="6">
        <v>30301</v>
      </c>
      <c r="B122" s="7" t="s">
        <v>17</v>
      </c>
      <c r="C122" s="7" t="s">
        <v>169</v>
      </c>
      <c r="D122" s="7" t="s">
        <v>170</v>
      </c>
      <c r="E122" s="8">
        <f t="shared" si="0"/>
        <v>17.264276228419654</v>
      </c>
      <c r="F122" s="20">
        <v>26</v>
      </c>
      <c r="G122" s="17">
        <v>1506</v>
      </c>
      <c r="H122" s="17">
        <f t="shared" ref="H122:I122" si="132">F122/5</f>
        <v>5.2</v>
      </c>
      <c r="I122" s="17">
        <f t="shared" si="132"/>
        <v>301.2</v>
      </c>
      <c r="J122" s="30"/>
    </row>
    <row r="123" spans="1:10" ht="15.75" customHeight="1">
      <c r="A123" s="6">
        <v>30302</v>
      </c>
      <c r="B123" s="7" t="s">
        <v>17</v>
      </c>
      <c r="C123" s="7" t="s">
        <v>169</v>
      </c>
      <c r="D123" s="7" t="s">
        <v>171</v>
      </c>
      <c r="E123" s="8">
        <f t="shared" si="0"/>
        <v>13.071895424836601</v>
      </c>
      <c r="F123" s="20">
        <v>12</v>
      </c>
      <c r="G123" s="17">
        <v>918</v>
      </c>
      <c r="H123" s="17">
        <f t="shared" ref="H123:I123" si="133">F123/5</f>
        <v>2.4</v>
      </c>
      <c r="I123" s="17">
        <f t="shared" si="133"/>
        <v>183.6</v>
      </c>
      <c r="J123" s="30"/>
    </row>
    <row r="124" spans="1:10" ht="15.75" customHeight="1">
      <c r="A124" s="6">
        <v>30303</v>
      </c>
      <c r="B124" s="7" t="s">
        <v>17</v>
      </c>
      <c r="C124" s="7" t="s">
        <v>169</v>
      </c>
      <c r="D124" s="7" t="s">
        <v>172</v>
      </c>
      <c r="E124" s="8">
        <f t="shared" si="0"/>
        <v>26.867627785058978</v>
      </c>
      <c r="F124" s="20">
        <v>41</v>
      </c>
      <c r="G124" s="17">
        <v>1526</v>
      </c>
      <c r="H124" s="17">
        <f t="shared" ref="H124:I124" si="134">F124/5</f>
        <v>8.1999999999999993</v>
      </c>
      <c r="I124" s="17">
        <f t="shared" si="134"/>
        <v>305.2</v>
      </c>
      <c r="J124" s="30"/>
    </row>
    <row r="125" spans="1:10" ht="15.75" customHeight="1">
      <c r="A125" s="6">
        <v>30401</v>
      </c>
      <c r="B125" s="7" t="s">
        <v>17</v>
      </c>
      <c r="C125" s="7" t="s">
        <v>173</v>
      </c>
      <c r="D125" s="7" t="s">
        <v>174</v>
      </c>
      <c r="E125" s="8">
        <f t="shared" si="0"/>
        <v>15.895953757225433</v>
      </c>
      <c r="F125" s="20">
        <v>11</v>
      </c>
      <c r="G125" s="17">
        <v>692</v>
      </c>
      <c r="H125" s="17">
        <f t="shared" ref="H125:I125" si="135">F125/5</f>
        <v>2.2000000000000002</v>
      </c>
      <c r="I125" s="17">
        <f t="shared" si="135"/>
        <v>138.4</v>
      </c>
      <c r="J125" s="30"/>
    </row>
    <row r="126" spans="1:10" ht="15.75" customHeight="1">
      <c r="A126" s="6">
        <v>30402</v>
      </c>
      <c r="B126" s="7" t="s">
        <v>17</v>
      </c>
      <c r="C126" s="7" t="s">
        <v>173</v>
      </c>
      <c r="D126" s="7" t="s">
        <v>175</v>
      </c>
      <c r="E126" s="8">
        <f t="shared" si="0"/>
        <v>20</v>
      </c>
      <c r="F126" s="20">
        <v>8</v>
      </c>
      <c r="G126" s="17">
        <v>400</v>
      </c>
      <c r="H126" s="17">
        <f t="shared" ref="H126:I126" si="136">F126/5</f>
        <v>1.6</v>
      </c>
      <c r="I126" s="17">
        <f t="shared" si="136"/>
        <v>80</v>
      </c>
      <c r="J126" s="30"/>
    </row>
    <row r="127" spans="1:10" ht="15.75" customHeight="1">
      <c r="A127" s="6">
        <v>30403</v>
      </c>
      <c r="B127" s="7" t="s">
        <v>17</v>
      </c>
      <c r="C127" s="7" t="s">
        <v>173</v>
      </c>
      <c r="D127" s="7" t="s">
        <v>176</v>
      </c>
      <c r="E127" s="8">
        <f t="shared" si="0"/>
        <v>9.4542329179200681</v>
      </c>
      <c r="F127" s="20">
        <v>22</v>
      </c>
      <c r="G127" s="17">
        <v>2327</v>
      </c>
      <c r="H127" s="17">
        <f t="shared" ref="H127:I127" si="137">F127/5</f>
        <v>4.4000000000000004</v>
      </c>
      <c r="I127" s="17">
        <f t="shared" si="137"/>
        <v>465.4</v>
      </c>
      <c r="J127" s="30"/>
    </row>
    <row r="128" spans="1:10" ht="15.75" customHeight="1">
      <c r="A128" s="6">
        <v>30404</v>
      </c>
      <c r="B128" s="7" t="s">
        <v>17</v>
      </c>
      <c r="C128" s="7" t="s">
        <v>173</v>
      </c>
      <c r="D128" s="7" t="s">
        <v>177</v>
      </c>
      <c r="E128" s="8">
        <f t="shared" si="0"/>
        <v>24.822695035460995</v>
      </c>
      <c r="F128" s="20">
        <v>7</v>
      </c>
      <c r="G128" s="17">
        <v>282</v>
      </c>
      <c r="H128" s="17">
        <f t="shared" ref="H128:I128" si="138">F128/5</f>
        <v>1.4</v>
      </c>
      <c r="I128" s="17">
        <f t="shared" si="138"/>
        <v>56.4</v>
      </c>
      <c r="J128" s="30"/>
    </row>
    <row r="129" spans="1:10" ht="15.75" customHeight="1">
      <c r="A129" s="6">
        <v>30501</v>
      </c>
      <c r="B129" s="7" t="s">
        <v>17</v>
      </c>
      <c r="C129" s="7" t="s">
        <v>178</v>
      </c>
      <c r="D129" s="7" t="s">
        <v>178</v>
      </c>
      <c r="E129" s="8">
        <f t="shared" si="0"/>
        <v>16.051364365971107</v>
      </c>
      <c r="F129" s="20">
        <v>10</v>
      </c>
      <c r="G129" s="17">
        <v>623</v>
      </c>
      <c r="H129" s="17">
        <f t="shared" ref="H129:I129" si="139">F129/5</f>
        <v>2</v>
      </c>
      <c r="I129" s="17">
        <f t="shared" si="139"/>
        <v>124.6</v>
      </c>
      <c r="J129" s="30"/>
    </row>
    <row r="130" spans="1:10" ht="15.75" customHeight="1">
      <c r="A130" s="6">
        <v>30502</v>
      </c>
      <c r="B130" s="7" t="s">
        <v>17</v>
      </c>
      <c r="C130" s="7" t="s">
        <v>178</v>
      </c>
      <c r="D130" s="7" t="s">
        <v>179</v>
      </c>
      <c r="E130" s="8">
        <f t="shared" si="0"/>
        <v>18.348623853211009</v>
      </c>
      <c r="F130" s="20">
        <v>8</v>
      </c>
      <c r="G130" s="17">
        <v>436</v>
      </c>
      <c r="H130" s="17">
        <f t="shared" ref="H130:I130" si="140">F130/5</f>
        <v>1.6</v>
      </c>
      <c r="I130" s="17">
        <f t="shared" si="140"/>
        <v>87.2</v>
      </c>
      <c r="J130" s="30"/>
    </row>
    <row r="131" spans="1:10" ht="15.75" customHeight="1">
      <c r="A131" s="6">
        <v>30601</v>
      </c>
      <c r="B131" s="7" t="s">
        <v>17</v>
      </c>
      <c r="C131" s="7" t="s">
        <v>180</v>
      </c>
      <c r="D131" s="7" t="s">
        <v>180</v>
      </c>
      <c r="E131" s="8">
        <f t="shared" si="0"/>
        <v>25.815217391304348</v>
      </c>
      <c r="F131" s="20">
        <v>19</v>
      </c>
      <c r="G131" s="17">
        <v>736</v>
      </c>
      <c r="H131" s="17">
        <f t="shared" ref="H131:I131" si="141">F131/5</f>
        <v>3.8</v>
      </c>
      <c r="I131" s="17">
        <f t="shared" si="141"/>
        <v>147.19999999999999</v>
      </c>
      <c r="J131" s="30"/>
    </row>
    <row r="132" spans="1:10" ht="15.75" customHeight="1">
      <c r="A132" s="6">
        <v>30602</v>
      </c>
      <c r="B132" s="7" t="s">
        <v>17</v>
      </c>
      <c r="C132" s="7" t="s">
        <v>180</v>
      </c>
      <c r="D132" s="7" t="s">
        <v>181</v>
      </c>
      <c r="E132" s="8">
        <f t="shared" si="0"/>
        <v>20.446096654275092</v>
      </c>
      <c r="F132" s="20">
        <v>11</v>
      </c>
      <c r="G132" s="17">
        <v>538</v>
      </c>
      <c r="H132" s="17">
        <f t="shared" ref="H132:I132" si="142">F132/5</f>
        <v>2.2000000000000002</v>
      </c>
      <c r="I132" s="17">
        <f t="shared" si="142"/>
        <v>107.6</v>
      </c>
      <c r="J132" s="30"/>
    </row>
    <row r="133" spans="1:10" ht="15.75" customHeight="1">
      <c r="A133" s="6">
        <v>30701</v>
      </c>
      <c r="B133" s="7" t="s">
        <v>17</v>
      </c>
      <c r="C133" s="7" t="s">
        <v>182</v>
      </c>
      <c r="D133" s="7" t="s">
        <v>182</v>
      </c>
      <c r="E133" s="8">
        <f t="shared" si="0"/>
        <v>14.296463506395787</v>
      </c>
      <c r="F133" s="20">
        <v>19</v>
      </c>
      <c r="G133" s="17">
        <v>1329</v>
      </c>
      <c r="H133" s="17">
        <f t="shared" ref="H133:I133" si="143">F133/5</f>
        <v>3.8</v>
      </c>
      <c r="I133" s="17">
        <f t="shared" si="143"/>
        <v>265.8</v>
      </c>
      <c r="J133" s="30"/>
    </row>
    <row r="134" spans="1:10" ht="15.75" customHeight="1">
      <c r="A134" s="6">
        <v>30702</v>
      </c>
      <c r="B134" s="7" t="s">
        <v>17</v>
      </c>
      <c r="C134" s="7" t="s">
        <v>182</v>
      </c>
      <c r="D134" s="7" t="s">
        <v>183</v>
      </c>
      <c r="E134" s="8">
        <f t="shared" si="0"/>
        <v>8.0321285140562235</v>
      </c>
      <c r="F134" s="20">
        <v>4</v>
      </c>
      <c r="G134" s="17">
        <v>498</v>
      </c>
      <c r="H134" s="17">
        <f t="shared" ref="H134:I134" si="144">F134/5</f>
        <v>0.8</v>
      </c>
      <c r="I134" s="17">
        <f t="shared" si="144"/>
        <v>99.6</v>
      </c>
      <c r="J134" s="30"/>
    </row>
    <row r="135" spans="1:10" ht="15.75" customHeight="1">
      <c r="A135" s="6">
        <v>30703</v>
      </c>
      <c r="B135" s="7" t="s">
        <v>17</v>
      </c>
      <c r="C135" s="7" t="s">
        <v>182</v>
      </c>
      <c r="D135" s="7" t="s">
        <v>184</v>
      </c>
      <c r="E135" s="8">
        <f t="shared" si="0"/>
        <v>0</v>
      </c>
      <c r="F135" s="20">
        <v>0</v>
      </c>
      <c r="G135" s="17">
        <v>288</v>
      </c>
      <c r="H135" s="17">
        <f t="shared" ref="H135:I135" si="145">F135/5</f>
        <v>0</v>
      </c>
      <c r="I135" s="17">
        <f t="shared" si="145"/>
        <v>57.6</v>
      </c>
      <c r="J135" s="30"/>
    </row>
    <row r="136" spans="1:10" ht="15.75" customHeight="1">
      <c r="A136" s="6">
        <v>30801</v>
      </c>
      <c r="B136" s="7" t="s">
        <v>17</v>
      </c>
      <c r="C136" s="7" t="s">
        <v>185</v>
      </c>
      <c r="D136" s="7" t="s">
        <v>186</v>
      </c>
      <c r="E136" s="8">
        <f t="shared" si="0"/>
        <v>4.8701298701298699</v>
      </c>
      <c r="F136" s="20">
        <v>6</v>
      </c>
      <c r="G136" s="17">
        <v>1232</v>
      </c>
      <c r="H136" s="17">
        <f t="shared" ref="H136:I136" si="146">F136/5</f>
        <v>1.2</v>
      </c>
      <c r="I136" s="17">
        <f t="shared" si="146"/>
        <v>246.4</v>
      </c>
      <c r="J136" s="30"/>
    </row>
    <row r="137" spans="1:10" ht="15.75" customHeight="1">
      <c r="A137" s="6">
        <v>30802</v>
      </c>
      <c r="B137" s="7" t="s">
        <v>17</v>
      </c>
      <c r="C137" s="7" t="s">
        <v>185</v>
      </c>
      <c r="D137" s="7" t="s">
        <v>187</v>
      </c>
      <c r="E137" s="8">
        <f t="shared" si="0"/>
        <v>18.087855297157621</v>
      </c>
      <c r="F137" s="20">
        <v>7</v>
      </c>
      <c r="G137" s="17">
        <v>387</v>
      </c>
      <c r="H137" s="17">
        <f t="shared" ref="H137:I137" si="147">F137/5</f>
        <v>1.4</v>
      </c>
      <c r="I137" s="17">
        <f t="shared" si="147"/>
        <v>77.400000000000006</v>
      </c>
      <c r="J137" s="30"/>
    </row>
    <row r="138" spans="1:10" ht="15.75" customHeight="1">
      <c r="A138" s="6">
        <v>30803</v>
      </c>
      <c r="B138" s="7" t="s">
        <v>17</v>
      </c>
      <c r="C138" s="7" t="s">
        <v>185</v>
      </c>
      <c r="D138" s="7" t="s">
        <v>188</v>
      </c>
      <c r="E138" s="8">
        <f t="shared" si="0"/>
        <v>18.903591682419659</v>
      </c>
      <c r="F138" s="20">
        <v>10</v>
      </c>
      <c r="G138" s="17">
        <v>529</v>
      </c>
      <c r="H138" s="17">
        <f t="shared" ref="H138:I138" si="148">F138/5</f>
        <v>2</v>
      </c>
      <c r="I138" s="17">
        <f t="shared" si="148"/>
        <v>105.8</v>
      </c>
      <c r="J138" s="30"/>
    </row>
    <row r="139" spans="1:10" ht="15.75" customHeight="1">
      <c r="A139" s="6">
        <v>30901</v>
      </c>
      <c r="B139" s="7" t="s">
        <v>17</v>
      </c>
      <c r="C139" s="7" t="s">
        <v>189</v>
      </c>
      <c r="D139" s="7" t="s">
        <v>189</v>
      </c>
      <c r="E139" s="8">
        <f t="shared" si="0"/>
        <v>6.7809380297607831</v>
      </c>
      <c r="F139" s="20">
        <v>72</v>
      </c>
      <c r="G139" s="17">
        <v>10618</v>
      </c>
      <c r="H139" s="17">
        <f t="shared" ref="H139:I139" si="149">F139/5</f>
        <v>14.4</v>
      </c>
      <c r="I139" s="17">
        <f t="shared" si="149"/>
        <v>2123.6</v>
      </c>
      <c r="J139" s="30"/>
    </row>
    <row r="140" spans="1:10" ht="15.75" customHeight="1">
      <c r="A140" s="6">
        <v>30902</v>
      </c>
      <c r="B140" s="7" t="s">
        <v>17</v>
      </c>
      <c r="C140" s="7" t="s">
        <v>189</v>
      </c>
      <c r="D140" s="7" t="s">
        <v>190</v>
      </c>
      <c r="E140" s="8">
        <f t="shared" si="0"/>
        <v>10.658016682113068</v>
      </c>
      <c r="F140" s="20">
        <v>46</v>
      </c>
      <c r="G140" s="17">
        <v>4316</v>
      </c>
      <c r="H140" s="17">
        <f t="shared" ref="H140:I140" si="150">F140/5</f>
        <v>9.1999999999999993</v>
      </c>
      <c r="I140" s="17">
        <f t="shared" si="150"/>
        <v>863.2</v>
      </c>
      <c r="J140" s="30"/>
    </row>
    <row r="141" spans="1:10" ht="15.75" customHeight="1">
      <c r="A141" s="6">
        <v>30903</v>
      </c>
      <c r="B141" s="7" t="s">
        <v>17</v>
      </c>
      <c r="C141" s="7" t="s">
        <v>189</v>
      </c>
      <c r="D141" s="7" t="s">
        <v>191</v>
      </c>
      <c r="E141" s="8">
        <f t="shared" si="0"/>
        <v>7.8697421981004068</v>
      </c>
      <c r="F141" s="20">
        <v>29</v>
      </c>
      <c r="G141" s="17">
        <v>3685</v>
      </c>
      <c r="H141" s="17">
        <f t="shared" ref="H141:I141" si="151">F141/5</f>
        <v>5.8</v>
      </c>
      <c r="I141" s="17">
        <f t="shared" si="151"/>
        <v>737</v>
      </c>
      <c r="J141" s="30"/>
    </row>
    <row r="142" spans="1:10" ht="15.75" customHeight="1">
      <c r="A142" s="6">
        <v>30904</v>
      </c>
      <c r="B142" s="7" t="s">
        <v>17</v>
      </c>
      <c r="C142" s="7" t="s">
        <v>189</v>
      </c>
      <c r="D142" s="7" t="s">
        <v>192</v>
      </c>
      <c r="E142" s="8">
        <f t="shared" si="0"/>
        <v>6.7514931186704752</v>
      </c>
      <c r="F142" s="20">
        <v>26</v>
      </c>
      <c r="G142" s="17">
        <v>3851</v>
      </c>
      <c r="H142" s="17">
        <f t="shared" ref="H142:I142" si="152">F142/5</f>
        <v>5.2</v>
      </c>
      <c r="I142" s="17">
        <f t="shared" si="152"/>
        <v>770.2</v>
      </c>
      <c r="J142" s="30"/>
    </row>
    <row r="143" spans="1:10" ht="15.75" customHeight="1">
      <c r="A143" s="6">
        <v>30905</v>
      </c>
      <c r="B143" s="7" t="s">
        <v>17</v>
      </c>
      <c r="C143" s="7" t="s">
        <v>189</v>
      </c>
      <c r="D143" s="7" t="s">
        <v>193</v>
      </c>
      <c r="E143" s="8">
        <f t="shared" si="0"/>
        <v>6.6934404283801872</v>
      </c>
      <c r="F143" s="20">
        <v>25</v>
      </c>
      <c r="G143" s="17">
        <v>3735</v>
      </c>
      <c r="H143" s="17">
        <f t="shared" ref="H143:I143" si="153">F143/5</f>
        <v>5</v>
      </c>
      <c r="I143" s="17">
        <f t="shared" si="153"/>
        <v>747</v>
      </c>
      <c r="J143" s="30"/>
    </row>
    <row r="144" spans="1:10" ht="15.75" customHeight="1">
      <c r="A144" s="6">
        <v>31001</v>
      </c>
      <c r="B144" s="7" t="s">
        <v>17</v>
      </c>
      <c r="C144" s="7" t="s">
        <v>194</v>
      </c>
      <c r="D144" s="7" t="s">
        <v>195</v>
      </c>
      <c r="E144" s="8">
        <f t="shared" si="0"/>
        <v>7.9400088222320235</v>
      </c>
      <c r="F144" s="20">
        <v>108</v>
      </c>
      <c r="G144" s="17">
        <v>13602</v>
      </c>
      <c r="H144" s="17">
        <f t="shared" ref="H144:I144" si="154">F144/5</f>
        <v>21.6</v>
      </c>
      <c r="I144" s="17">
        <f t="shared" si="154"/>
        <v>2720.4</v>
      </c>
      <c r="J144" s="30"/>
    </row>
    <row r="145" spans="1:10" ht="15.75" customHeight="1">
      <c r="A145" s="6">
        <v>31002</v>
      </c>
      <c r="B145" s="7" t="s">
        <v>17</v>
      </c>
      <c r="C145" s="7" t="s">
        <v>194</v>
      </c>
      <c r="D145" s="7" t="s">
        <v>196</v>
      </c>
      <c r="E145" s="8">
        <f t="shared" si="0"/>
        <v>14.78743068391867</v>
      </c>
      <c r="F145" s="20">
        <v>24</v>
      </c>
      <c r="G145" s="17">
        <v>1623</v>
      </c>
      <c r="H145" s="17">
        <f t="shared" ref="H145:I145" si="155">F145/5</f>
        <v>4.8</v>
      </c>
      <c r="I145" s="17">
        <f t="shared" si="155"/>
        <v>324.60000000000002</v>
      </c>
      <c r="J145" s="30"/>
    </row>
    <row r="146" spans="1:10" ht="15.75" customHeight="1">
      <c r="A146" s="6">
        <v>31003</v>
      </c>
      <c r="B146" s="7" t="s">
        <v>17</v>
      </c>
      <c r="C146" s="7" t="s">
        <v>194</v>
      </c>
      <c r="D146" s="7" t="s">
        <v>197</v>
      </c>
      <c r="E146" s="8">
        <f t="shared" si="0"/>
        <v>15.521358450517379</v>
      </c>
      <c r="F146" s="20">
        <v>117</v>
      </c>
      <c r="G146" s="17">
        <v>7538</v>
      </c>
      <c r="H146" s="17">
        <f t="shared" ref="H146:I146" si="156">F146/5</f>
        <v>23.4</v>
      </c>
      <c r="I146" s="17">
        <f t="shared" si="156"/>
        <v>1507.6</v>
      </c>
      <c r="J146" s="30"/>
    </row>
    <row r="147" spans="1:10" ht="15.75" customHeight="1">
      <c r="A147" s="6">
        <v>31101</v>
      </c>
      <c r="B147" s="7" t="s">
        <v>17</v>
      </c>
      <c r="C147" s="7" t="s">
        <v>198</v>
      </c>
      <c r="D147" s="7" t="s">
        <v>198</v>
      </c>
      <c r="E147" s="8">
        <f t="shared" si="0"/>
        <v>29.258777633289988</v>
      </c>
      <c r="F147" s="20">
        <v>45</v>
      </c>
      <c r="G147" s="17">
        <v>1538</v>
      </c>
      <c r="H147" s="17">
        <f t="shared" ref="H147:I147" si="157">F147/5</f>
        <v>9</v>
      </c>
      <c r="I147" s="17">
        <f t="shared" si="157"/>
        <v>307.60000000000002</v>
      </c>
      <c r="J147" s="30"/>
    </row>
    <row r="148" spans="1:10" ht="15.75" customHeight="1">
      <c r="A148" s="6">
        <v>31201</v>
      </c>
      <c r="B148" s="7" t="s">
        <v>17</v>
      </c>
      <c r="C148" s="7" t="s">
        <v>199</v>
      </c>
      <c r="D148" s="7" t="s">
        <v>200</v>
      </c>
      <c r="E148" s="8">
        <f t="shared" si="0"/>
        <v>11.952191235059761</v>
      </c>
      <c r="F148" s="20">
        <v>15</v>
      </c>
      <c r="G148" s="17">
        <v>1255</v>
      </c>
      <c r="H148" s="17">
        <f t="shared" ref="H148:I148" si="158">F148/5</f>
        <v>3</v>
      </c>
      <c r="I148" s="17">
        <f t="shared" si="158"/>
        <v>251</v>
      </c>
      <c r="J148" s="30"/>
    </row>
    <row r="149" spans="1:10" ht="15.75" customHeight="1">
      <c r="A149" s="6">
        <v>31202</v>
      </c>
      <c r="B149" s="7" t="s">
        <v>17</v>
      </c>
      <c r="C149" s="7" t="s">
        <v>199</v>
      </c>
      <c r="D149" s="7" t="s">
        <v>201</v>
      </c>
      <c r="E149" s="8">
        <f t="shared" si="0"/>
        <v>8.8202866593164284</v>
      </c>
      <c r="F149" s="20">
        <v>8</v>
      </c>
      <c r="G149" s="17">
        <v>907</v>
      </c>
      <c r="H149" s="17">
        <f t="shared" ref="H149:I149" si="159">F149/5</f>
        <v>1.6</v>
      </c>
      <c r="I149" s="17">
        <f t="shared" si="159"/>
        <v>181.4</v>
      </c>
      <c r="J149" s="30"/>
    </row>
    <row r="150" spans="1:10" ht="15.75" customHeight="1">
      <c r="A150" s="6">
        <v>31203</v>
      </c>
      <c r="B150" s="7" t="s">
        <v>17</v>
      </c>
      <c r="C150" s="7" t="s">
        <v>199</v>
      </c>
      <c r="D150" s="7" t="s">
        <v>202</v>
      </c>
      <c r="E150" s="8">
        <f t="shared" si="0"/>
        <v>13.003901170351105</v>
      </c>
      <c r="F150" s="20">
        <v>10</v>
      </c>
      <c r="G150" s="17">
        <v>769</v>
      </c>
      <c r="H150" s="17">
        <f t="shared" ref="H150:I150" si="160">F150/5</f>
        <v>2</v>
      </c>
      <c r="I150" s="17">
        <f t="shared" si="160"/>
        <v>153.80000000000001</v>
      </c>
      <c r="J150" s="30"/>
    </row>
    <row r="151" spans="1:10" ht="15.75" customHeight="1">
      <c r="A151" s="6">
        <v>31204</v>
      </c>
      <c r="B151" s="7" t="s">
        <v>17</v>
      </c>
      <c r="C151" s="7" t="s">
        <v>199</v>
      </c>
      <c r="D151" s="7" t="s">
        <v>203</v>
      </c>
      <c r="E151" s="8">
        <f t="shared" si="0"/>
        <v>14.331946370781322</v>
      </c>
      <c r="F151" s="20">
        <v>31</v>
      </c>
      <c r="G151" s="17">
        <v>2163</v>
      </c>
      <c r="H151" s="17">
        <f t="shared" ref="H151:I151" si="161">F151/5</f>
        <v>6.2</v>
      </c>
      <c r="I151" s="17">
        <f t="shared" si="161"/>
        <v>432.6</v>
      </c>
      <c r="J151" s="30"/>
    </row>
    <row r="152" spans="1:10" ht="15.75" customHeight="1">
      <c r="A152" s="6">
        <v>31205</v>
      </c>
      <c r="B152" s="7" t="s">
        <v>17</v>
      </c>
      <c r="C152" s="7" t="s">
        <v>199</v>
      </c>
      <c r="D152" s="7" t="s">
        <v>204</v>
      </c>
      <c r="E152" s="8">
        <f t="shared" si="0"/>
        <v>10.830999066293183</v>
      </c>
      <c r="F152" s="20">
        <v>58</v>
      </c>
      <c r="G152" s="17">
        <v>5355</v>
      </c>
      <c r="H152" s="17">
        <f t="shared" ref="H152:I152" si="162">F152/5</f>
        <v>11.6</v>
      </c>
      <c r="I152" s="17">
        <f t="shared" si="162"/>
        <v>1071</v>
      </c>
      <c r="J152" s="30"/>
    </row>
    <row r="153" spans="1:10" ht="15.75" customHeight="1">
      <c r="A153" s="6">
        <v>31206</v>
      </c>
      <c r="B153" s="7" t="s">
        <v>17</v>
      </c>
      <c r="C153" s="7" t="s">
        <v>199</v>
      </c>
      <c r="D153" s="7" t="s">
        <v>205</v>
      </c>
      <c r="E153" s="8">
        <f t="shared" si="0"/>
        <v>9.9515868746637981</v>
      </c>
      <c r="F153" s="20">
        <v>37</v>
      </c>
      <c r="G153" s="17">
        <v>3718</v>
      </c>
      <c r="H153" s="17">
        <f t="shared" ref="H153:I153" si="163">F153/5</f>
        <v>7.4</v>
      </c>
      <c r="I153" s="17">
        <f t="shared" si="163"/>
        <v>743.6</v>
      </c>
      <c r="J153" s="30"/>
    </row>
    <row r="154" spans="1:10" ht="15.75" customHeight="1">
      <c r="A154" s="6">
        <v>31301</v>
      </c>
      <c r="B154" s="7" t="s">
        <v>17</v>
      </c>
      <c r="C154" s="7" t="s">
        <v>206</v>
      </c>
      <c r="D154" s="7" t="s">
        <v>206</v>
      </c>
      <c r="E154" s="8">
        <f t="shared" si="0"/>
        <v>9.3727469358327316</v>
      </c>
      <c r="F154" s="20">
        <v>13</v>
      </c>
      <c r="G154" s="17">
        <v>1387</v>
      </c>
      <c r="H154" s="17">
        <f t="shared" ref="H154:I154" si="164">F154/5</f>
        <v>2.6</v>
      </c>
      <c r="I154" s="17">
        <f t="shared" si="164"/>
        <v>277.39999999999998</v>
      </c>
      <c r="J154" s="30"/>
    </row>
    <row r="155" spans="1:10" ht="15.75" customHeight="1">
      <c r="A155" s="6">
        <v>31302</v>
      </c>
      <c r="B155" s="7" t="s">
        <v>17</v>
      </c>
      <c r="C155" s="7" t="s">
        <v>206</v>
      </c>
      <c r="D155" s="7" t="s">
        <v>207</v>
      </c>
      <c r="E155" s="8">
        <f t="shared" si="0"/>
        <v>23.188405797101449</v>
      </c>
      <c r="F155" s="20">
        <v>8</v>
      </c>
      <c r="G155" s="17">
        <v>345</v>
      </c>
      <c r="H155" s="17">
        <f t="shared" ref="H155:I155" si="165">F155/5</f>
        <v>1.6</v>
      </c>
      <c r="I155" s="17">
        <f t="shared" si="165"/>
        <v>69</v>
      </c>
      <c r="J155" s="30"/>
    </row>
    <row r="156" spans="1:10" ht="15.75" customHeight="1">
      <c r="A156" s="6">
        <v>31303</v>
      </c>
      <c r="B156" s="7" t="s">
        <v>17</v>
      </c>
      <c r="C156" s="7" t="s">
        <v>206</v>
      </c>
      <c r="D156" s="7" t="s">
        <v>208</v>
      </c>
      <c r="E156" s="8">
        <f t="shared" si="0"/>
        <v>0</v>
      </c>
      <c r="F156" s="20">
        <v>0</v>
      </c>
      <c r="G156" s="17">
        <v>206</v>
      </c>
      <c r="H156" s="17">
        <f t="shared" ref="H156:I156" si="166">F156/5</f>
        <v>0</v>
      </c>
      <c r="I156" s="17">
        <f t="shared" si="166"/>
        <v>41.2</v>
      </c>
      <c r="J156" s="30"/>
    </row>
    <row r="157" spans="1:10" ht="15.75" customHeight="1">
      <c r="A157" s="19">
        <v>31304</v>
      </c>
      <c r="B157" s="7" t="s">
        <v>17</v>
      </c>
      <c r="C157" s="7" t="s">
        <v>206</v>
      </c>
      <c r="D157" s="7" t="s">
        <v>209</v>
      </c>
      <c r="E157" s="8">
        <f t="shared" si="0"/>
        <v>34.285714285714285</v>
      </c>
      <c r="F157" s="20">
        <v>18</v>
      </c>
      <c r="G157" s="17">
        <v>525</v>
      </c>
      <c r="H157" s="17">
        <f t="shared" ref="H157:I157" si="167">F157/5</f>
        <v>3.6</v>
      </c>
      <c r="I157" s="17">
        <f t="shared" si="167"/>
        <v>105</v>
      </c>
      <c r="J157" s="30"/>
    </row>
    <row r="158" spans="1:10" ht="15.75" customHeight="1">
      <c r="A158" s="6">
        <v>31401</v>
      </c>
      <c r="B158" s="7" t="s">
        <v>17</v>
      </c>
      <c r="C158" s="7" t="s">
        <v>210</v>
      </c>
      <c r="D158" s="7" t="s">
        <v>210</v>
      </c>
      <c r="E158" s="8">
        <f t="shared" si="0"/>
        <v>10.218300046446819</v>
      </c>
      <c r="F158" s="20">
        <v>22</v>
      </c>
      <c r="G158" s="17">
        <v>2153</v>
      </c>
      <c r="H158" s="17">
        <f t="shared" ref="H158:I158" si="168">F158/5</f>
        <v>4.4000000000000004</v>
      </c>
      <c r="I158" s="17">
        <f t="shared" si="168"/>
        <v>430.6</v>
      </c>
      <c r="J158" s="30"/>
    </row>
    <row r="159" spans="1:10" ht="15.75" customHeight="1">
      <c r="A159" s="6">
        <v>31402</v>
      </c>
      <c r="B159" s="7" t="s">
        <v>17</v>
      </c>
      <c r="C159" s="7" t="s">
        <v>210</v>
      </c>
      <c r="D159" s="7" t="s">
        <v>211</v>
      </c>
      <c r="E159" s="8">
        <f t="shared" si="0"/>
        <v>9.1575091575091587</v>
      </c>
      <c r="F159" s="20">
        <v>5</v>
      </c>
      <c r="G159" s="17">
        <v>546</v>
      </c>
      <c r="H159" s="17">
        <f t="shared" ref="H159:I159" si="169">F159/5</f>
        <v>1</v>
      </c>
      <c r="I159" s="17">
        <f t="shared" si="169"/>
        <v>109.2</v>
      </c>
      <c r="J159" s="30"/>
    </row>
    <row r="160" spans="1:10" ht="15.75" customHeight="1">
      <c r="A160" s="6">
        <v>31403</v>
      </c>
      <c r="B160" s="7" t="s">
        <v>17</v>
      </c>
      <c r="C160" s="7" t="s">
        <v>210</v>
      </c>
      <c r="D160" s="7" t="s">
        <v>212</v>
      </c>
      <c r="E160" s="8">
        <f t="shared" si="0"/>
        <v>11.363636363636363</v>
      </c>
      <c r="F160" s="20">
        <v>9</v>
      </c>
      <c r="G160" s="17">
        <v>792</v>
      </c>
      <c r="H160" s="17">
        <f t="shared" ref="H160:I160" si="170">F160/5</f>
        <v>1.8</v>
      </c>
      <c r="I160" s="17">
        <f t="shared" si="170"/>
        <v>158.4</v>
      </c>
      <c r="J160" s="30"/>
    </row>
    <row r="161" spans="1:10" ht="15.75" customHeight="1">
      <c r="A161" s="6">
        <v>31404</v>
      </c>
      <c r="B161" s="7" t="s">
        <v>17</v>
      </c>
      <c r="C161" s="7" t="s">
        <v>210</v>
      </c>
      <c r="D161" s="7" t="s">
        <v>213</v>
      </c>
      <c r="E161" s="8">
        <f t="shared" si="0"/>
        <v>14.492753623188406</v>
      </c>
      <c r="F161" s="20">
        <v>1</v>
      </c>
      <c r="G161" s="17">
        <v>69</v>
      </c>
      <c r="H161" s="17">
        <f t="shared" ref="H161:I161" si="171">F161/5</f>
        <v>0.2</v>
      </c>
      <c r="I161" s="17">
        <f t="shared" si="171"/>
        <v>13.8</v>
      </c>
      <c r="J161" s="30"/>
    </row>
    <row r="162" spans="1:10" ht="15.75" customHeight="1">
      <c r="A162" s="6">
        <v>31405</v>
      </c>
      <c r="B162" s="7" t="s">
        <v>17</v>
      </c>
      <c r="C162" s="7" t="s">
        <v>210</v>
      </c>
      <c r="D162" s="7" t="s">
        <v>214</v>
      </c>
      <c r="E162" s="8">
        <f t="shared" si="0"/>
        <v>0</v>
      </c>
      <c r="F162" s="20">
        <v>0</v>
      </c>
      <c r="G162" s="17">
        <v>187</v>
      </c>
      <c r="H162" s="17">
        <f t="shared" ref="H162:I162" si="172">F162/5</f>
        <v>0</v>
      </c>
      <c r="I162" s="17">
        <f t="shared" si="172"/>
        <v>37.4</v>
      </c>
      <c r="J162" s="30"/>
    </row>
    <row r="163" spans="1:10" ht="15.75" customHeight="1">
      <c r="A163" s="6">
        <v>31501</v>
      </c>
      <c r="B163" s="7" t="s">
        <v>17</v>
      </c>
      <c r="C163" s="7" t="s">
        <v>215</v>
      </c>
      <c r="D163" s="7" t="s">
        <v>215</v>
      </c>
      <c r="E163" s="8">
        <f t="shared" si="0"/>
        <v>52.631578947368418</v>
      </c>
      <c r="F163" s="20">
        <v>24</v>
      </c>
      <c r="G163" s="17">
        <v>456</v>
      </c>
      <c r="H163" s="17">
        <f t="shared" ref="H163:I163" si="173">F163/5</f>
        <v>4.8</v>
      </c>
      <c r="I163" s="17">
        <f t="shared" si="173"/>
        <v>91.2</v>
      </c>
      <c r="J163" s="30"/>
    </row>
    <row r="164" spans="1:10" ht="15.75" customHeight="1">
      <c r="A164" s="6">
        <v>31601</v>
      </c>
      <c r="B164" s="7" t="s">
        <v>17</v>
      </c>
      <c r="C164" s="7" t="s">
        <v>216</v>
      </c>
      <c r="D164" s="7" t="s">
        <v>216</v>
      </c>
      <c r="E164" s="8">
        <f t="shared" si="0"/>
        <v>11.168384879725085</v>
      </c>
      <c r="F164" s="20">
        <v>13</v>
      </c>
      <c r="G164" s="17">
        <v>1164</v>
      </c>
      <c r="H164" s="17">
        <f t="shared" ref="H164:I164" si="174">F164/5</f>
        <v>2.6</v>
      </c>
      <c r="I164" s="17">
        <f t="shared" si="174"/>
        <v>232.8</v>
      </c>
      <c r="J164" s="30"/>
    </row>
    <row r="165" spans="1:10" ht="15.75" customHeight="1">
      <c r="A165" s="6">
        <v>31602</v>
      </c>
      <c r="B165" s="7" t="s">
        <v>17</v>
      </c>
      <c r="C165" s="7" t="s">
        <v>216</v>
      </c>
      <c r="D165" s="7" t="s">
        <v>217</v>
      </c>
      <c r="E165" s="8">
        <f t="shared" si="0"/>
        <v>11.477761836441895</v>
      </c>
      <c r="F165" s="20">
        <v>24</v>
      </c>
      <c r="G165" s="17">
        <v>2091</v>
      </c>
      <c r="H165" s="17">
        <f t="shared" ref="H165:I165" si="175">F165/5</f>
        <v>4.8</v>
      </c>
      <c r="I165" s="17">
        <f t="shared" si="175"/>
        <v>418.2</v>
      </c>
      <c r="J165" s="30"/>
    </row>
    <row r="166" spans="1:10" ht="15.75" customHeight="1">
      <c r="A166" s="6">
        <v>40101</v>
      </c>
      <c r="B166" s="7" t="s">
        <v>20</v>
      </c>
      <c r="C166" s="7" t="s">
        <v>164</v>
      </c>
      <c r="D166" s="7" t="s">
        <v>20</v>
      </c>
      <c r="E166" s="8">
        <f t="shared" si="0"/>
        <v>12.661485408410108</v>
      </c>
      <c r="F166" s="20">
        <v>246</v>
      </c>
      <c r="G166" s="17">
        <v>19429</v>
      </c>
      <c r="H166" s="17">
        <f t="shared" ref="H166:I166" si="176">F166/5</f>
        <v>49.2</v>
      </c>
      <c r="I166" s="17">
        <f t="shared" si="176"/>
        <v>3885.8</v>
      </c>
      <c r="J166" s="30"/>
    </row>
    <row r="167" spans="1:10" ht="15.75" customHeight="1">
      <c r="A167" s="6">
        <v>40102</v>
      </c>
      <c r="B167" s="7" t="s">
        <v>20</v>
      </c>
      <c r="C167" s="7" t="s">
        <v>164</v>
      </c>
      <c r="D167" s="7" t="s">
        <v>218</v>
      </c>
      <c r="E167" s="8">
        <f t="shared" si="0"/>
        <v>19.621583742116329</v>
      </c>
      <c r="F167" s="20">
        <v>28</v>
      </c>
      <c r="G167" s="17">
        <v>1427</v>
      </c>
      <c r="H167" s="17">
        <f t="shared" ref="H167:I167" si="177">F167/5</f>
        <v>5.6</v>
      </c>
      <c r="I167" s="17">
        <f t="shared" si="177"/>
        <v>285.39999999999998</v>
      </c>
      <c r="J167" s="30"/>
    </row>
    <row r="168" spans="1:10" ht="15.75" customHeight="1">
      <c r="A168" s="6">
        <v>40103</v>
      </c>
      <c r="B168" s="7" t="s">
        <v>20</v>
      </c>
      <c r="C168" s="7" t="s">
        <v>164</v>
      </c>
      <c r="D168" s="7" t="s">
        <v>219</v>
      </c>
      <c r="E168" s="8">
        <f t="shared" si="0"/>
        <v>7.5949367088607591</v>
      </c>
      <c r="F168" s="20">
        <v>3</v>
      </c>
      <c r="G168" s="17">
        <v>395</v>
      </c>
      <c r="H168" s="17">
        <f t="shared" ref="H168:I168" si="178">F168/5</f>
        <v>0.6</v>
      </c>
      <c r="I168" s="17">
        <f t="shared" si="178"/>
        <v>79</v>
      </c>
      <c r="J168" s="30"/>
    </row>
    <row r="169" spans="1:10" ht="15.75" customHeight="1">
      <c r="A169" s="6">
        <v>40104</v>
      </c>
      <c r="B169" s="7" t="s">
        <v>20</v>
      </c>
      <c r="C169" s="7" t="s">
        <v>164</v>
      </c>
      <c r="D169" s="7" t="s">
        <v>220</v>
      </c>
      <c r="E169" s="8">
        <f t="shared" si="0"/>
        <v>10.516252390057362</v>
      </c>
      <c r="F169" s="20">
        <v>11</v>
      </c>
      <c r="G169" s="17">
        <v>1046</v>
      </c>
      <c r="H169" s="17">
        <f t="shared" ref="H169:I169" si="179">F169/5</f>
        <v>2.2000000000000002</v>
      </c>
      <c r="I169" s="17">
        <f t="shared" si="179"/>
        <v>209.2</v>
      </c>
      <c r="J169" s="30"/>
    </row>
    <row r="170" spans="1:10" ht="15.75" customHeight="1">
      <c r="A170" s="6">
        <v>40201</v>
      </c>
      <c r="B170" s="7" t="s">
        <v>20</v>
      </c>
      <c r="C170" s="7" t="s">
        <v>221</v>
      </c>
      <c r="D170" s="7" t="s">
        <v>222</v>
      </c>
      <c r="E170" s="8">
        <f t="shared" si="0"/>
        <v>12.987012987012989</v>
      </c>
      <c r="F170" s="20">
        <v>31</v>
      </c>
      <c r="G170" s="17">
        <v>2387</v>
      </c>
      <c r="H170" s="17">
        <f t="shared" ref="H170:I170" si="180">F170/5</f>
        <v>6.2</v>
      </c>
      <c r="I170" s="17">
        <f t="shared" si="180"/>
        <v>477.4</v>
      </c>
      <c r="J170" s="30"/>
    </row>
    <row r="171" spans="1:10" ht="15.75" customHeight="1">
      <c r="A171" s="6">
        <v>40202</v>
      </c>
      <c r="B171" s="7" t="s">
        <v>20</v>
      </c>
      <c r="C171" s="7" t="s">
        <v>221</v>
      </c>
      <c r="D171" s="7" t="s">
        <v>223</v>
      </c>
      <c r="E171" s="8">
        <f t="shared" si="0"/>
        <v>20.920502092050206</v>
      </c>
      <c r="F171" s="20">
        <v>5</v>
      </c>
      <c r="G171" s="17">
        <v>239</v>
      </c>
      <c r="H171" s="17">
        <f t="shared" ref="H171:I171" si="181">F171/5</f>
        <v>1</v>
      </c>
      <c r="I171" s="17">
        <f t="shared" si="181"/>
        <v>47.8</v>
      </c>
      <c r="J171" s="30"/>
    </row>
    <row r="172" spans="1:10" ht="15.75" customHeight="1">
      <c r="A172" s="6">
        <v>40301</v>
      </c>
      <c r="B172" s="7" t="s">
        <v>20</v>
      </c>
      <c r="C172" s="7" t="s">
        <v>224</v>
      </c>
      <c r="D172" s="7" t="s">
        <v>225</v>
      </c>
      <c r="E172" s="8">
        <f t="shared" si="0"/>
        <v>11.7096018735363</v>
      </c>
      <c r="F172" s="20">
        <v>10</v>
      </c>
      <c r="G172" s="17">
        <v>854</v>
      </c>
      <c r="H172" s="17">
        <f t="shared" ref="H172:I172" si="182">F172/5</f>
        <v>2</v>
      </c>
      <c r="I172" s="17">
        <f t="shared" si="182"/>
        <v>170.8</v>
      </c>
      <c r="J172" s="30"/>
    </row>
    <row r="173" spans="1:10" ht="15.75" customHeight="1">
      <c r="A173" s="6">
        <v>40302</v>
      </c>
      <c r="B173" s="7" t="s">
        <v>20</v>
      </c>
      <c r="C173" s="7" t="s">
        <v>224</v>
      </c>
      <c r="D173" s="7" t="s">
        <v>226</v>
      </c>
      <c r="E173" s="8">
        <f t="shared" si="0"/>
        <v>8.1967213114754109</v>
      </c>
      <c r="F173" s="20">
        <v>1</v>
      </c>
      <c r="G173" s="17">
        <v>122</v>
      </c>
      <c r="H173" s="17">
        <f t="shared" ref="H173:I173" si="183">F173/5</f>
        <v>0.2</v>
      </c>
      <c r="I173" s="17">
        <f t="shared" si="183"/>
        <v>24.4</v>
      </c>
      <c r="J173" s="30"/>
    </row>
    <row r="174" spans="1:10" ht="15.75" customHeight="1">
      <c r="A174" s="6">
        <v>40401</v>
      </c>
      <c r="B174" s="7" t="s">
        <v>20</v>
      </c>
      <c r="C174" s="7" t="s">
        <v>227</v>
      </c>
      <c r="D174" s="7" t="s">
        <v>228</v>
      </c>
      <c r="E174" s="8">
        <f t="shared" si="0"/>
        <v>25.641025641025639</v>
      </c>
      <c r="F174" s="20">
        <v>9</v>
      </c>
      <c r="G174" s="17">
        <v>351</v>
      </c>
      <c r="H174" s="17">
        <f t="shared" ref="H174:I174" si="184">F174/5</f>
        <v>1.8</v>
      </c>
      <c r="I174" s="17">
        <f t="shared" si="184"/>
        <v>70.2</v>
      </c>
      <c r="J174" s="30"/>
    </row>
    <row r="175" spans="1:10" ht="15.75" customHeight="1">
      <c r="A175" s="6">
        <v>40402</v>
      </c>
      <c r="B175" s="7" t="s">
        <v>20</v>
      </c>
      <c r="C175" s="7" t="s">
        <v>227</v>
      </c>
      <c r="D175" s="7" t="s">
        <v>229</v>
      </c>
      <c r="E175" s="8">
        <f t="shared" si="0"/>
        <v>6.557377049180328</v>
      </c>
      <c r="F175" s="20">
        <v>2</v>
      </c>
      <c r="G175" s="17">
        <v>305</v>
      </c>
      <c r="H175" s="17">
        <f t="shared" ref="H175:I175" si="185">F175/5</f>
        <v>0.4</v>
      </c>
      <c r="I175" s="17">
        <f t="shared" si="185"/>
        <v>61</v>
      </c>
      <c r="J175" s="30"/>
    </row>
    <row r="176" spans="1:10" ht="15.75" customHeight="1">
      <c r="A176" s="6">
        <v>40501</v>
      </c>
      <c r="B176" s="7" t="s">
        <v>20</v>
      </c>
      <c r="C176" s="7" t="s">
        <v>230</v>
      </c>
      <c r="D176" s="7" t="s">
        <v>231</v>
      </c>
      <c r="E176" s="8">
        <f t="shared" si="0"/>
        <v>4.4642857142857144</v>
      </c>
      <c r="F176" s="20">
        <v>1</v>
      </c>
      <c r="G176" s="17">
        <v>224</v>
      </c>
      <c r="H176" s="17">
        <f t="shared" ref="H176:I176" si="186">F176/5</f>
        <v>0.2</v>
      </c>
      <c r="I176" s="17">
        <f t="shared" si="186"/>
        <v>44.8</v>
      </c>
      <c r="J176" s="30"/>
    </row>
    <row r="177" spans="1:10" ht="15.75" customHeight="1">
      <c r="A177" s="6">
        <v>40502</v>
      </c>
      <c r="B177" s="7" t="s">
        <v>20</v>
      </c>
      <c r="C177" s="7" t="s">
        <v>230</v>
      </c>
      <c r="D177" s="7" t="s">
        <v>232</v>
      </c>
      <c r="E177" s="8">
        <f t="shared" si="0"/>
        <v>4.5871559633027523</v>
      </c>
      <c r="F177" s="20">
        <v>1</v>
      </c>
      <c r="G177" s="17">
        <v>218</v>
      </c>
      <c r="H177" s="17">
        <f t="shared" ref="H177:I177" si="187">F177/5</f>
        <v>0.2</v>
      </c>
      <c r="I177" s="17">
        <f t="shared" si="187"/>
        <v>43.6</v>
      </c>
      <c r="J177" s="30"/>
    </row>
    <row r="178" spans="1:10" ht="15.75" customHeight="1">
      <c r="A178" s="6">
        <v>40503</v>
      </c>
      <c r="B178" s="7" t="s">
        <v>20</v>
      </c>
      <c r="C178" s="7" t="s">
        <v>230</v>
      </c>
      <c r="D178" s="7" t="s">
        <v>233</v>
      </c>
      <c r="E178" s="8">
        <f t="shared" si="0"/>
        <v>0</v>
      </c>
      <c r="F178" s="20">
        <v>0</v>
      </c>
      <c r="G178" s="17">
        <v>81</v>
      </c>
      <c r="H178" s="17">
        <f t="shared" ref="H178:I178" si="188">F178/5</f>
        <v>0</v>
      </c>
      <c r="I178" s="17">
        <f t="shared" si="188"/>
        <v>16.2</v>
      </c>
      <c r="J178" s="30"/>
    </row>
    <row r="179" spans="1:10" ht="15.75" customHeight="1">
      <c r="A179" s="6">
        <v>40504</v>
      </c>
      <c r="B179" s="7" t="s">
        <v>20</v>
      </c>
      <c r="C179" s="7" t="s">
        <v>230</v>
      </c>
      <c r="D179" s="7" t="s">
        <v>234</v>
      </c>
      <c r="E179" s="8">
        <f t="shared" si="0"/>
        <v>0</v>
      </c>
      <c r="F179" s="20">
        <v>0</v>
      </c>
      <c r="G179" s="17">
        <v>49</v>
      </c>
      <c r="H179" s="17">
        <f t="shared" ref="H179:I179" si="189">F179/5</f>
        <v>0</v>
      </c>
      <c r="I179" s="17">
        <f t="shared" si="189"/>
        <v>9.8000000000000007</v>
      </c>
      <c r="J179" s="30"/>
    </row>
    <row r="180" spans="1:10" ht="15.75" customHeight="1">
      <c r="A180" s="6">
        <v>40505</v>
      </c>
      <c r="B180" s="7" t="s">
        <v>20</v>
      </c>
      <c r="C180" s="7" t="s">
        <v>230</v>
      </c>
      <c r="D180" s="7" t="s">
        <v>235</v>
      </c>
      <c r="E180" s="8">
        <f t="shared" si="0"/>
        <v>9.3023255813953494</v>
      </c>
      <c r="F180" s="20">
        <v>2</v>
      </c>
      <c r="G180" s="17">
        <v>215</v>
      </c>
      <c r="H180" s="17">
        <f t="shared" ref="H180:I180" si="190">F180/5</f>
        <v>0.4</v>
      </c>
      <c r="I180" s="17">
        <f t="shared" si="190"/>
        <v>43</v>
      </c>
      <c r="J180" s="30"/>
    </row>
    <row r="181" spans="1:10" ht="15.75" customHeight="1">
      <c r="A181" s="6">
        <v>40601</v>
      </c>
      <c r="B181" s="7" t="s">
        <v>20</v>
      </c>
      <c r="C181" s="7" t="s">
        <v>236</v>
      </c>
      <c r="D181" s="7" t="s">
        <v>236</v>
      </c>
      <c r="E181" s="8">
        <f t="shared" si="0"/>
        <v>13.582342954159593</v>
      </c>
      <c r="F181" s="20">
        <v>8</v>
      </c>
      <c r="G181" s="17">
        <v>589</v>
      </c>
      <c r="H181" s="17">
        <f t="shared" ref="H181:I181" si="191">F181/5</f>
        <v>1.6</v>
      </c>
      <c r="I181" s="17">
        <f t="shared" si="191"/>
        <v>117.8</v>
      </c>
      <c r="J181" s="30"/>
    </row>
    <row r="182" spans="1:10" ht="15.75" customHeight="1">
      <c r="A182" s="6">
        <v>40602</v>
      </c>
      <c r="B182" s="7" t="s">
        <v>20</v>
      </c>
      <c r="C182" s="7" t="s">
        <v>236</v>
      </c>
      <c r="D182" s="7" t="s">
        <v>237</v>
      </c>
      <c r="E182" s="8">
        <f t="shared" si="0"/>
        <v>4.7619047619047628</v>
      </c>
      <c r="F182" s="20">
        <v>1</v>
      </c>
      <c r="G182" s="17">
        <v>210</v>
      </c>
      <c r="H182" s="17">
        <f t="shared" ref="H182:I182" si="192">F182/5</f>
        <v>0.2</v>
      </c>
      <c r="I182" s="17">
        <f t="shared" si="192"/>
        <v>42</v>
      </c>
      <c r="J182" s="30"/>
    </row>
    <row r="183" spans="1:10" ht="15.75" customHeight="1">
      <c r="A183" s="6">
        <v>40603</v>
      </c>
      <c r="B183" s="7" t="s">
        <v>20</v>
      </c>
      <c r="C183" s="7" t="s">
        <v>236</v>
      </c>
      <c r="D183" s="7" t="s">
        <v>238</v>
      </c>
      <c r="E183" s="8">
        <f t="shared" si="0"/>
        <v>4.4444444444444446</v>
      </c>
      <c r="F183" s="20">
        <v>1</v>
      </c>
      <c r="G183" s="17">
        <v>225</v>
      </c>
      <c r="H183" s="17">
        <f t="shared" ref="H183:I183" si="193">F183/5</f>
        <v>0.2</v>
      </c>
      <c r="I183" s="17">
        <f t="shared" si="193"/>
        <v>45</v>
      </c>
      <c r="J183" s="30"/>
    </row>
    <row r="184" spans="1:10" ht="15.75" customHeight="1">
      <c r="A184" s="6">
        <v>40701</v>
      </c>
      <c r="B184" s="7" t="s">
        <v>20</v>
      </c>
      <c r="C184" s="7" t="s">
        <v>239</v>
      </c>
      <c r="D184" s="7" t="s">
        <v>240</v>
      </c>
      <c r="E184" s="8">
        <f t="shared" si="0"/>
        <v>17.721518987341774</v>
      </c>
      <c r="F184" s="20">
        <v>21</v>
      </c>
      <c r="G184" s="17">
        <v>1185</v>
      </c>
      <c r="H184" s="17">
        <f t="shared" ref="H184:I184" si="194">F184/5</f>
        <v>4.2</v>
      </c>
      <c r="I184" s="17">
        <f t="shared" si="194"/>
        <v>237</v>
      </c>
      <c r="J184" s="30"/>
    </row>
    <row r="185" spans="1:10" ht="15.75" customHeight="1">
      <c r="A185" s="6">
        <v>40702</v>
      </c>
      <c r="B185" s="7" t="s">
        <v>20</v>
      </c>
      <c r="C185" s="7" t="s">
        <v>239</v>
      </c>
      <c r="D185" s="7" t="s">
        <v>241</v>
      </c>
      <c r="E185" s="8">
        <f t="shared" si="0"/>
        <v>16.806722689075631</v>
      </c>
      <c r="F185" s="20">
        <v>6</v>
      </c>
      <c r="G185" s="17">
        <v>357</v>
      </c>
      <c r="H185" s="17">
        <f t="shared" ref="H185:I185" si="195">F185/5</f>
        <v>1.2</v>
      </c>
      <c r="I185" s="17">
        <f t="shared" si="195"/>
        <v>71.400000000000006</v>
      </c>
      <c r="J185" s="30"/>
    </row>
    <row r="186" spans="1:10" ht="15.75" customHeight="1">
      <c r="A186" s="6">
        <v>40801</v>
      </c>
      <c r="B186" s="7" t="s">
        <v>20</v>
      </c>
      <c r="C186" s="7" t="s">
        <v>242</v>
      </c>
      <c r="D186" s="7" t="s">
        <v>243</v>
      </c>
      <c r="E186" s="8">
        <f t="shared" si="0"/>
        <v>15.167930660888407</v>
      </c>
      <c r="F186" s="20">
        <v>14</v>
      </c>
      <c r="G186" s="17">
        <v>923</v>
      </c>
      <c r="H186" s="17">
        <f t="shared" ref="H186:I186" si="196">F186/5</f>
        <v>2.8</v>
      </c>
      <c r="I186" s="17">
        <f t="shared" si="196"/>
        <v>184.6</v>
      </c>
      <c r="J186" s="30"/>
    </row>
    <row r="187" spans="1:10" ht="15.75" customHeight="1">
      <c r="A187" s="6">
        <v>40802</v>
      </c>
      <c r="B187" s="7" t="s">
        <v>20</v>
      </c>
      <c r="C187" s="7" t="s">
        <v>242</v>
      </c>
      <c r="D187" s="7" t="s">
        <v>244</v>
      </c>
      <c r="E187" s="8">
        <f t="shared" si="0"/>
        <v>5.4644808743169397</v>
      </c>
      <c r="F187" s="20">
        <v>1</v>
      </c>
      <c r="G187" s="17">
        <v>183</v>
      </c>
      <c r="H187" s="17">
        <f t="shared" ref="H187:I187" si="197">F187/5</f>
        <v>0.2</v>
      </c>
      <c r="I187" s="17">
        <f t="shared" si="197"/>
        <v>36.6</v>
      </c>
      <c r="J187" s="30"/>
    </row>
    <row r="188" spans="1:10" ht="15.75" customHeight="1">
      <c r="A188" s="6">
        <v>40901</v>
      </c>
      <c r="B188" s="7" t="s">
        <v>20</v>
      </c>
      <c r="C188" s="7" t="s">
        <v>245</v>
      </c>
      <c r="D188" s="7" t="s">
        <v>245</v>
      </c>
      <c r="E188" s="8">
        <f t="shared" si="0"/>
        <v>7.6923076923076925</v>
      </c>
      <c r="F188" s="20">
        <v>8</v>
      </c>
      <c r="G188" s="17">
        <v>1040</v>
      </c>
      <c r="H188" s="17">
        <f t="shared" ref="H188:I188" si="198">F188/5</f>
        <v>1.6</v>
      </c>
      <c r="I188" s="17">
        <f t="shared" si="198"/>
        <v>208</v>
      </c>
      <c r="J188" s="30"/>
    </row>
    <row r="189" spans="1:10" ht="15.75" customHeight="1">
      <c r="A189" s="6">
        <v>40902</v>
      </c>
      <c r="B189" s="7" t="s">
        <v>20</v>
      </c>
      <c r="C189" s="7" t="s">
        <v>245</v>
      </c>
      <c r="D189" s="7" t="s">
        <v>246</v>
      </c>
      <c r="E189" s="8">
        <f t="shared" si="0"/>
        <v>8.4745762711864412</v>
      </c>
      <c r="F189" s="20">
        <v>1</v>
      </c>
      <c r="G189" s="17">
        <v>118</v>
      </c>
      <c r="H189" s="17">
        <f t="shared" ref="H189:I189" si="199">F189/5</f>
        <v>0.2</v>
      </c>
      <c r="I189" s="17">
        <f t="shared" si="199"/>
        <v>23.6</v>
      </c>
      <c r="J189" s="30"/>
    </row>
    <row r="190" spans="1:10" ht="15.75" customHeight="1">
      <c r="A190" s="6">
        <v>40903</v>
      </c>
      <c r="B190" s="7" t="s">
        <v>20</v>
      </c>
      <c r="C190" s="7" t="s">
        <v>245</v>
      </c>
      <c r="D190" s="7" t="s">
        <v>247</v>
      </c>
      <c r="E190" s="8">
        <f t="shared" si="0"/>
        <v>18.072289156626507</v>
      </c>
      <c r="F190" s="20">
        <v>3</v>
      </c>
      <c r="G190" s="17">
        <v>166</v>
      </c>
      <c r="H190" s="17">
        <f t="shared" ref="H190:I190" si="200">F190/5</f>
        <v>0.6</v>
      </c>
      <c r="I190" s="17">
        <f t="shared" si="200"/>
        <v>33.200000000000003</v>
      </c>
      <c r="J190" s="30"/>
    </row>
    <row r="191" spans="1:10" ht="15.75" customHeight="1">
      <c r="A191" s="6">
        <v>41001</v>
      </c>
      <c r="B191" s="7" t="s">
        <v>20</v>
      </c>
      <c r="C191" s="7" t="s">
        <v>248</v>
      </c>
      <c r="D191" s="7" t="s">
        <v>249</v>
      </c>
      <c r="E191" s="8">
        <f t="shared" si="0"/>
        <v>16.853932584269664</v>
      </c>
      <c r="F191" s="20">
        <v>9</v>
      </c>
      <c r="G191" s="17">
        <v>534</v>
      </c>
      <c r="H191" s="17">
        <f t="shared" ref="H191:I191" si="201">F191/5</f>
        <v>1.8</v>
      </c>
      <c r="I191" s="17">
        <f t="shared" si="201"/>
        <v>106.8</v>
      </c>
      <c r="J191" s="30"/>
    </row>
    <row r="192" spans="1:10" ht="15.75" customHeight="1">
      <c r="A192" s="6">
        <v>41101</v>
      </c>
      <c r="B192" s="7" t="s">
        <v>20</v>
      </c>
      <c r="C192" s="7" t="s">
        <v>250</v>
      </c>
      <c r="D192" s="7" t="s">
        <v>251</v>
      </c>
      <c r="E192" s="8">
        <f t="shared" si="0"/>
        <v>25</v>
      </c>
      <c r="F192" s="20">
        <v>8</v>
      </c>
      <c r="G192" s="17">
        <v>320</v>
      </c>
      <c r="H192" s="17">
        <f t="shared" ref="H192:I192" si="202">F192/5</f>
        <v>1.6</v>
      </c>
      <c r="I192" s="17">
        <f t="shared" si="202"/>
        <v>64</v>
      </c>
      <c r="J192" s="30"/>
    </row>
    <row r="193" spans="1:10" ht="15.75" customHeight="1">
      <c r="A193" s="6">
        <v>41201</v>
      </c>
      <c r="B193" s="7" t="s">
        <v>20</v>
      </c>
      <c r="C193" s="7" t="s">
        <v>252</v>
      </c>
      <c r="D193" s="7" t="s">
        <v>253</v>
      </c>
      <c r="E193" s="8">
        <f t="shared" si="0"/>
        <v>7.8740157480314963</v>
      </c>
      <c r="F193" s="20">
        <v>2</v>
      </c>
      <c r="G193" s="17">
        <v>254</v>
      </c>
      <c r="H193" s="17">
        <f t="shared" ref="H193:I193" si="203">F193/5</f>
        <v>0.4</v>
      </c>
      <c r="I193" s="17">
        <f t="shared" si="203"/>
        <v>50.8</v>
      </c>
      <c r="J193" s="30"/>
    </row>
    <row r="194" spans="1:10" ht="15.75" customHeight="1">
      <c r="A194" s="6">
        <v>41202</v>
      </c>
      <c r="B194" s="7" t="s">
        <v>20</v>
      </c>
      <c r="C194" s="7" t="s">
        <v>252</v>
      </c>
      <c r="D194" s="7" t="s">
        <v>254</v>
      </c>
      <c r="E194" s="8">
        <f t="shared" si="0"/>
        <v>19.230769230769234</v>
      </c>
      <c r="F194" s="20">
        <v>3</v>
      </c>
      <c r="G194" s="17">
        <v>156</v>
      </c>
      <c r="H194" s="17">
        <f t="shared" ref="H194:I194" si="204">F194/5</f>
        <v>0.6</v>
      </c>
      <c r="I194" s="17">
        <f t="shared" si="204"/>
        <v>31.2</v>
      </c>
      <c r="J194" s="30"/>
    </row>
    <row r="195" spans="1:10" ht="15.75" customHeight="1">
      <c r="A195" s="6">
        <v>41301</v>
      </c>
      <c r="B195" s="7" t="s">
        <v>20</v>
      </c>
      <c r="C195" s="7" t="s">
        <v>255</v>
      </c>
      <c r="D195" s="7" t="s">
        <v>255</v>
      </c>
      <c r="E195" s="8">
        <f t="shared" si="0"/>
        <v>17.804154302670625</v>
      </c>
      <c r="F195" s="20">
        <v>6</v>
      </c>
      <c r="G195" s="17">
        <v>337</v>
      </c>
      <c r="H195" s="17">
        <f t="shared" ref="H195:I195" si="205">F195/5</f>
        <v>1.2</v>
      </c>
      <c r="I195" s="17">
        <f t="shared" si="205"/>
        <v>67.400000000000006</v>
      </c>
      <c r="J195" s="30"/>
    </row>
    <row r="196" spans="1:10" ht="15.75" customHeight="1">
      <c r="A196" s="6">
        <v>41401</v>
      </c>
      <c r="B196" s="7" t="s">
        <v>20</v>
      </c>
      <c r="C196" s="7" t="s">
        <v>256</v>
      </c>
      <c r="D196" s="7" t="s">
        <v>257</v>
      </c>
      <c r="E196" s="8">
        <f t="shared" si="0"/>
        <v>9.8360655737704921</v>
      </c>
      <c r="F196" s="20">
        <v>6</v>
      </c>
      <c r="G196" s="17">
        <v>610</v>
      </c>
      <c r="H196" s="17">
        <f t="shared" ref="H196:I196" si="206">F196/5</f>
        <v>1.2</v>
      </c>
      <c r="I196" s="17">
        <f t="shared" si="206"/>
        <v>122</v>
      </c>
      <c r="J196" s="30"/>
    </row>
    <row r="197" spans="1:10" ht="15.75" customHeight="1">
      <c r="A197" s="6">
        <v>41501</v>
      </c>
      <c r="B197" s="7" t="s">
        <v>20</v>
      </c>
      <c r="C197" s="7" t="s">
        <v>258</v>
      </c>
      <c r="D197" s="7" t="s">
        <v>259</v>
      </c>
      <c r="E197" s="8">
        <f t="shared" si="0"/>
        <v>0</v>
      </c>
      <c r="F197" s="20">
        <v>0</v>
      </c>
      <c r="G197" s="17">
        <v>87</v>
      </c>
      <c r="H197" s="17">
        <f t="shared" ref="H197:I197" si="207">F197/5</f>
        <v>0</v>
      </c>
      <c r="I197" s="17">
        <f t="shared" si="207"/>
        <v>17.399999999999999</v>
      </c>
      <c r="J197" s="30"/>
    </row>
    <row r="198" spans="1:10" ht="15.75" customHeight="1">
      <c r="A198" s="6">
        <v>41502</v>
      </c>
      <c r="B198" s="7" t="s">
        <v>20</v>
      </c>
      <c r="C198" s="7" t="s">
        <v>258</v>
      </c>
      <c r="D198" s="7" t="s">
        <v>260</v>
      </c>
      <c r="E198" s="8">
        <f t="shared" si="0"/>
        <v>12.820512820512819</v>
      </c>
      <c r="F198" s="20">
        <v>1</v>
      </c>
      <c r="G198" s="17">
        <v>78</v>
      </c>
      <c r="H198" s="17">
        <f t="shared" ref="H198:I198" si="208">F198/5</f>
        <v>0.2</v>
      </c>
      <c r="I198" s="17">
        <f t="shared" si="208"/>
        <v>15.6</v>
      </c>
      <c r="J198" s="30"/>
    </row>
    <row r="199" spans="1:10" ht="15.75" customHeight="1">
      <c r="A199" s="6">
        <v>41503</v>
      </c>
      <c r="B199" s="7" t="s">
        <v>20</v>
      </c>
      <c r="C199" s="7" t="s">
        <v>258</v>
      </c>
      <c r="D199" s="7" t="s">
        <v>224</v>
      </c>
      <c r="E199" s="8">
        <f t="shared" si="0"/>
        <v>0</v>
      </c>
      <c r="F199" s="20">
        <v>0</v>
      </c>
      <c r="G199" s="17">
        <v>64</v>
      </c>
      <c r="H199" s="17">
        <f t="shared" ref="H199:I199" si="209">F199/5</f>
        <v>0</v>
      </c>
      <c r="I199" s="17">
        <f t="shared" si="209"/>
        <v>12.8</v>
      </c>
      <c r="J199" s="30"/>
    </row>
    <row r="200" spans="1:10" ht="15.75" customHeight="1">
      <c r="A200" s="6">
        <v>41601</v>
      </c>
      <c r="B200" s="7" t="s">
        <v>20</v>
      </c>
      <c r="C200" s="7" t="s">
        <v>261</v>
      </c>
      <c r="D200" s="7" t="s">
        <v>262</v>
      </c>
      <c r="E200" s="8">
        <f t="shared" si="0"/>
        <v>24.390243902439025</v>
      </c>
      <c r="F200" s="20">
        <v>6</v>
      </c>
      <c r="G200" s="17">
        <v>246</v>
      </c>
      <c r="H200" s="17">
        <f t="shared" ref="H200:I200" si="210">F200/5</f>
        <v>1.2</v>
      </c>
      <c r="I200" s="17">
        <f t="shared" si="210"/>
        <v>49.2</v>
      </c>
      <c r="J200" s="30"/>
    </row>
    <row r="201" spans="1:10" ht="15.75" customHeight="1">
      <c r="A201" s="6">
        <v>50101</v>
      </c>
      <c r="B201" s="7" t="s">
        <v>263</v>
      </c>
      <c r="C201" s="7" t="s">
        <v>264</v>
      </c>
      <c r="D201" s="7" t="s">
        <v>263</v>
      </c>
      <c r="E201" s="8">
        <f t="shared" si="0"/>
        <v>11.869251802137708</v>
      </c>
      <c r="F201" s="20">
        <v>191</v>
      </c>
      <c r="G201" s="17">
        <v>16092</v>
      </c>
      <c r="H201" s="17">
        <f t="shared" ref="H201:I201" si="211">F201/5</f>
        <v>38.200000000000003</v>
      </c>
      <c r="I201" s="17">
        <f t="shared" si="211"/>
        <v>3218.4</v>
      </c>
      <c r="J201" s="30"/>
    </row>
    <row r="202" spans="1:10" ht="15.75" customHeight="1">
      <c r="A202" s="6">
        <v>50102</v>
      </c>
      <c r="B202" s="7" t="s">
        <v>263</v>
      </c>
      <c r="C202" s="7" t="s">
        <v>264</v>
      </c>
      <c r="D202" s="7" t="s">
        <v>265</v>
      </c>
      <c r="E202" s="8">
        <f t="shared" si="0"/>
        <v>28.213166144200628</v>
      </c>
      <c r="F202" s="20">
        <v>54</v>
      </c>
      <c r="G202" s="17">
        <v>1914</v>
      </c>
      <c r="H202" s="17">
        <f t="shared" ref="H202:I202" si="212">F202/5</f>
        <v>10.8</v>
      </c>
      <c r="I202" s="17">
        <f t="shared" si="212"/>
        <v>382.8</v>
      </c>
      <c r="J202" s="30"/>
    </row>
    <row r="203" spans="1:10" ht="15.75" customHeight="1">
      <c r="A203" s="6">
        <v>50103</v>
      </c>
      <c r="B203" s="7" t="s">
        <v>263</v>
      </c>
      <c r="C203" s="7" t="s">
        <v>264</v>
      </c>
      <c r="D203" s="7" t="s">
        <v>266</v>
      </c>
      <c r="E203" s="8">
        <f t="shared" si="0"/>
        <v>16.713091922005571</v>
      </c>
      <c r="F203" s="20">
        <v>12</v>
      </c>
      <c r="G203" s="17">
        <v>718</v>
      </c>
      <c r="H203" s="17">
        <f t="shared" ref="H203:I203" si="213">F203/5</f>
        <v>2.4</v>
      </c>
      <c r="I203" s="17">
        <f t="shared" si="213"/>
        <v>143.6</v>
      </c>
      <c r="J203" s="30"/>
    </row>
    <row r="204" spans="1:10" ht="15.75" customHeight="1">
      <c r="A204" s="6">
        <v>50104</v>
      </c>
      <c r="B204" s="7" t="s">
        <v>263</v>
      </c>
      <c r="C204" s="7" t="s">
        <v>264</v>
      </c>
      <c r="D204" s="7" t="s">
        <v>267</v>
      </c>
      <c r="E204" s="8">
        <f t="shared" si="0"/>
        <v>6.8027210884353737</v>
      </c>
      <c r="F204" s="20">
        <v>1</v>
      </c>
      <c r="G204" s="17">
        <v>147</v>
      </c>
      <c r="H204" s="17">
        <f t="shared" ref="H204:I204" si="214">F204/5</f>
        <v>0.2</v>
      </c>
      <c r="I204" s="17">
        <f t="shared" si="214"/>
        <v>29.4</v>
      </c>
      <c r="J204" s="30"/>
    </row>
    <row r="205" spans="1:10" ht="15.75" customHeight="1">
      <c r="A205" s="6">
        <v>50201</v>
      </c>
      <c r="B205" s="7" t="s">
        <v>263</v>
      </c>
      <c r="C205" s="7" t="s">
        <v>268</v>
      </c>
      <c r="D205" s="7" t="s">
        <v>269</v>
      </c>
      <c r="E205" s="8">
        <f t="shared" si="0"/>
        <v>25.255972696245731</v>
      </c>
      <c r="F205" s="20">
        <v>37</v>
      </c>
      <c r="G205" s="17">
        <v>1465</v>
      </c>
      <c r="H205" s="17">
        <f t="shared" ref="H205:I205" si="215">F205/5</f>
        <v>7.4</v>
      </c>
      <c r="I205" s="17">
        <f t="shared" si="215"/>
        <v>293</v>
      </c>
      <c r="J205" s="30"/>
    </row>
    <row r="206" spans="1:10" ht="15.75" customHeight="1">
      <c r="A206" s="6">
        <v>50202</v>
      </c>
      <c r="B206" s="7" t="s">
        <v>263</v>
      </c>
      <c r="C206" s="7" t="s">
        <v>268</v>
      </c>
      <c r="D206" s="7" t="s">
        <v>270</v>
      </c>
      <c r="E206" s="8">
        <f t="shared" si="0"/>
        <v>33.630069238377843</v>
      </c>
      <c r="F206" s="20">
        <v>34</v>
      </c>
      <c r="G206" s="17">
        <v>1011</v>
      </c>
      <c r="H206" s="17">
        <f t="shared" ref="H206:I206" si="216">F206/5</f>
        <v>6.8</v>
      </c>
      <c r="I206" s="17">
        <f t="shared" si="216"/>
        <v>202.2</v>
      </c>
      <c r="J206" s="30"/>
    </row>
    <row r="207" spans="1:10" ht="15.75" customHeight="1">
      <c r="A207" s="6">
        <v>50203</v>
      </c>
      <c r="B207" s="7" t="s">
        <v>263</v>
      </c>
      <c r="C207" s="7" t="s">
        <v>268</v>
      </c>
      <c r="D207" s="7" t="s">
        <v>271</v>
      </c>
      <c r="E207" s="8">
        <f t="shared" si="0"/>
        <v>15.302491103202847</v>
      </c>
      <c r="F207" s="20">
        <v>43</v>
      </c>
      <c r="G207" s="17">
        <v>2810</v>
      </c>
      <c r="H207" s="17">
        <f t="shared" ref="H207:I207" si="217">F207/5</f>
        <v>8.6</v>
      </c>
      <c r="I207" s="17">
        <f t="shared" si="217"/>
        <v>562</v>
      </c>
      <c r="J207" s="30"/>
    </row>
    <row r="208" spans="1:10" ht="15.75" customHeight="1">
      <c r="A208" s="6">
        <v>50204</v>
      </c>
      <c r="B208" s="7" t="s">
        <v>263</v>
      </c>
      <c r="C208" s="7" t="s">
        <v>268</v>
      </c>
      <c r="D208" s="7" t="s">
        <v>272</v>
      </c>
      <c r="E208" s="8">
        <f t="shared" si="0"/>
        <v>24.561403508771932</v>
      </c>
      <c r="F208" s="20">
        <v>14</v>
      </c>
      <c r="G208" s="17">
        <v>570</v>
      </c>
      <c r="H208" s="17">
        <f t="shared" ref="H208:I208" si="218">F208/5</f>
        <v>2.8</v>
      </c>
      <c r="I208" s="17">
        <f t="shared" si="218"/>
        <v>114</v>
      </c>
      <c r="J208" s="30"/>
    </row>
    <row r="209" spans="1:10" ht="15.75" customHeight="1">
      <c r="A209" s="6">
        <v>50301</v>
      </c>
      <c r="B209" s="7" t="s">
        <v>263</v>
      </c>
      <c r="C209" s="7" t="s">
        <v>273</v>
      </c>
      <c r="D209" s="7" t="s">
        <v>274</v>
      </c>
      <c r="E209" s="8">
        <f t="shared" si="0"/>
        <v>18.536585365853657</v>
      </c>
      <c r="F209" s="20">
        <v>38</v>
      </c>
      <c r="G209" s="17">
        <v>2050</v>
      </c>
      <c r="H209" s="17">
        <f t="shared" ref="H209:I209" si="219">F209/5</f>
        <v>7.6</v>
      </c>
      <c r="I209" s="17">
        <f t="shared" si="219"/>
        <v>410</v>
      </c>
      <c r="J209" s="30"/>
    </row>
    <row r="210" spans="1:10" ht="15.75" customHeight="1">
      <c r="A210" s="6">
        <v>50302</v>
      </c>
      <c r="B210" s="7" t="s">
        <v>263</v>
      </c>
      <c r="C210" s="7" t="s">
        <v>273</v>
      </c>
      <c r="D210" s="7" t="s">
        <v>275</v>
      </c>
      <c r="E210" s="8">
        <f t="shared" si="0"/>
        <v>14.388489208633095</v>
      </c>
      <c r="F210" s="20">
        <v>8</v>
      </c>
      <c r="G210" s="17">
        <v>556</v>
      </c>
      <c r="H210" s="17">
        <f t="shared" ref="H210:I210" si="220">F210/5</f>
        <v>1.6</v>
      </c>
      <c r="I210" s="17">
        <f t="shared" si="220"/>
        <v>111.2</v>
      </c>
      <c r="J210" s="30"/>
    </row>
    <row r="211" spans="1:10" ht="15.75" customHeight="1">
      <c r="A211" s="6">
        <v>50303</v>
      </c>
      <c r="B211" s="7" t="s">
        <v>263</v>
      </c>
      <c r="C211" s="7" t="s">
        <v>273</v>
      </c>
      <c r="D211" s="7" t="s">
        <v>276</v>
      </c>
      <c r="E211" s="8">
        <f t="shared" si="0"/>
        <v>6.6964285714285712</v>
      </c>
      <c r="F211" s="20">
        <v>6</v>
      </c>
      <c r="G211" s="17">
        <v>896</v>
      </c>
      <c r="H211" s="17">
        <f t="shared" ref="H211:I211" si="221">F211/5</f>
        <v>1.2</v>
      </c>
      <c r="I211" s="17">
        <f t="shared" si="221"/>
        <v>179.2</v>
      </c>
      <c r="J211" s="30"/>
    </row>
    <row r="212" spans="1:10" ht="15.75" customHeight="1">
      <c r="A212" s="6">
        <v>50401</v>
      </c>
      <c r="B212" s="7" t="s">
        <v>263</v>
      </c>
      <c r="C212" s="7" t="s">
        <v>270</v>
      </c>
      <c r="D212" s="7" t="s">
        <v>277</v>
      </c>
      <c r="E212" s="8">
        <f t="shared" si="0"/>
        <v>43.103448275862071</v>
      </c>
      <c r="F212" s="20">
        <v>45</v>
      </c>
      <c r="G212" s="17">
        <v>1044</v>
      </c>
      <c r="H212" s="17">
        <f t="shared" ref="H212:I212" si="222">F212/5</f>
        <v>9</v>
      </c>
      <c r="I212" s="17">
        <f t="shared" si="222"/>
        <v>208.8</v>
      </c>
      <c r="J212" s="30"/>
    </row>
    <row r="213" spans="1:10" ht="15.75" customHeight="1">
      <c r="A213" s="6">
        <v>50402</v>
      </c>
      <c r="B213" s="7" t="s">
        <v>263</v>
      </c>
      <c r="C213" s="7" t="s">
        <v>270</v>
      </c>
      <c r="D213" s="7" t="s">
        <v>278</v>
      </c>
      <c r="E213" s="8">
        <f t="shared" si="0"/>
        <v>14.380530973451327</v>
      </c>
      <c r="F213" s="20">
        <v>13</v>
      </c>
      <c r="G213" s="17">
        <v>904</v>
      </c>
      <c r="H213" s="17">
        <f t="shared" ref="H213:I213" si="223">F213/5</f>
        <v>2.6</v>
      </c>
      <c r="I213" s="17">
        <f t="shared" si="223"/>
        <v>180.8</v>
      </c>
      <c r="J213" s="30"/>
    </row>
    <row r="214" spans="1:10" ht="15.75" customHeight="1">
      <c r="A214" s="6">
        <v>50403</v>
      </c>
      <c r="B214" s="7" t="s">
        <v>263</v>
      </c>
      <c r="C214" s="7" t="s">
        <v>270</v>
      </c>
      <c r="D214" s="7" t="s">
        <v>279</v>
      </c>
      <c r="E214" s="8">
        <f t="shared" si="0"/>
        <v>29.903699949315765</v>
      </c>
      <c r="F214" s="20">
        <v>59</v>
      </c>
      <c r="G214" s="17">
        <v>1973</v>
      </c>
      <c r="H214" s="17">
        <f t="shared" ref="H214:I214" si="224">F214/5</f>
        <v>11.8</v>
      </c>
      <c r="I214" s="17">
        <f t="shared" si="224"/>
        <v>394.6</v>
      </c>
      <c r="J214" s="30"/>
    </row>
    <row r="215" spans="1:10" ht="15.75" customHeight="1">
      <c r="A215" s="6">
        <v>50404</v>
      </c>
      <c r="B215" s="7" t="s">
        <v>263</v>
      </c>
      <c r="C215" s="7" t="s">
        <v>270</v>
      </c>
      <c r="D215" s="7" t="s">
        <v>280</v>
      </c>
      <c r="E215" s="8">
        <f t="shared" si="0"/>
        <v>15.113350125944583</v>
      </c>
      <c r="F215" s="20">
        <v>12</v>
      </c>
      <c r="G215" s="17">
        <v>794</v>
      </c>
      <c r="H215" s="17">
        <f t="shared" ref="H215:I215" si="225">F215/5</f>
        <v>2.4</v>
      </c>
      <c r="I215" s="17">
        <f t="shared" si="225"/>
        <v>158.80000000000001</v>
      </c>
      <c r="J215" s="30"/>
    </row>
    <row r="216" spans="1:10" ht="15.75" customHeight="1">
      <c r="A216" s="19">
        <v>50405</v>
      </c>
      <c r="B216" s="7" t="s">
        <v>263</v>
      </c>
      <c r="C216" s="7" t="s">
        <v>270</v>
      </c>
      <c r="D216" s="7" t="s">
        <v>281</v>
      </c>
      <c r="E216" s="8">
        <f t="shared" si="0"/>
        <v>34.638554216867469</v>
      </c>
      <c r="F216" s="20">
        <v>46</v>
      </c>
      <c r="G216" s="17">
        <v>1328</v>
      </c>
      <c r="H216" s="17">
        <f t="shared" ref="H216:I216" si="226">F216/5</f>
        <v>9.1999999999999993</v>
      </c>
      <c r="I216" s="17">
        <f t="shared" si="226"/>
        <v>265.60000000000002</v>
      </c>
      <c r="J216" s="30"/>
    </row>
    <row r="217" spans="1:10" ht="15.75" customHeight="1">
      <c r="A217" s="6">
        <v>50501</v>
      </c>
      <c r="B217" s="7" t="s">
        <v>263</v>
      </c>
      <c r="C217" s="7" t="s">
        <v>282</v>
      </c>
      <c r="D217" s="7" t="s">
        <v>283</v>
      </c>
      <c r="E217" s="8">
        <f t="shared" si="0"/>
        <v>28.815368196371399</v>
      </c>
      <c r="F217" s="20">
        <v>54</v>
      </c>
      <c r="G217" s="17">
        <v>1874</v>
      </c>
      <c r="H217" s="17">
        <f t="shared" ref="H217:I217" si="227">F217/5</f>
        <v>10.8</v>
      </c>
      <c r="I217" s="17">
        <f t="shared" si="227"/>
        <v>374.8</v>
      </c>
      <c r="J217" s="30"/>
    </row>
    <row r="218" spans="1:10" ht="15.75" customHeight="1">
      <c r="A218" s="6">
        <v>50502</v>
      </c>
      <c r="B218" s="7" t="s">
        <v>263</v>
      </c>
      <c r="C218" s="7" t="s">
        <v>282</v>
      </c>
      <c r="D218" s="7" t="s">
        <v>284</v>
      </c>
      <c r="E218" s="8">
        <f t="shared" si="0"/>
        <v>15.768725361366622</v>
      </c>
      <c r="F218" s="20">
        <v>12</v>
      </c>
      <c r="G218" s="17">
        <v>761</v>
      </c>
      <c r="H218" s="17">
        <f t="shared" ref="H218:I218" si="228">F218/5</f>
        <v>2.4</v>
      </c>
      <c r="I218" s="17">
        <f t="shared" si="228"/>
        <v>152.19999999999999</v>
      </c>
      <c r="J218" s="30"/>
    </row>
    <row r="219" spans="1:10" ht="15.75" customHeight="1">
      <c r="A219" s="6">
        <v>50601</v>
      </c>
      <c r="B219" s="7" t="s">
        <v>263</v>
      </c>
      <c r="C219" s="7" t="s">
        <v>285</v>
      </c>
      <c r="D219" s="7" t="s">
        <v>286</v>
      </c>
      <c r="E219" s="8">
        <f t="shared" si="0"/>
        <v>5.7870370370370363</v>
      </c>
      <c r="F219" s="20">
        <v>10</v>
      </c>
      <c r="G219" s="17">
        <v>1728</v>
      </c>
      <c r="H219" s="17">
        <f t="shared" ref="H219:I219" si="229">F219/5</f>
        <v>2</v>
      </c>
      <c r="I219" s="17">
        <f t="shared" si="229"/>
        <v>345.6</v>
      </c>
      <c r="J219" s="30"/>
    </row>
    <row r="220" spans="1:10" ht="15.75" customHeight="1">
      <c r="A220" s="6">
        <v>50602</v>
      </c>
      <c r="B220" s="7" t="s">
        <v>263</v>
      </c>
      <c r="C220" s="7" t="s">
        <v>285</v>
      </c>
      <c r="D220" s="7" t="s">
        <v>287</v>
      </c>
      <c r="E220" s="8">
        <f t="shared" si="0"/>
        <v>10.416666666666666</v>
      </c>
      <c r="F220" s="20">
        <v>6</v>
      </c>
      <c r="G220" s="17">
        <v>576</v>
      </c>
      <c r="H220" s="17">
        <f t="shared" ref="H220:I220" si="230">F220/5</f>
        <v>1.2</v>
      </c>
      <c r="I220" s="17">
        <f t="shared" si="230"/>
        <v>115.2</v>
      </c>
      <c r="J220" s="30"/>
    </row>
    <row r="221" spans="1:10" ht="15.75" customHeight="1">
      <c r="A221" s="6">
        <v>50701</v>
      </c>
      <c r="B221" s="7" t="s">
        <v>263</v>
      </c>
      <c r="C221" s="7" t="s">
        <v>288</v>
      </c>
      <c r="D221" s="7" t="s">
        <v>289</v>
      </c>
      <c r="E221" s="8">
        <f t="shared" si="0"/>
        <v>34.234234234234229</v>
      </c>
      <c r="F221" s="20">
        <v>38</v>
      </c>
      <c r="G221" s="17">
        <v>1110</v>
      </c>
      <c r="H221" s="17">
        <f t="shared" ref="H221:I221" si="231">F221/5</f>
        <v>7.6</v>
      </c>
      <c r="I221" s="17">
        <f t="shared" si="231"/>
        <v>222</v>
      </c>
      <c r="J221" s="30"/>
    </row>
    <row r="222" spans="1:10" ht="15.75" customHeight="1">
      <c r="A222" s="6">
        <v>50702</v>
      </c>
      <c r="B222" s="7" t="s">
        <v>263</v>
      </c>
      <c r="C222" s="7" t="s">
        <v>288</v>
      </c>
      <c r="D222" s="7" t="s">
        <v>290</v>
      </c>
      <c r="E222" s="8">
        <f t="shared" si="0"/>
        <v>35.433070866141733</v>
      </c>
      <c r="F222" s="20">
        <v>18</v>
      </c>
      <c r="G222" s="17">
        <v>508</v>
      </c>
      <c r="H222" s="17">
        <f t="shared" ref="H222:I222" si="232">F222/5</f>
        <v>3.6</v>
      </c>
      <c r="I222" s="17">
        <f t="shared" si="232"/>
        <v>101.6</v>
      </c>
      <c r="J222" s="30"/>
    </row>
    <row r="223" spans="1:10" ht="15.75" customHeight="1">
      <c r="A223" s="6">
        <v>50801</v>
      </c>
      <c r="B223" s="7" t="s">
        <v>263</v>
      </c>
      <c r="C223" s="7" t="s">
        <v>291</v>
      </c>
      <c r="D223" s="7" t="s">
        <v>292</v>
      </c>
      <c r="E223" s="8">
        <f t="shared" si="0"/>
        <v>7.7545515846257587</v>
      </c>
      <c r="F223" s="20">
        <v>23</v>
      </c>
      <c r="G223" s="17">
        <v>2966</v>
      </c>
      <c r="H223" s="17">
        <f t="shared" ref="H223:I223" si="233">F223/5</f>
        <v>4.5999999999999996</v>
      </c>
      <c r="I223" s="17">
        <f t="shared" si="233"/>
        <v>593.20000000000005</v>
      </c>
      <c r="J223" s="30"/>
    </row>
    <row r="224" spans="1:10" ht="15.75" customHeight="1">
      <c r="A224" s="6">
        <v>50802</v>
      </c>
      <c r="B224" s="7" t="s">
        <v>263</v>
      </c>
      <c r="C224" s="7" t="s">
        <v>291</v>
      </c>
      <c r="D224" s="7" t="s">
        <v>293</v>
      </c>
      <c r="E224" s="8">
        <f t="shared" si="0"/>
        <v>14.556040756914118</v>
      </c>
      <c r="F224" s="20">
        <v>10</v>
      </c>
      <c r="G224" s="17">
        <v>687</v>
      </c>
      <c r="H224" s="17">
        <f t="shared" ref="H224:I224" si="234">F224/5</f>
        <v>2</v>
      </c>
      <c r="I224" s="17">
        <f t="shared" si="234"/>
        <v>137.4</v>
      </c>
      <c r="J224" s="30"/>
    </row>
    <row r="225" spans="1:10" ht="15.75" customHeight="1">
      <c r="A225" s="6">
        <v>50901</v>
      </c>
      <c r="B225" s="7" t="s">
        <v>263</v>
      </c>
      <c r="C225" s="7" t="s">
        <v>294</v>
      </c>
      <c r="D225" s="7" t="s">
        <v>295</v>
      </c>
      <c r="E225" s="8">
        <f t="shared" si="0"/>
        <v>15.873015873015872</v>
      </c>
      <c r="F225" s="20">
        <v>13</v>
      </c>
      <c r="G225" s="17">
        <v>819</v>
      </c>
      <c r="H225" s="17">
        <f t="shared" ref="H225:I225" si="235">F225/5</f>
        <v>2.6</v>
      </c>
      <c r="I225" s="17">
        <f t="shared" si="235"/>
        <v>163.80000000000001</v>
      </c>
      <c r="J225" s="30"/>
    </row>
    <row r="226" spans="1:10" ht="15.75" customHeight="1">
      <c r="A226" s="6">
        <v>50902</v>
      </c>
      <c r="B226" s="7" t="s">
        <v>263</v>
      </c>
      <c r="C226" s="7" t="s">
        <v>294</v>
      </c>
      <c r="D226" s="7" t="s">
        <v>296</v>
      </c>
      <c r="E226" s="8">
        <f t="shared" si="0"/>
        <v>23.255813953488371</v>
      </c>
      <c r="F226" s="20">
        <v>2</v>
      </c>
      <c r="G226" s="17">
        <v>86</v>
      </c>
      <c r="H226" s="17">
        <f t="shared" ref="H226:I226" si="236">F226/5</f>
        <v>0.4</v>
      </c>
      <c r="I226" s="17">
        <f t="shared" si="236"/>
        <v>17.2</v>
      </c>
      <c r="J226" s="30"/>
    </row>
    <row r="227" spans="1:10" ht="15.75" customHeight="1">
      <c r="A227" s="6">
        <v>51001</v>
      </c>
      <c r="B227" s="7" t="s">
        <v>263</v>
      </c>
      <c r="C227" s="7" t="s">
        <v>297</v>
      </c>
      <c r="D227" s="7" t="s">
        <v>298</v>
      </c>
      <c r="E227" s="8">
        <f t="shared" si="0"/>
        <v>24.630541871921185</v>
      </c>
      <c r="F227" s="20">
        <v>5</v>
      </c>
      <c r="G227" s="17">
        <v>203</v>
      </c>
      <c r="H227" s="17">
        <f t="shared" ref="H227:I227" si="237">F227/5</f>
        <v>1</v>
      </c>
      <c r="I227" s="17">
        <f t="shared" si="237"/>
        <v>40.6</v>
      </c>
      <c r="J227" s="30"/>
    </row>
    <row r="228" spans="1:10" ht="15.75" customHeight="1">
      <c r="A228" s="6">
        <v>51002</v>
      </c>
      <c r="B228" s="7" t="s">
        <v>263</v>
      </c>
      <c r="C228" s="7" t="s">
        <v>297</v>
      </c>
      <c r="D228" s="7" t="s">
        <v>299</v>
      </c>
      <c r="E228" s="8">
        <f t="shared" si="0"/>
        <v>16.393442622950822</v>
      </c>
      <c r="F228" s="20">
        <v>1</v>
      </c>
      <c r="G228" s="17">
        <v>61</v>
      </c>
      <c r="H228" s="17">
        <f t="shared" ref="H228:I228" si="238">F228/5</f>
        <v>0.2</v>
      </c>
      <c r="I228" s="17">
        <f t="shared" si="238"/>
        <v>12.2</v>
      </c>
      <c r="J228" s="30"/>
    </row>
    <row r="229" spans="1:10" ht="15.75" customHeight="1">
      <c r="A229" s="6">
        <v>51003</v>
      </c>
      <c r="B229" s="7" t="s">
        <v>263</v>
      </c>
      <c r="C229" s="7" t="s">
        <v>297</v>
      </c>
      <c r="D229" s="7" t="s">
        <v>300</v>
      </c>
      <c r="E229" s="8">
        <f t="shared" si="0"/>
        <v>28.776978417266189</v>
      </c>
      <c r="F229" s="20">
        <v>4</v>
      </c>
      <c r="G229" s="17">
        <v>139</v>
      </c>
      <c r="H229" s="17">
        <f t="shared" ref="H229:I229" si="239">F229/5</f>
        <v>0.8</v>
      </c>
      <c r="I229" s="17">
        <f t="shared" si="239"/>
        <v>27.8</v>
      </c>
      <c r="J229" s="30"/>
    </row>
    <row r="230" spans="1:10" ht="15.75" customHeight="1">
      <c r="A230" s="6">
        <v>51101</v>
      </c>
      <c r="B230" s="7" t="s">
        <v>263</v>
      </c>
      <c r="C230" s="7" t="s">
        <v>301</v>
      </c>
      <c r="D230" s="7" t="s">
        <v>302</v>
      </c>
      <c r="E230" s="8">
        <f t="shared" si="0"/>
        <v>12.716763005780347</v>
      </c>
      <c r="F230" s="20">
        <v>11</v>
      </c>
      <c r="G230" s="17">
        <v>865</v>
      </c>
      <c r="H230" s="17">
        <f t="shared" ref="H230:I230" si="240">F230/5</f>
        <v>2.2000000000000002</v>
      </c>
      <c r="I230" s="17">
        <f t="shared" si="240"/>
        <v>173</v>
      </c>
      <c r="J230" s="30"/>
    </row>
    <row r="231" spans="1:10" ht="15.75" customHeight="1">
      <c r="A231" s="6">
        <v>51102</v>
      </c>
      <c r="B231" s="7" t="s">
        <v>263</v>
      </c>
      <c r="C231" s="7" t="s">
        <v>301</v>
      </c>
      <c r="D231" s="7" t="s">
        <v>303</v>
      </c>
      <c r="E231" s="8">
        <f t="shared" si="0"/>
        <v>14.656144306651633</v>
      </c>
      <c r="F231" s="20">
        <v>13</v>
      </c>
      <c r="G231" s="17">
        <v>887</v>
      </c>
      <c r="H231" s="17">
        <f t="shared" ref="H231:I231" si="241">F231/5</f>
        <v>2.6</v>
      </c>
      <c r="I231" s="17">
        <f t="shared" si="241"/>
        <v>177.4</v>
      </c>
      <c r="J231" s="30"/>
    </row>
    <row r="232" spans="1:10" ht="15.75" customHeight="1">
      <c r="A232" s="6">
        <v>51103</v>
      </c>
      <c r="B232" s="7" t="s">
        <v>263</v>
      </c>
      <c r="C232" s="7" t="s">
        <v>301</v>
      </c>
      <c r="D232" s="7" t="s">
        <v>304</v>
      </c>
      <c r="E232" s="8">
        <f t="shared" si="0"/>
        <v>13.916500994035786</v>
      </c>
      <c r="F232" s="20">
        <v>14</v>
      </c>
      <c r="G232" s="17">
        <v>1006</v>
      </c>
      <c r="H232" s="17">
        <f t="shared" ref="H232:I232" si="242">F232/5</f>
        <v>2.8</v>
      </c>
      <c r="I232" s="17">
        <f t="shared" si="242"/>
        <v>201.2</v>
      </c>
      <c r="J232" s="30"/>
    </row>
    <row r="233" spans="1:10" ht="15.75" customHeight="1">
      <c r="A233" s="6">
        <v>51201</v>
      </c>
      <c r="B233" s="7" t="s">
        <v>263</v>
      </c>
      <c r="C233" s="7" t="s">
        <v>305</v>
      </c>
      <c r="D233" s="7" t="s">
        <v>306</v>
      </c>
      <c r="E233" s="8">
        <f t="shared" si="0"/>
        <v>16.768916155419223</v>
      </c>
      <c r="F233" s="20">
        <v>41</v>
      </c>
      <c r="G233" s="17">
        <v>2445</v>
      </c>
      <c r="H233" s="17">
        <f t="shared" ref="H233:I233" si="243">F233/5</f>
        <v>8.1999999999999993</v>
      </c>
      <c r="I233" s="17">
        <f t="shared" si="243"/>
        <v>489</v>
      </c>
      <c r="J233" s="30"/>
    </row>
    <row r="234" spans="1:10" ht="15.75" customHeight="1">
      <c r="A234" s="6">
        <v>51202</v>
      </c>
      <c r="B234" s="7" t="s">
        <v>263</v>
      </c>
      <c r="C234" s="7" t="s">
        <v>305</v>
      </c>
      <c r="D234" s="7" t="s">
        <v>307</v>
      </c>
      <c r="E234" s="8">
        <f t="shared" si="0"/>
        <v>17.35357917570499</v>
      </c>
      <c r="F234" s="20">
        <v>8</v>
      </c>
      <c r="G234" s="17">
        <v>461</v>
      </c>
      <c r="H234" s="17">
        <f t="shared" ref="H234:I234" si="244">F234/5</f>
        <v>1.6</v>
      </c>
      <c r="I234" s="17">
        <f t="shared" si="244"/>
        <v>92.2</v>
      </c>
      <c r="J234" s="30"/>
    </row>
    <row r="235" spans="1:10" ht="15.75" customHeight="1">
      <c r="A235" s="6">
        <v>51203</v>
      </c>
      <c r="B235" s="7" t="s">
        <v>263</v>
      </c>
      <c r="C235" s="7" t="s">
        <v>305</v>
      </c>
      <c r="D235" s="7" t="s">
        <v>308</v>
      </c>
      <c r="E235" s="8">
        <f t="shared" si="0"/>
        <v>10.56910569105691</v>
      </c>
      <c r="F235" s="20">
        <v>13</v>
      </c>
      <c r="G235" s="17">
        <v>1230</v>
      </c>
      <c r="H235" s="17">
        <f t="shared" ref="H235:I235" si="245">F235/5</f>
        <v>2.6</v>
      </c>
      <c r="I235" s="17">
        <f t="shared" si="245"/>
        <v>246</v>
      </c>
      <c r="J235" s="30"/>
    </row>
    <row r="236" spans="1:10" ht="15.75" customHeight="1">
      <c r="A236" s="19">
        <v>51204</v>
      </c>
      <c r="B236" s="7" t="s">
        <v>263</v>
      </c>
      <c r="C236" s="7"/>
      <c r="D236" s="7" t="s">
        <v>309</v>
      </c>
      <c r="E236" s="8">
        <f t="shared" si="0"/>
        <v>27.548209366391184</v>
      </c>
      <c r="F236" s="20">
        <v>10</v>
      </c>
      <c r="G236" s="17">
        <v>363</v>
      </c>
      <c r="H236" s="17">
        <f t="shared" ref="H236:I236" si="246">F236/5</f>
        <v>2</v>
      </c>
      <c r="I236" s="17">
        <f t="shared" si="246"/>
        <v>72.599999999999994</v>
      </c>
      <c r="J236" s="30"/>
    </row>
    <row r="237" spans="1:10" ht="15.75" customHeight="1">
      <c r="A237" s="6">
        <v>51301</v>
      </c>
      <c r="B237" s="7" t="s">
        <v>263</v>
      </c>
      <c r="C237" s="7" t="s">
        <v>310</v>
      </c>
      <c r="D237" s="7" t="s">
        <v>311</v>
      </c>
      <c r="E237" s="8">
        <f t="shared" si="0"/>
        <v>21.929824561403507</v>
      </c>
      <c r="F237" s="20">
        <v>5</v>
      </c>
      <c r="G237" s="17">
        <v>228</v>
      </c>
      <c r="H237" s="17">
        <f t="shared" ref="H237:I237" si="247">F237/5</f>
        <v>1</v>
      </c>
      <c r="I237" s="17">
        <f t="shared" si="247"/>
        <v>45.6</v>
      </c>
      <c r="J237" s="30"/>
    </row>
    <row r="238" spans="1:10" ht="15.75" customHeight="1">
      <c r="A238" s="6">
        <v>51302</v>
      </c>
      <c r="B238" s="7" t="s">
        <v>263</v>
      </c>
      <c r="C238" s="7" t="s">
        <v>310</v>
      </c>
      <c r="D238" s="7" t="s">
        <v>312</v>
      </c>
      <c r="E238" s="8">
        <f t="shared" si="0"/>
        <v>30.188679245283019</v>
      </c>
      <c r="F238" s="20">
        <v>8</v>
      </c>
      <c r="G238" s="17">
        <v>265</v>
      </c>
      <c r="H238" s="17">
        <f t="shared" ref="H238:I238" si="248">F238/5</f>
        <v>1.6</v>
      </c>
      <c r="I238" s="17">
        <f t="shared" si="248"/>
        <v>53</v>
      </c>
      <c r="J238" s="30"/>
    </row>
    <row r="239" spans="1:10" ht="15.75" customHeight="1">
      <c r="A239" s="6">
        <v>51401</v>
      </c>
      <c r="B239" s="7" t="s">
        <v>263</v>
      </c>
      <c r="C239" s="7" t="s">
        <v>313</v>
      </c>
      <c r="D239" s="7" t="s">
        <v>314</v>
      </c>
      <c r="E239" s="8">
        <f t="shared" si="0"/>
        <v>28.070175438596493</v>
      </c>
      <c r="F239" s="20">
        <v>8</v>
      </c>
      <c r="G239" s="17">
        <v>285</v>
      </c>
      <c r="H239" s="17">
        <f t="shared" ref="H239:I239" si="249">F239/5</f>
        <v>1.6</v>
      </c>
      <c r="I239" s="17">
        <f t="shared" si="249"/>
        <v>57</v>
      </c>
      <c r="J239" s="30"/>
    </row>
    <row r="240" spans="1:10" ht="15.75" customHeight="1">
      <c r="A240" s="6">
        <v>51402</v>
      </c>
      <c r="B240" s="7" t="s">
        <v>263</v>
      </c>
      <c r="C240" s="7" t="s">
        <v>313</v>
      </c>
      <c r="D240" s="7" t="s">
        <v>315</v>
      </c>
      <c r="E240" s="8">
        <f t="shared" si="0"/>
        <v>0</v>
      </c>
      <c r="F240" s="20">
        <v>0</v>
      </c>
      <c r="G240" s="17">
        <v>84</v>
      </c>
      <c r="H240" s="17">
        <f t="shared" ref="H240:I240" si="250">F240/5</f>
        <v>0</v>
      </c>
      <c r="I240" s="17">
        <f t="shared" si="250"/>
        <v>16.8</v>
      </c>
      <c r="J240" s="30"/>
    </row>
    <row r="241" spans="1:14" ht="15.75" customHeight="1">
      <c r="A241" s="6">
        <v>51501</v>
      </c>
      <c r="B241" s="7" t="s">
        <v>263</v>
      </c>
      <c r="C241" s="7" t="s">
        <v>316</v>
      </c>
      <c r="D241" s="7" t="s">
        <v>317</v>
      </c>
      <c r="E241" s="8">
        <f t="shared" si="0"/>
        <v>12.358049432197728</v>
      </c>
      <c r="F241" s="20">
        <v>37</v>
      </c>
      <c r="G241" s="17">
        <v>2994</v>
      </c>
      <c r="H241" s="17">
        <f t="shared" ref="H241:I241" si="251">F241/5</f>
        <v>7.4</v>
      </c>
      <c r="I241" s="17">
        <f t="shared" si="251"/>
        <v>598.79999999999995</v>
      </c>
      <c r="J241" s="30"/>
    </row>
    <row r="242" spans="1:14" ht="15.75" customHeight="1">
      <c r="A242" s="6">
        <v>51601</v>
      </c>
      <c r="B242" s="7" t="s">
        <v>263</v>
      </c>
      <c r="C242" s="7" t="s">
        <v>318</v>
      </c>
      <c r="D242" s="7" t="s">
        <v>319</v>
      </c>
      <c r="E242" s="8">
        <f t="shared" si="0"/>
        <v>15.625</v>
      </c>
      <c r="F242" s="20">
        <v>2</v>
      </c>
      <c r="G242" s="17">
        <v>128</v>
      </c>
      <c r="H242" s="17">
        <f t="shared" ref="H242:I242" si="252">F242/5</f>
        <v>0.4</v>
      </c>
      <c r="I242" s="17">
        <f t="shared" si="252"/>
        <v>25.6</v>
      </c>
      <c r="J242" s="30"/>
    </row>
    <row r="243" spans="1:14" ht="15.75" customHeight="1">
      <c r="A243" s="6">
        <v>60101</v>
      </c>
      <c r="B243" s="7" t="s">
        <v>25</v>
      </c>
      <c r="C243" s="7" t="s">
        <v>164</v>
      </c>
      <c r="D243" s="7" t="s">
        <v>25</v>
      </c>
      <c r="E243" s="8">
        <f t="shared" si="0"/>
        <v>5.4260603744745897</v>
      </c>
      <c r="F243" s="20">
        <v>71</v>
      </c>
      <c r="G243" s="17">
        <v>13085</v>
      </c>
      <c r="H243" s="17">
        <f t="shared" ref="H243:I243" si="253">F243/5</f>
        <v>14.2</v>
      </c>
      <c r="I243" s="17">
        <f t="shared" si="253"/>
        <v>2617</v>
      </c>
      <c r="J243" s="30"/>
    </row>
    <row r="244" spans="1:14" ht="15.75" customHeight="1">
      <c r="A244" s="6">
        <v>60201</v>
      </c>
      <c r="B244" s="7" t="s">
        <v>25</v>
      </c>
      <c r="C244" s="7" t="s">
        <v>320</v>
      </c>
      <c r="D244" s="7" t="s">
        <v>321</v>
      </c>
      <c r="E244" s="8">
        <f t="shared" si="0"/>
        <v>5.9760956175298805</v>
      </c>
      <c r="F244" s="20">
        <v>6</v>
      </c>
      <c r="G244" s="17">
        <v>1004</v>
      </c>
      <c r="H244" s="17">
        <f t="shared" ref="H244:I244" si="254">F244/5</f>
        <v>1.2</v>
      </c>
      <c r="I244" s="17">
        <f t="shared" si="254"/>
        <v>200.8</v>
      </c>
      <c r="J244" s="30"/>
    </row>
    <row r="245" spans="1:14" ht="15.75" customHeight="1">
      <c r="A245" s="6">
        <v>60202</v>
      </c>
      <c r="B245" s="7" t="s">
        <v>25</v>
      </c>
      <c r="C245" s="7" t="s">
        <v>320</v>
      </c>
      <c r="D245" s="7" t="s">
        <v>322</v>
      </c>
      <c r="E245" s="8">
        <f t="shared" si="0"/>
        <v>4.4326241134751774</v>
      </c>
      <c r="F245" s="20">
        <v>10</v>
      </c>
      <c r="G245" s="17">
        <v>2256</v>
      </c>
      <c r="H245" s="17">
        <f t="shared" ref="H245:I245" si="255">F245/5</f>
        <v>2</v>
      </c>
      <c r="I245" s="17">
        <f t="shared" si="255"/>
        <v>451.2</v>
      </c>
      <c r="J245" s="30"/>
    </row>
    <row r="246" spans="1:14" ht="15.75" customHeight="1">
      <c r="A246" s="6">
        <v>60301</v>
      </c>
      <c r="B246" s="7" t="s">
        <v>25</v>
      </c>
      <c r="C246" s="7" t="s">
        <v>323</v>
      </c>
      <c r="D246" s="7" t="s">
        <v>324</v>
      </c>
      <c r="E246" s="8">
        <f t="shared" si="0"/>
        <v>9.8007712082262213</v>
      </c>
      <c r="F246" s="20">
        <v>61</v>
      </c>
      <c r="G246" s="17">
        <v>6224</v>
      </c>
      <c r="H246" s="17">
        <f t="shared" ref="H246:I246" si="256">F246/5</f>
        <v>12.2</v>
      </c>
      <c r="I246" s="17">
        <f t="shared" si="256"/>
        <v>1244.8</v>
      </c>
      <c r="J246" s="30"/>
      <c r="L246" s="18"/>
      <c r="M246" s="18"/>
      <c r="N246" s="18"/>
    </row>
    <row r="247" spans="1:14" ht="15.75" customHeight="1">
      <c r="A247" s="6">
        <v>60302</v>
      </c>
      <c r="B247" s="7" t="s">
        <v>25</v>
      </c>
      <c r="C247" s="7" t="s">
        <v>323</v>
      </c>
      <c r="D247" s="7" t="s">
        <v>325</v>
      </c>
      <c r="E247" s="8">
        <f t="shared" si="0"/>
        <v>6.5176908752327751</v>
      </c>
      <c r="F247" s="20">
        <v>7</v>
      </c>
      <c r="G247" s="17">
        <v>1074</v>
      </c>
      <c r="H247" s="17">
        <f t="shared" ref="H247:I247" si="257">F247/5</f>
        <v>1.4</v>
      </c>
      <c r="I247" s="17">
        <f t="shared" si="257"/>
        <v>214.8</v>
      </c>
      <c r="J247" s="30"/>
    </row>
    <row r="248" spans="1:14" ht="15.75" customHeight="1">
      <c r="A248" s="6">
        <v>60303</v>
      </c>
      <c r="B248" s="7" t="s">
        <v>25</v>
      </c>
      <c r="C248" s="7" t="s">
        <v>323</v>
      </c>
      <c r="D248" s="7" t="s">
        <v>326</v>
      </c>
      <c r="E248" s="8">
        <f t="shared" si="0"/>
        <v>5.6087099967007594</v>
      </c>
      <c r="F248" s="20">
        <v>17</v>
      </c>
      <c r="G248" s="17">
        <v>3031</v>
      </c>
      <c r="H248" s="17">
        <f t="shared" ref="H248:I248" si="258">F248/5</f>
        <v>3.4</v>
      </c>
      <c r="I248" s="17">
        <f t="shared" si="258"/>
        <v>606.20000000000005</v>
      </c>
      <c r="J248" s="30"/>
    </row>
    <row r="249" spans="1:14" ht="15.75" customHeight="1">
      <c r="A249" s="6">
        <v>60401</v>
      </c>
      <c r="B249" s="7" t="s">
        <v>25</v>
      </c>
      <c r="C249" s="7" t="s">
        <v>327</v>
      </c>
      <c r="D249" s="7" t="s">
        <v>328</v>
      </c>
      <c r="E249" s="8">
        <f t="shared" si="0"/>
        <v>5.186721991701245</v>
      </c>
      <c r="F249" s="20">
        <v>5</v>
      </c>
      <c r="G249" s="17">
        <v>964</v>
      </c>
      <c r="H249" s="17">
        <f t="shared" ref="H249:I249" si="259">F249/5</f>
        <v>1</v>
      </c>
      <c r="I249" s="17">
        <f t="shared" si="259"/>
        <v>192.8</v>
      </c>
      <c r="J249" s="30"/>
    </row>
    <row r="250" spans="1:14" ht="15.75" customHeight="1">
      <c r="A250" s="6">
        <v>60402</v>
      </c>
      <c r="B250" s="7" t="s">
        <v>25</v>
      </c>
      <c r="C250" s="7" t="s">
        <v>327</v>
      </c>
      <c r="D250" s="7" t="s">
        <v>329</v>
      </c>
      <c r="E250" s="8">
        <f t="shared" si="0"/>
        <v>6.430868167202572</v>
      </c>
      <c r="F250" s="20">
        <v>2</v>
      </c>
      <c r="G250" s="17">
        <v>311</v>
      </c>
      <c r="H250" s="17">
        <f t="shared" ref="H250:I250" si="260">F250/5</f>
        <v>0.4</v>
      </c>
      <c r="I250" s="17">
        <f t="shared" si="260"/>
        <v>62.2</v>
      </c>
      <c r="J250" s="30"/>
    </row>
    <row r="251" spans="1:14" ht="15.75" customHeight="1">
      <c r="A251" s="6">
        <v>60501</v>
      </c>
      <c r="B251" s="7" t="s">
        <v>25</v>
      </c>
      <c r="C251" s="7" t="s">
        <v>330</v>
      </c>
      <c r="D251" s="7" t="s">
        <v>331</v>
      </c>
      <c r="E251" s="8">
        <f t="shared" si="0"/>
        <v>4.5950603101665708</v>
      </c>
      <c r="F251" s="20">
        <v>8</v>
      </c>
      <c r="G251" s="17">
        <v>1741</v>
      </c>
      <c r="H251" s="17">
        <f t="shared" ref="H251:I251" si="261">F251/5</f>
        <v>1.6</v>
      </c>
      <c r="I251" s="17">
        <f t="shared" si="261"/>
        <v>348.2</v>
      </c>
      <c r="J251" s="30"/>
    </row>
    <row r="252" spans="1:14" ht="15.75" customHeight="1">
      <c r="A252" s="6">
        <v>60502</v>
      </c>
      <c r="B252" s="7" t="s">
        <v>25</v>
      </c>
      <c r="C252" s="7" t="s">
        <v>330</v>
      </c>
      <c r="D252" s="7" t="s">
        <v>332</v>
      </c>
      <c r="E252" s="8">
        <f t="shared" si="0"/>
        <v>8.9126559714795004</v>
      </c>
      <c r="F252" s="20">
        <v>5</v>
      </c>
      <c r="G252" s="17">
        <v>561</v>
      </c>
      <c r="H252" s="17">
        <f t="shared" ref="H252:I252" si="262">F252/5</f>
        <v>1</v>
      </c>
      <c r="I252" s="17">
        <f t="shared" si="262"/>
        <v>112.2</v>
      </c>
      <c r="J252" s="30"/>
    </row>
    <row r="253" spans="1:14" ht="15.75" customHeight="1">
      <c r="A253" s="6">
        <v>60601</v>
      </c>
      <c r="B253" s="7" t="s">
        <v>25</v>
      </c>
      <c r="C253" s="7" t="s">
        <v>333</v>
      </c>
      <c r="D253" s="7" t="s">
        <v>205</v>
      </c>
      <c r="E253" s="8">
        <f t="shared" si="0"/>
        <v>6.9444444444444438</v>
      </c>
      <c r="F253" s="20">
        <v>9</v>
      </c>
      <c r="G253" s="17">
        <v>1296</v>
      </c>
      <c r="H253" s="17">
        <f t="shared" ref="H253:I253" si="263">F253/5</f>
        <v>1.8</v>
      </c>
      <c r="I253" s="17">
        <f t="shared" si="263"/>
        <v>259.2</v>
      </c>
      <c r="J253" s="30"/>
    </row>
    <row r="254" spans="1:14" ht="15.75" customHeight="1">
      <c r="A254" s="6">
        <v>70101</v>
      </c>
      <c r="B254" s="7" t="s">
        <v>27</v>
      </c>
      <c r="C254" s="7" t="s">
        <v>334</v>
      </c>
      <c r="D254" s="7" t="s">
        <v>335</v>
      </c>
      <c r="E254" s="8">
        <f t="shared" si="0"/>
        <v>5.939804664141918</v>
      </c>
      <c r="F254" s="20">
        <v>596</v>
      </c>
      <c r="G254" s="17">
        <v>100340</v>
      </c>
      <c r="H254" s="17">
        <f t="shared" ref="H254:I254" si="264">F254/5</f>
        <v>119.2</v>
      </c>
      <c r="I254" s="17">
        <f t="shared" si="264"/>
        <v>20068</v>
      </c>
      <c r="J254" s="30"/>
    </row>
    <row r="255" spans="1:14" ht="15.75" customHeight="1">
      <c r="A255" s="6">
        <v>70102</v>
      </c>
      <c r="B255" s="7" t="s">
        <v>27</v>
      </c>
      <c r="C255" s="7" t="s">
        <v>334</v>
      </c>
      <c r="D255" s="7" t="s">
        <v>336</v>
      </c>
      <c r="E255" s="8">
        <f t="shared" si="0"/>
        <v>7.1008814887365332</v>
      </c>
      <c r="F255" s="20">
        <v>58</v>
      </c>
      <c r="G255" s="17">
        <v>8168</v>
      </c>
      <c r="H255" s="17">
        <f t="shared" ref="H255:I255" si="265">F255/5</f>
        <v>11.6</v>
      </c>
      <c r="I255" s="17">
        <f t="shared" si="265"/>
        <v>1633.6</v>
      </c>
      <c r="J255" s="30"/>
    </row>
    <row r="256" spans="1:14" ht="15.75" customHeight="1">
      <c r="A256" s="6">
        <v>70103</v>
      </c>
      <c r="B256" s="7" t="s">
        <v>27</v>
      </c>
      <c r="C256" s="7" t="s">
        <v>334</v>
      </c>
      <c r="D256" s="7" t="s">
        <v>337</v>
      </c>
      <c r="E256" s="8">
        <f t="shared" si="0"/>
        <v>6.4562410329985651</v>
      </c>
      <c r="F256" s="20">
        <v>9</v>
      </c>
      <c r="G256" s="17">
        <v>1394</v>
      </c>
      <c r="H256" s="17">
        <f t="shared" ref="H256:I256" si="266">F256/5</f>
        <v>1.8</v>
      </c>
      <c r="I256" s="17">
        <f t="shared" si="266"/>
        <v>278.8</v>
      </c>
      <c r="J256" s="30"/>
    </row>
    <row r="257" spans="1:10" ht="15.75" customHeight="1">
      <c r="A257" s="6">
        <v>70104</v>
      </c>
      <c r="B257" s="7" t="s">
        <v>27</v>
      </c>
      <c r="C257" s="7" t="s">
        <v>334</v>
      </c>
      <c r="D257" s="7" t="s">
        <v>338</v>
      </c>
      <c r="E257" s="8">
        <f t="shared" ref="E257:E344" si="267">(F257/G257)*1000</f>
        <v>5.7798079612193529</v>
      </c>
      <c r="F257" s="20">
        <v>62</v>
      </c>
      <c r="G257" s="17">
        <v>10727</v>
      </c>
      <c r="H257" s="17">
        <f t="shared" ref="H257:I257" si="268">F257/5</f>
        <v>12.4</v>
      </c>
      <c r="I257" s="17">
        <f t="shared" si="268"/>
        <v>2145.4</v>
      </c>
      <c r="J257" s="30"/>
    </row>
    <row r="258" spans="1:10" ht="15.75" customHeight="1">
      <c r="A258" s="6">
        <v>70105</v>
      </c>
      <c r="B258" s="7" t="s">
        <v>27</v>
      </c>
      <c r="C258" s="7" t="s">
        <v>334</v>
      </c>
      <c r="D258" s="7" t="s">
        <v>339</v>
      </c>
      <c r="E258" s="8">
        <f t="shared" si="267"/>
        <v>7.6235541535226083</v>
      </c>
      <c r="F258" s="20">
        <v>29</v>
      </c>
      <c r="G258" s="17">
        <v>3804</v>
      </c>
      <c r="H258" s="17">
        <f t="shared" ref="H258:I258" si="269">F258/5</f>
        <v>5.8</v>
      </c>
      <c r="I258" s="17">
        <f t="shared" si="269"/>
        <v>760.8</v>
      </c>
      <c r="J258" s="30"/>
    </row>
    <row r="259" spans="1:10" ht="15.75" customHeight="1">
      <c r="A259" s="6">
        <v>70201</v>
      </c>
      <c r="B259" s="7" t="s">
        <v>27</v>
      </c>
      <c r="C259" s="7" t="s">
        <v>340</v>
      </c>
      <c r="D259" s="7" t="s">
        <v>340</v>
      </c>
      <c r="E259" s="8">
        <f t="shared" si="267"/>
        <v>7.9842109984749259</v>
      </c>
      <c r="F259" s="20">
        <v>89</v>
      </c>
      <c r="G259" s="17">
        <v>11147</v>
      </c>
      <c r="H259" s="17">
        <f t="shared" ref="H259:I259" si="270">F259/5</f>
        <v>17.8</v>
      </c>
      <c r="I259" s="17">
        <f t="shared" si="270"/>
        <v>2229.4</v>
      </c>
      <c r="J259" s="30"/>
    </row>
    <row r="260" spans="1:10" ht="15.75" customHeight="1">
      <c r="A260" s="6">
        <v>70202</v>
      </c>
      <c r="B260" s="7" t="s">
        <v>27</v>
      </c>
      <c r="C260" s="7" t="s">
        <v>340</v>
      </c>
      <c r="D260" s="7" t="s">
        <v>341</v>
      </c>
      <c r="E260" s="8">
        <f t="shared" si="267"/>
        <v>9.4979647218453191</v>
      </c>
      <c r="F260" s="20">
        <v>7</v>
      </c>
      <c r="G260" s="17">
        <v>737</v>
      </c>
      <c r="H260" s="17">
        <f t="shared" ref="H260:I260" si="271">F260/5</f>
        <v>1.4</v>
      </c>
      <c r="I260" s="17">
        <f t="shared" si="271"/>
        <v>147.4</v>
      </c>
      <c r="J260" s="30"/>
    </row>
    <row r="261" spans="1:10" ht="15.75" customHeight="1">
      <c r="A261" s="6">
        <v>70301</v>
      </c>
      <c r="B261" s="7" t="s">
        <v>27</v>
      </c>
      <c r="C261" s="7" t="s">
        <v>342</v>
      </c>
      <c r="D261" s="7" t="s">
        <v>343</v>
      </c>
      <c r="E261" s="8">
        <f t="shared" si="267"/>
        <v>11.529454152404972</v>
      </c>
      <c r="F261" s="20">
        <v>64</v>
      </c>
      <c r="G261" s="17">
        <v>5551</v>
      </c>
      <c r="H261" s="17">
        <f t="shared" ref="H261:I261" si="272">F261/5</f>
        <v>12.8</v>
      </c>
      <c r="I261" s="17">
        <f t="shared" si="272"/>
        <v>1110.2</v>
      </c>
      <c r="J261" s="30"/>
    </row>
    <row r="262" spans="1:10" ht="15.75" customHeight="1">
      <c r="A262" s="6">
        <v>70302</v>
      </c>
      <c r="B262" s="7" t="s">
        <v>27</v>
      </c>
      <c r="C262" s="7" t="s">
        <v>342</v>
      </c>
      <c r="D262" s="7" t="s">
        <v>344</v>
      </c>
      <c r="E262" s="8">
        <f t="shared" si="267"/>
        <v>21.19071644803229</v>
      </c>
      <c r="F262" s="20">
        <v>21</v>
      </c>
      <c r="G262" s="17">
        <v>991</v>
      </c>
      <c r="H262" s="17">
        <f t="shared" ref="H262:I262" si="273">F262/5</f>
        <v>4.2</v>
      </c>
      <c r="I262" s="17">
        <f t="shared" si="273"/>
        <v>198.2</v>
      </c>
      <c r="J262" s="30"/>
    </row>
    <row r="263" spans="1:10" ht="15.75" customHeight="1">
      <c r="A263" s="6">
        <v>70303</v>
      </c>
      <c r="B263" s="7" t="s">
        <v>27</v>
      </c>
      <c r="C263" s="7" t="s">
        <v>342</v>
      </c>
      <c r="D263" s="7" t="s">
        <v>345</v>
      </c>
      <c r="E263" s="8">
        <f t="shared" si="267"/>
        <v>13.636363636363635</v>
      </c>
      <c r="F263" s="20">
        <v>9</v>
      </c>
      <c r="G263" s="17">
        <v>660</v>
      </c>
      <c r="H263" s="17">
        <f t="shared" ref="H263:I263" si="274">F263/5</f>
        <v>1.8</v>
      </c>
      <c r="I263" s="17">
        <f t="shared" si="274"/>
        <v>132</v>
      </c>
      <c r="J263" s="30"/>
    </row>
    <row r="264" spans="1:10" ht="15.75" customHeight="1">
      <c r="A264" s="6">
        <v>70401</v>
      </c>
      <c r="B264" s="7" t="s">
        <v>27</v>
      </c>
      <c r="C264" s="7" t="s">
        <v>346</v>
      </c>
      <c r="D264" s="7" t="s">
        <v>347</v>
      </c>
      <c r="E264" s="8">
        <f t="shared" si="267"/>
        <v>2.1413276231263385</v>
      </c>
      <c r="F264" s="20">
        <v>2</v>
      </c>
      <c r="G264" s="17">
        <v>934</v>
      </c>
      <c r="H264" s="17">
        <f t="shared" ref="H264:I264" si="275">F264/5</f>
        <v>0.4</v>
      </c>
      <c r="I264" s="17">
        <f t="shared" si="275"/>
        <v>186.8</v>
      </c>
      <c r="J264" s="30"/>
    </row>
    <row r="265" spans="1:10" ht="15.75" customHeight="1">
      <c r="A265" s="6">
        <v>70402</v>
      </c>
      <c r="B265" s="7" t="s">
        <v>27</v>
      </c>
      <c r="C265" s="7" t="s">
        <v>346</v>
      </c>
      <c r="D265" s="7" t="s">
        <v>348</v>
      </c>
      <c r="E265" s="8">
        <f t="shared" si="267"/>
        <v>8.4033613445378155</v>
      </c>
      <c r="F265" s="20">
        <v>11</v>
      </c>
      <c r="G265" s="17">
        <v>1309</v>
      </c>
      <c r="H265" s="17">
        <f t="shared" ref="H265:I265" si="276">F265/5</f>
        <v>2.2000000000000002</v>
      </c>
      <c r="I265" s="17">
        <f t="shared" si="276"/>
        <v>261.8</v>
      </c>
      <c r="J265" s="30"/>
    </row>
    <row r="266" spans="1:10" ht="15.75" customHeight="1">
      <c r="A266" s="6">
        <v>70403</v>
      </c>
      <c r="B266" s="7" t="s">
        <v>27</v>
      </c>
      <c r="C266" s="7" t="s">
        <v>346</v>
      </c>
      <c r="D266" s="7" t="s">
        <v>349</v>
      </c>
      <c r="E266" s="8">
        <f t="shared" si="267"/>
        <v>8.0428954423592494</v>
      </c>
      <c r="F266" s="20">
        <v>33</v>
      </c>
      <c r="G266" s="17">
        <v>4103</v>
      </c>
      <c r="H266" s="17">
        <f t="shared" ref="H266:I266" si="277">F266/5</f>
        <v>6.6</v>
      </c>
      <c r="I266" s="17">
        <f t="shared" si="277"/>
        <v>820.6</v>
      </c>
      <c r="J266" s="30"/>
    </row>
    <row r="267" spans="1:10" ht="15.75" customHeight="1">
      <c r="A267" s="6">
        <v>70404</v>
      </c>
      <c r="B267" s="7" t="s">
        <v>27</v>
      </c>
      <c r="C267" s="7" t="s">
        <v>346</v>
      </c>
      <c r="D267" s="7" t="s">
        <v>350</v>
      </c>
      <c r="E267" s="8">
        <f t="shared" si="267"/>
        <v>4.3988269794721413</v>
      </c>
      <c r="F267" s="20">
        <v>3</v>
      </c>
      <c r="G267" s="17">
        <v>682</v>
      </c>
      <c r="H267" s="17">
        <f t="shared" ref="H267:I267" si="278">F267/5</f>
        <v>0.6</v>
      </c>
      <c r="I267" s="17">
        <f t="shared" si="278"/>
        <v>136.4</v>
      </c>
      <c r="J267" s="30"/>
    </row>
    <row r="268" spans="1:10" ht="15.75" customHeight="1">
      <c r="A268" s="6">
        <v>70501</v>
      </c>
      <c r="B268" s="7" t="s">
        <v>27</v>
      </c>
      <c r="C268" s="7" t="s">
        <v>351</v>
      </c>
      <c r="D268" s="7" t="s">
        <v>352</v>
      </c>
      <c r="E268" s="8">
        <f t="shared" si="267"/>
        <v>12.771392081736909</v>
      </c>
      <c r="F268" s="20">
        <v>40</v>
      </c>
      <c r="G268" s="17">
        <v>3132</v>
      </c>
      <c r="H268" s="17">
        <f t="shared" ref="H268:I268" si="279">F268/5</f>
        <v>8</v>
      </c>
      <c r="I268" s="17">
        <f t="shared" si="279"/>
        <v>626.4</v>
      </c>
      <c r="J268" s="30"/>
    </row>
    <row r="269" spans="1:10" ht="15.75" customHeight="1">
      <c r="A269" s="6">
        <v>70502</v>
      </c>
      <c r="B269" s="7" t="s">
        <v>27</v>
      </c>
      <c r="C269" s="7" t="s">
        <v>351</v>
      </c>
      <c r="D269" s="7" t="s">
        <v>353</v>
      </c>
      <c r="E269" s="8">
        <f t="shared" si="267"/>
        <v>15.19426958975472</v>
      </c>
      <c r="F269" s="20">
        <v>70</v>
      </c>
      <c r="G269" s="17">
        <v>4607</v>
      </c>
      <c r="H269" s="17">
        <f t="shared" ref="H269:I269" si="280">F269/5</f>
        <v>14</v>
      </c>
      <c r="I269" s="17">
        <f t="shared" si="280"/>
        <v>921.4</v>
      </c>
      <c r="J269" s="30"/>
    </row>
    <row r="270" spans="1:10" ht="15.75" customHeight="1">
      <c r="A270" s="6">
        <v>70503</v>
      </c>
      <c r="B270" s="7" t="s">
        <v>27</v>
      </c>
      <c r="C270" s="7" t="s">
        <v>351</v>
      </c>
      <c r="D270" s="7" t="s">
        <v>354</v>
      </c>
      <c r="E270" s="8">
        <f t="shared" si="267"/>
        <v>6.3897763578274756</v>
      </c>
      <c r="F270" s="20">
        <v>8</v>
      </c>
      <c r="G270" s="17">
        <v>1252</v>
      </c>
      <c r="H270" s="17">
        <f t="shared" ref="H270:I270" si="281">F270/5</f>
        <v>1.6</v>
      </c>
      <c r="I270" s="17">
        <f t="shared" si="281"/>
        <v>250.4</v>
      </c>
      <c r="J270" s="30"/>
    </row>
    <row r="271" spans="1:10" ht="15.75" customHeight="1">
      <c r="A271" s="6">
        <v>70601</v>
      </c>
      <c r="B271" s="7" t="s">
        <v>27</v>
      </c>
      <c r="C271" s="7" t="s">
        <v>355</v>
      </c>
      <c r="D271" s="7" t="s">
        <v>356</v>
      </c>
      <c r="E271" s="8">
        <f t="shared" si="267"/>
        <v>4.8780487804878048</v>
      </c>
      <c r="F271" s="20">
        <v>7</v>
      </c>
      <c r="G271" s="17">
        <v>1435</v>
      </c>
      <c r="H271" s="17">
        <f t="shared" ref="H271:I271" si="282">F271/5</f>
        <v>1.4</v>
      </c>
      <c r="I271" s="17">
        <f t="shared" si="282"/>
        <v>287</v>
      </c>
      <c r="J271" s="30"/>
    </row>
    <row r="272" spans="1:10" ht="15.75" customHeight="1">
      <c r="A272" s="6">
        <v>70602</v>
      </c>
      <c r="B272" s="7" t="s">
        <v>27</v>
      </c>
      <c r="C272" s="7" t="s">
        <v>355</v>
      </c>
      <c r="D272" s="7" t="s">
        <v>357</v>
      </c>
      <c r="E272" s="8">
        <f t="shared" si="267"/>
        <v>10.5433901054339</v>
      </c>
      <c r="F272" s="20">
        <v>13</v>
      </c>
      <c r="G272" s="17">
        <v>1233</v>
      </c>
      <c r="H272" s="17">
        <f t="shared" ref="H272:I272" si="283">F272/5</f>
        <v>2.6</v>
      </c>
      <c r="I272" s="17">
        <f t="shared" si="283"/>
        <v>246.6</v>
      </c>
      <c r="J272" s="30"/>
    </row>
    <row r="273" spans="1:10" ht="15.75" customHeight="1">
      <c r="A273" s="6">
        <v>70603</v>
      </c>
      <c r="B273" s="7" t="s">
        <v>27</v>
      </c>
      <c r="C273" s="7" t="s">
        <v>355</v>
      </c>
      <c r="D273" s="7" t="s">
        <v>358</v>
      </c>
      <c r="E273" s="8">
        <f t="shared" si="267"/>
        <v>6.9930069930069934</v>
      </c>
      <c r="F273" s="20">
        <v>3</v>
      </c>
      <c r="G273" s="17">
        <v>429</v>
      </c>
      <c r="H273" s="17">
        <f t="shared" ref="H273:I273" si="284">F273/5</f>
        <v>0.6</v>
      </c>
      <c r="I273" s="17">
        <f t="shared" si="284"/>
        <v>85.8</v>
      </c>
      <c r="J273" s="30"/>
    </row>
    <row r="274" spans="1:10" ht="15.75" customHeight="1">
      <c r="A274" s="6">
        <v>70701</v>
      </c>
      <c r="B274" s="7" t="s">
        <v>27</v>
      </c>
      <c r="C274" s="7" t="s">
        <v>359</v>
      </c>
      <c r="D274" s="7" t="s">
        <v>360</v>
      </c>
      <c r="E274" s="8">
        <f t="shared" si="267"/>
        <v>11.600928074245939</v>
      </c>
      <c r="F274" s="20">
        <v>5</v>
      </c>
      <c r="G274" s="17">
        <v>431</v>
      </c>
      <c r="H274" s="17">
        <f t="shared" ref="H274:I274" si="285">F274/5</f>
        <v>1</v>
      </c>
      <c r="I274" s="17">
        <f t="shared" si="285"/>
        <v>86.2</v>
      </c>
      <c r="J274" s="30"/>
    </row>
    <row r="275" spans="1:10" ht="15.75" customHeight="1">
      <c r="A275" s="6">
        <v>70702</v>
      </c>
      <c r="B275" s="7" t="s">
        <v>27</v>
      </c>
      <c r="C275" s="7" t="s">
        <v>359</v>
      </c>
      <c r="D275" s="7" t="s">
        <v>361</v>
      </c>
      <c r="E275" s="8">
        <f t="shared" si="267"/>
        <v>22.630834512022631</v>
      </c>
      <c r="F275" s="20">
        <v>64</v>
      </c>
      <c r="G275" s="17">
        <v>2828</v>
      </c>
      <c r="H275" s="17">
        <f t="shared" ref="H275:I275" si="286">F275/5</f>
        <v>12.8</v>
      </c>
      <c r="I275" s="17">
        <f t="shared" si="286"/>
        <v>565.6</v>
      </c>
      <c r="J275" s="30"/>
    </row>
    <row r="276" spans="1:10" ht="15.75" customHeight="1">
      <c r="A276" s="6">
        <v>70703</v>
      </c>
      <c r="B276" s="7" t="s">
        <v>27</v>
      </c>
      <c r="C276" s="7" t="s">
        <v>359</v>
      </c>
      <c r="D276" s="7" t="s">
        <v>362</v>
      </c>
      <c r="E276" s="8">
        <f t="shared" si="267"/>
        <v>8.9177138224564256</v>
      </c>
      <c r="F276" s="20">
        <v>22</v>
      </c>
      <c r="G276" s="17">
        <v>2467</v>
      </c>
      <c r="H276" s="17">
        <f t="shared" ref="H276:I276" si="287">F276/5</f>
        <v>4.4000000000000004</v>
      </c>
      <c r="I276" s="17">
        <f t="shared" si="287"/>
        <v>493.4</v>
      </c>
      <c r="J276" s="30"/>
    </row>
    <row r="277" spans="1:10" ht="15.75" customHeight="1">
      <c r="A277" s="6">
        <v>70704</v>
      </c>
      <c r="B277" s="7" t="s">
        <v>27</v>
      </c>
      <c r="C277" s="7" t="s">
        <v>359</v>
      </c>
      <c r="D277" s="7" t="s">
        <v>363</v>
      </c>
      <c r="E277" s="8">
        <f t="shared" si="267"/>
        <v>7.2202166064981954</v>
      </c>
      <c r="F277" s="20">
        <v>2</v>
      </c>
      <c r="G277" s="17">
        <v>277</v>
      </c>
      <c r="H277" s="17">
        <f t="shared" ref="H277:I277" si="288">F277/5</f>
        <v>0.4</v>
      </c>
      <c r="I277" s="17">
        <f t="shared" si="288"/>
        <v>55.4</v>
      </c>
      <c r="J277" s="30"/>
    </row>
    <row r="278" spans="1:10" ht="15.75" customHeight="1">
      <c r="A278" s="6">
        <v>70705</v>
      </c>
      <c r="B278" s="7" t="s">
        <v>27</v>
      </c>
      <c r="C278" s="7" t="s">
        <v>359</v>
      </c>
      <c r="D278" s="7" t="s">
        <v>364</v>
      </c>
      <c r="E278" s="8">
        <f t="shared" si="267"/>
        <v>20.798668885191347</v>
      </c>
      <c r="F278" s="20">
        <v>25</v>
      </c>
      <c r="G278" s="17">
        <v>1202</v>
      </c>
      <c r="H278" s="17">
        <f t="shared" ref="H278:I278" si="289">F278/5</f>
        <v>5</v>
      </c>
      <c r="I278" s="17">
        <f t="shared" si="289"/>
        <v>240.4</v>
      </c>
      <c r="J278" s="30"/>
    </row>
    <row r="279" spans="1:10" ht="15.75" customHeight="1">
      <c r="A279" s="6">
        <v>70706</v>
      </c>
      <c r="B279" s="7" t="s">
        <v>27</v>
      </c>
      <c r="C279" s="7" t="s">
        <v>359</v>
      </c>
      <c r="D279" s="7" t="s">
        <v>365</v>
      </c>
      <c r="E279" s="8">
        <f t="shared" si="267"/>
        <v>7.2501294665976177</v>
      </c>
      <c r="F279" s="20">
        <v>14</v>
      </c>
      <c r="G279" s="17">
        <v>1931</v>
      </c>
      <c r="H279" s="17">
        <f t="shared" ref="H279:I279" si="290">F279/5</f>
        <v>2.8</v>
      </c>
      <c r="I279" s="17">
        <f t="shared" si="290"/>
        <v>386.2</v>
      </c>
      <c r="J279" s="30"/>
    </row>
    <row r="280" spans="1:10" ht="15.75" customHeight="1">
      <c r="A280" s="6">
        <v>70707</v>
      </c>
      <c r="B280" s="7" t="s">
        <v>27</v>
      </c>
      <c r="C280" s="7" t="s">
        <v>359</v>
      </c>
      <c r="D280" s="7" t="s">
        <v>366</v>
      </c>
      <c r="E280" s="8">
        <f t="shared" si="267"/>
        <v>5.0505050505050511</v>
      </c>
      <c r="F280" s="20">
        <v>2</v>
      </c>
      <c r="G280" s="17">
        <v>396</v>
      </c>
      <c r="H280" s="17">
        <f t="shared" ref="H280:I280" si="291">F280/5</f>
        <v>0.4</v>
      </c>
      <c r="I280" s="17">
        <f t="shared" si="291"/>
        <v>79.2</v>
      </c>
      <c r="J280" s="30"/>
    </row>
    <row r="281" spans="1:10" ht="15.75" customHeight="1">
      <c r="A281" s="6">
        <v>70801</v>
      </c>
      <c r="B281" s="7" t="s">
        <v>27</v>
      </c>
      <c r="C281" s="7" t="s">
        <v>367</v>
      </c>
      <c r="D281" s="7" t="s">
        <v>367</v>
      </c>
      <c r="E281" s="8">
        <f t="shared" si="267"/>
        <v>6.1983471074380168</v>
      </c>
      <c r="F281" s="20">
        <v>6</v>
      </c>
      <c r="G281" s="17">
        <v>968</v>
      </c>
      <c r="H281" s="17">
        <f t="shared" ref="H281:I281" si="292">F281/5</f>
        <v>1.2</v>
      </c>
      <c r="I281" s="17">
        <f t="shared" si="292"/>
        <v>193.6</v>
      </c>
      <c r="J281" s="30"/>
    </row>
    <row r="282" spans="1:10" ht="15.75" customHeight="1">
      <c r="A282" s="6">
        <v>70802</v>
      </c>
      <c r="B282" s="7" t="s">
        <v>27</v>
      </c>
      <c r="C282" s="7" t="s">
        <v>367</v>
      </c>
      <c r="D282" s="7" t="s">
        <v>368</v>
      </c>
      <c r="E282" s="8">
        <f t="shared" si="267"/>
        <v>17.857142857142858</v>
      </c>
      <c r="F282" s="20">
        <v>2</v>
      </c>
      <c r="G282" s="17">
        <v>112</v>
      </c>
      <c r="H282" s="17">
        <f t="shared" ref="H282:I282" si="293">F282/5</f>
        <v>0.4</v>
      </c>
      <c r="I282" s="17">
        <f t="shared" si="293"/>
        <v>22.4</v>
      </c>
      <c r="J282" s="30"/>
    </row>
    <row r="283" spans="1:10" ht="15.75" customHeight="1">
      <c r="A283" s="6">
        <v>70803</v>
      </c>
      <c r="B283" s="7" t="s">
        <v>27</v>
      </c>
      <c r="C283" s="7" t="s">
        <v>367</v>
      </c>
      <c r="D283" s="7" t="s">
        <v>369</v>
      </c>
      <c r="E283" s="8">
        <f t="shared" si="267"/>
        <v>0</v>
      </c>
      <c r="F283" s="20">
        <v>0</v>
      </c>
      <c r="G283" s="17">
        <v>154</v>
      </c>
      <c r="H283" s="17">
        <f t="shared" ref="H283:I283" si="294">F283/5</f>
        <v>0</v>
      </c>
      <c r="I283" s="17">
        <f t="shared" si="294"/>
        <v>30.8</v>
      </c>
      <c r="J283" s="30"/>
    </row>
    <row r="284" spans="1:10" ht="15.75" customHeight="1">
      <c r="A284" s="6">
        <v>70804</v>
      </c>
      <c r="B284" s="7" t="s">
        <v>27</v>
      </c>
      <c r="C284" s="7" t="s">
        <v>367</v>
      </c>
      <c r="D284" s="7" t="s">
        <v>370</v>
      </c>
      <c r="E284" s="8">
        <f t="shared" si="267"/>
        <v>0</v>
      </c>
      <c r="F284" s="20">
        <v>0</v>
      </c>
      <c r="G284" s="17">
        <v>91</v>
      </c>
      <c r="H284" s="17">
        <f t="shared" ref="H284:I284" si="295">F284/5</f>
        <v>0</v>
      </c>
      <c r="I284" s="17">
        <f t="shared" si="295"/>
        <v>18.2</v>
      </c>
      <c r="J284" s="30"/>
    </row>
    <row r="285" spans="1:10" ht="15.75" customHeight="1">
      <c r="A285" s="6">
        <v>70805</v>
      </c>
      <c r="B285" s="7" t="s">
        <v>27</v>
      </c>
      <c r="C285" s="7" t="s">
        <v>367</v>
      </c>
      <c r="D285" s="7" t="s">
        <v>371</v>
      </c>
      <c r="E285" s="8">
        <f t="shared" si="267"/>
        <v>8.6206896551724128</v>
      </c>
      <c r="F285" s="20">
        <v>1</v>
      </c>
      <c r="G285" s="17">
        <v>116</v>
      </c>
      <c r="H285" s="17">
        <f t="shared" ref="H285:I285" si="296">F285/5</f>
        <v>0.2</v>
      </c>
      <c r="I285" s="17">
        <f t="shared" si="296"/>
        <v>23.2</v>
      </c>
      <c r="J285" s="30"/>
    </row>
    <row r="286" spans="1:10" ht="15.75" customHeight="1">
      <c r="A286" s="6">
        <v>70901</v>
      </c>
      <c r="B286" s="7" t="s">
        <v>27</v>
      </c>
      <c r="C286" s="7" t="s">
        <v>372</v>
      </c>
      <c r="D286" s="7" t="s">
        <v>373</v>
      </c>
      <c r="E286" s="8">
        <f t="shared" si="267"/>
        <v>9.8591549295774659</v>
      </c>
      <c r="F286" s="20">
        <v>7</v>
      </c>
      <c r="G286" s="17">
        <v>710</v>
      </c>
      <c r="H286" s="17">
        <f t="shared" ref="H286:I286" si="297">F286/5</f>
        <v>1.4</v>
      </c>
      <c r="I286" s="17">
        <f t="shared" si="297"/>
        <v>142</v>
      </c>
      <c r="J286" s="30"/>
    </row>
    <row r="287" spans="1:10" ht="15.75" customHeight="1">
      <c r="A287" s="6">
        <v>70902</v>
      </c>
      <c r="B287" s="7" t="s">
        <v>27</v>
      </c>
      <c r="C287" s="7" t="s">
        <v>372</v>
      </c>
      <c r="D287" s="7" t="s">
        <v>374</v>
      </c>
      <c r="E287" s="8">
        <f t="shared" si="267"/>
        <v>6.7024128686327078</v>
      </c>
      <c r="F287" s="20">
        <v>5</v>
      </c>
      <c r="G287" s="17">
        <v>746</v>
      </c>
      <c r="H287" s="17">
        <f t="shared" ref="H287:I287" si="298">F287/5</f>
        <v>1</v>
      </c>
      <c r="I287" s="17">
        <f t="shared" si="298"/>
        <v>149.19999999999999</v>
      </c>
      <c r="J287" s="30"/>
    </row>
    <row r="288" spans="1:10" ht="15.75" customHeight="1">
      <c r="A288" s="6">
        <v>70903</v>
      </c>
      <c r="B288" s="7" t="s">
        <v>27</v>
      </c>
      <c r="C288" s="7" t="s">
        <v>372</v>
      </c>
      <c r="D288" s="7" t="s">
        <v>375</v>
      </c>
      <c r="E288" s="8">
        <f t="shared" si="267"/>
        <v>6.4585575888051672</v>
      </c>
      <c r="F288" s="20">
        <v>6</v>
      </c>
      <c r="G288" s="17">
        <v>929</v>
      </c>
      <c r="H288" s="17">
        <f t="shared" ref="H288:I288" si="299">F288/5</f>
        <v>1.2</v>
      </c>
      <c r="I288" s="17">
        <f t="shared" si="299"/>
        <v>185.8</v>
      </c>
      <c r="J288" s="30"/>
    </row>
    <row r="289" spans="1:10" ht="15.75" customHeight="1">
      <c r="A289" s="6">
        <v>70904</v>
      </c>
      <c r="B289" s="7" t="s">
        <v>27</v>
      </c>
      <c r="C289" s="7" t="s">
        <v>372</v>
      </c>
      <c r="D289" s="7" t="s">
        <v>376</v>
      </c>
      <c r="E289" s="8">
        <f t="shared" si="267"/>
        <v>0</v>
      </c>
      <c r="F289" s="20">
        <v>0</v>
      </c>
      <c r="G289" s="17">
        <v>151</v>
      </c>
      <c r="H289" s="17">
        <f t="shared" ref="H289:I289" si="300">F289/5</f>
        <v>0</v>
      </c>
      <c r="I289" s="17">
        <f t="shared" si="300"/>
        <v>30.2</v>
      </c>
      <c r="J289" s="30"/>
    </row>
    <row r="290" spans="1:10" ht="15.75" customHeight="1">
      <c r="A290" s="6">
        <v>71001</v>
      </c>
      <c r="B290" s="7" t="s">
        <v>27</v>
      </c>
      <c r="C290" s="7" t="s">
        <v>377</v>
      </c>
      <c r="D290" s="7" t="s">
        <v>378</v>
      </c>
      <c r="E290" s="8">
        <f t="shared" si="267"/>
        <v>6.0386473429951693</v>
      </c>
      <c r="F290" s="20">
        <v>55</v>
      </c>
      <c r="G290" s="17">
        <v>9108</v>
      </c>
      <c r="H290" s="17">
        <f t="shared" ref="H290:I290" si="301">F290/5</f>
        <v>11</v>
      </c>
      <c r="I290" s="17">
        <f t="shared" si="301"/>
        <v>1821.6</v>
      </c>
      <c r="J290" s="30"/>
    </row>
    <row r="291" spans="1:10" ht="15.75" customHeight="1">
      <c r="A291" s="6">
        <v>71002</v>
      </c>
      <c r="B291" s="7" t="s">
        <v>27</v>
      </c>
      <c r="C291" s="7" t="s">
        <v>377</v>
      </c>
      <c r="D291" s="7" t="s">
        <v>379</v>
      </c>
      <c r="E291" s="8">
        <f t="shared" si="267"/>
        <v>10.911925175370227</v>
      </c>
      <c r="F291" s="20">
        <v>14</v>
      </c>
      <c r="G291" s="17">
        <v>1283</v>
      </c>
      <c r="H291" s="17">
        <f t="shared" ref="H291:I291" si="302">F291/5</f>
        <v>2.8</v>
      </c>
      <c r="I291" s="17">
        <f t="shared" si="302"/>
        <v>256.60000000000002</v>
      </c>
      <c r="J291" s="30"/>
    </row>
    <row r="292" spans="1:10" ht="15.75" customHeight="1">
      <c r="A292" s="6">
        <v>71003</v>
      </c>
      <c r="B292" s="7" t="s">
        <v>27</v>
      </c>
      <c r="C292" s="7" t="s">
        <v>377</v>
      </c>
      <c r="D292" s="7" t="s">
        <v>380</v>
      </c>
      <c r="E292" s="8">
        <f t="shared" si="267"/>
        <v>10.989010989010989</v>
      </c>
      <c r="F292" s="20">
        <v>19</v>
      </c>
      <c r="G292" s="17">
        <v>1729</v>
      </c>
      <c r="H292" s="17">
        <f t="shared" ref="H292:I292" si="303">F292/5</f>
        <v>3.8</v>
      </c>
      <c r="I292" s="17">
        <f t="shared" si="303"/>
        <v>345.8</v>
      </c>
      <c r="J292" s="30"/>
    </row>
    <row r="293" spans="1:10" ht="15.75" customHeight="1">
      <c r="A293" s="6">
        <v>71004</v>
      </c>
      <c r="B293" s="7" t="s">
        <v>27</v>
      </c>
      <c r="C293" s="7" t="s">
        <v>377</v>
      </c>
      <c r="D293" s="7" t="s">
        <v>381</v>
      </c>
      <c r="E293" s="8">
        <f t="shared" si="267"/>
        <v>11.099899091826439</v>
      </c>
      <c r="F293" s="20">
        <v>11</v>
      </c>
      <c r="G293" s="17">
        <v>991</v>
      </c>
      <c r="H293" s="17">
        <f t="shared" ref="H293:I293" si="304">F293/5</f>
        <v>2.2000000000000002</v>
      </c>
      <c r="I293" s="17">
        <f t="shared" si="304"/>
        <v>198.2</v>
      </c>
      <c r="J293" s="30"/>
    </row>
    <row r="294" spans="1:10" ht="15.75" customHeight="1">
      <c r="A294" s="6">
        <v>71005</v>
      </c>
      <c r="B294" s="7" t="s">
        <v>27</v>
      </c>
      <c r="C294" s="7" t="s">
        <v>377</v>
      </c>
      <c r="D294" s="7" t="s">
        <v>382</v>
      </c>
      <c r="E294" s="8">
        <f t="shared" si="267"/>
        <v>8.1716036772216558</v>
      </c>
      <c r="F294" s="20">
        <v>8</v>
      </c>
      <c r="G294" s="17">
        <v>979</v>
      </c>
      <c r="H294" s="17">
        <f t="shared" ref="H294:I294" si="305">F294/5</f>
        <v>1.6</v>
      </c>
      <c r="I294" s="17">
        <f t="shared" si="305"/>
        <v>195.8</v>
      </c>
      <c r="J294" s="30"/>
    </row>
    <row r="295" spans="1:10" ht="15.75" customHeight="1">
      <c r="A295" s="6">
        <v>71101</v>
      </c>
      <c r="B295" s="7" t="s">
        <v>27</v>
      </c>
      <c r="C295" s="7" t="s">
        <v>383</v>
      </c>
      <c r="D295" s="7" t="s">
        <v>384</v>
      </c>
      <c r="E295" s="8">
        <f t="shared" si="267"/>
        <v>13.619479983491541</v>
      </c>
      <c r="F295" s="20">
        <v>33</v>
      </c>
      <c r="G295" s="17">
        <v>2423</v>
      </c>
      <c r="H295" s="17">
        <f t="shared" ref="H295:I295" si="306">F295/5</f>
        <v>6.6</v>
      </c>
      <c r="I295" s="17">
        <f t="shared" si="306"/>
        <v>484.6</v>
      </c>
      <c r="J295" s="30"/>
    </row>
    <row r="296" spans="1:10" ht="15.75" customHeight="1">
      <c r="A296" s="6">
        <v>71102</v>
      </c>
      <c r="B296" s="7" t="s">
        <v>27</v>
      </c>
      <c r="C296" s="7" t="s">
        <v>383</v>
      </c>
      <c r="D296" s="7" t="s">
        <v>385</v>
      </c>
      <c r="E296" s="8">
        <f t="shared" si="267"/>
        <v>15.084294587400176</v>
      </c>
      <c r="F296" s="20">
        <v>17</v>
      </c>
      <c r="G296" s="17">
        <v>1127</v>
      </c>
      <c r="H296" s="17">
        <f t="shared" ref="H296:I296" si="307">F296/5</f>
        <v>3.4</v>
      </c>
      <c r="I296" s="17">
        <f t="shared" si="307"/>
        <v>225.4</v>
      </c>
      <c r="J296" s="30"/>
    </row>
    <row r="297" spans="1:10" ht="15.75" customHeight="1">
      <c r="A297" s="6">
        <v>71103</v>
      </c>
      <c r="B297" s="7" t="s">
        <v>27</v>
      </c>
      <c r="C297" s="7" t="s">
        <v>383</v>
      </c>
      <c r="D297" s="7" t="s">
        <v>386</v>
      </c>
      <c r="E297" s="8">
        <f t="shared" si="267"/>
        <v>56.835637480798773</v>
      </c>
      <c r="F297" s="20">
        <v>37</v>
      </c>
      <c r="G297" s="17">
        <v>651</v>
      </c>
      <c r="H297" s="17">
        <f t="shared" ref="H297:I297" si="308">F297/5</f>
        <v>7.4</v>
      </c>
      <c r="I297" s="17">
        <f t="shared" si="308"/>
        <v>130.19999999999999</v>
      </c>
      <c r="J297" s="30"/>
    </row>
    <row r="298" spans="1:10" ht="15.75" customHeight="1">
      <c r="A298" s="6">
        <v>71104</v>
      </c>
      <c r="B298" s="7" t="s">
        <v>27</v>
      </c>
      <c r="C298" s="7" t="s">
        <v>383</v>
      </c>
      <c r="D298" s="7" t="s">
        <v>387</v>
      </c>
      <c r="E298" s="8">
        <f t="shared" si="267"/>
        <v>2.0219526285384171</v>
      </c>
      <c r="F298" s="20">
        <v>7</v>
      </c>
      <c r="G298" s="17">
        <v>3462</v>
      </c>
      <c r="H298" s="17">
        <f t="shared" ref="H298:I298" si="309">F298/5</f>
        <v>1.4</v>
      </c>
      <c r="I298" s="17">
        <f t="shared" si="309"/>
        <v>692.4</v>
      </c>
      <c r="J298" s="30"/>
    </row>
    <row r="299" spans="1:10" ht="15.75" customHeight="1">
      <c r="A299" s="6">
        <v>71105</v>
      </c>
      <c r="B299" s="7" t="s">
        <v>27</v>
      </c>
      <c r="C299" s="7" t="s">
        <v>383</v>
      </c>
      <c r="D299" s="7" t="s">
        <v>388</v>
      </c>
      <c r="E299" s="8">
        <f t="shared" si="267"/>
        <v>9.8619329388560164</v>
      </c>
      <c r="F299" s="20">
        <v>5</v>
      </c>
      <c r="G299" s="17">
        <v>507</v>
      </c>
      <c r="H299" s="17">
        <f t="shared" ref="H299:I299" si="310">F299/5</f>
        <v>1</v>
      </c>
      <c r="I299" s="17">
        <f t="shared" si="310"/>
        <v>101.4</v>
      </c>
      <c r="J299" s="30"/>
    </row>
    <row r="300" spans="1:10" ht="15.75" customHeight="1">
      <c r="A300" s="6">
        <v>71106</v>
      </c>
      <c r="B300" s="7" t="s">
        <v>27</v>
      </c>
      <c r="C300" s="7" t="s">
        <v>383</v>
      </c>
      <c r="D300" s="7" t="s">
        <v>389</v>
      </c>
      <c r="E300" s="8">
        <f t="shared" si="267"/>
        <v>11.793611793611793</v>
      </c>
      <c r="F300" s="20">
        <v>24</v>
      </c>
      <c r="G300" s="17">
        <v>2035</v>
      </c>
      <c r="H300" s="17">
        <f t="shared" ref="H300:I300" si="311">F300/5</f>
        <v>4.8</v>
      </c>
      <c r="I300" s="17">
        <f t="shared" si="311"/>
        <v>407</v>
      </c>
      <c r="J300" s="30"/>
    </row>
    <row r="301" spans="1:10" ht="15.75" customHeight="1">
      <c r="A301" s="6">
        <v>71201</v>
      </c>
      <c r="B301" s="7" t="s">
        <v>27</v>
      </c>
      <c r="C301" s="7" t="s">
        <v>390</v>
      </c>
      <c r="D301" s="7" t="s">
        <v>391</v>
      </c>
      <c r="E301" s="8">
        <f t="shared" si="267"/>
        <v>5.5467511885895409</v>
      </c>
      <c r="F301" s="20">
        <v>7</v>
      </c>
      <c r="G301" s="17">
        <v>1262</v>
      </c>
      <c r="H301" s="17">
        <f t="shared" ref="H301:I301" si="312">F301/5</f>
        <v>1.4</v>
      </c>
      <c r="I301" s="17">
        <f t="shared" si="312"/>
        <v>252.4</v>
      </c>
      <c r="J301" s="30"/>
    </row>
    <row r="302" spans="1:10" ht="15.75" customHeight="1">
      <c r="A302" s="6">
        <v>71301</v>
      </c>
      <c r="B302" s="7" t="s">
        <v>27</v>
      </c>
      <c r="C302" s="7" t="s">
        <v>392</v>
      </c>
      <c r="D302" s="7" t="s">
        <v>393</v>
      </c>
      <c r="E302" s="8">
        <f t="shared" si="267"/>
        <v>13.843648208469055</v>
      </c>
      <c r="F302" s="20">
        <v>17</v>
      </c>
      <c r="G302" s="17">
        <v>1228</v>
      </c>
      <c r="H302" s="17">
        <f t="shared" ref="H302:I302" si="313">F302/5</f>
        <v>3.4</v>
      </c>
      <c r="I302" s="17">
        <f t="shared" si="313"/>
        <v>245.6</v>
      </c>
      <c r="J302" s="30"/>
    </row>
    <row r="303" spans="1:10" ht="15.75" customHeight="1">
      <c r="A303" s="6">
        <v>71302</v>
      </c>
      <c r="B303" s="7" t="s">
        <v>27</v>
      </c>
      <c r="C303" s="7" t="s">
        <v>392</v>
      </c>
      <c r="D303" s="7" t="s">
        <v>394</v>
      </c>
      <c r="E303" s="8">
        <f t="shared" si="267"/>
        <v>4.6620046620046622</v>
      </c>
      <c r="F303" s="20">
        <v>2</v>
      </c>
      <c r="G303" s="17">
        <v>429</v>
      </c>
      <c r="H303" s="17">
        <f t="shared" ref="H303:I303" si="314">F303/5</f>
        <v>0.4</v>
      </c>
      <c r="I303" s="17">
        <f t="shared" si="314"/>
        <v>85.8</v>
      </c>
      <c r="J303" s="30"/>
    </row>
    <row r="304" spans="1:10" ht="15.75" customHeight="1">
      <c r="A304" s="6">
        <v>71401</v>
      </c>
      <c r="B304" s="7" t="s">
        <v>27</v>
      </c>
      <c r="C304" s="7" t="s">
        <v>395</v>
      </c>
      <c r="D304" s="7" t="s">
        <v>396</v>
      </c>
      <c r="E304" s="8">
        <f t="shared" si="267"/>
        <v>10.036496350364963</v>
      </c>
      <c r="F304" s="20">
        <v>11</v>
      </c>
      <c r="G304" s="17">
        <v>1096</v>
      </c>
      <c r="H304" s="17">
        <f t="shared" ref="H304:I304" si="315">F304/5</f>
        <v>2.2000000000000002</v>
      </c>
      <c r="I304" s="17">
        <f t="shared" si="315"/>
        <v>219.2</v>
      </c>
      <c r="J304" s="30"/>
    </row>
    <row r="305" spans="1:10" ht="15.75" customHeight="1">
      <c r="A305" s="6">
        <v>71402</v>
      </c>
      <c r="B305" s="7" t="s">
        <v>27</v>
      </c>
      <c r="C305" s="7" t="s">
        <v>395</v>
      </c>
      <c r="D305" s="7" t="s">
        <v>397</v>
      </c>
      <c r="E305" s="8">
        <f t="shared" si="267"/>
        <v>7.4074074074074074</v>
      </c>
      <c r="F305" s="20">
        <v>9</v>
      </c>
      <c r="G305" s="17">
        <v>1215</v>
      </c>
      <c r="H305" s="17">
        <f t="shared" ref="H305:I305" si="316">F305/5</f>
        <v>1.8</v>
      </c>
      <c r="I305" s="17">
        <f t="shared" si="316"/>
        <v>243</v>
      </c>
      <c r="J305" s="30"/>
    </row>
    <row r="306" spans="1:10" ht="15.75" customHeight="1">
      <c r="A306" s="6">
        <v>71403</v>
      </c>
      <c r="B306" s="7" t="s">
        <v>27</v>
      </c>
      <c r="C306" s="7" t="s">
        <v>395</v>
      </c>
      <c r="D306" s="7" t="s">
        <v>398</v>
      </c>
      <c r="E306" s="8">
        <f t="shared" si="267"/>
        <v>18.633540372670808</v>
      </c>
      <c r="F306" s="20">
        <v>12</v>
      </c>
      <c r="G306" s="17">
        <v>644</v>
      </c>
      <c r="H306" s="17">
        <f t="shared" ref="H306:I306" si="317">F306/5</f>
        <v>2.4</v>
      </c>
      <c r="I306" s="17">
        <f t="shared" si="317"/>
        <v>128.80000000000001</v>
      </c>
      <c r="J306" s="30"/>
    </row>
    <row r="307" spans="1:10" ht="15.75" customHeight="1">
      <c r="A307" s="6">
        <v>71501</v>
      </c>
      <c r="B307" s="7" t="s">
        <v>27</v>
      </c>
      <c r="C307" s="7" t="s">
        <v>399</v>
      </c>
      <c r="D307" s="7" t="s">
        <v>400</v>
      </c>
      <c r="E307" s="8">
        <f t="shared" si="267"/>
        <v>10.670731707317074</v>
      </c>
      <c r="F307" s="20">
        <v>28</v>
      </c>
      <c r="G307" s="17">
        <v>2624</v>
      </c>
      <c r="H307" s="17">
        <f t="shared" ref="H307:I307" si="318">F307/5</f>
        <v>5.6</v>
      </c>
      <c r="I307" s="17">
        <f t="shared" si="318"/>
        <v>524.79999999999995</v>
      </c>
      <c r="J307" s="30"/>
    </row>
    <row r="308" spans="1:10" ht="15.75" customHeight="1">
      <c r="A308" s="6">
        <v>71502</v>
      </c>
      <c r="B308" s="7" t="s">
        <v>27</v>
      </c>
      <c r="C308" s="7" t="s">
        <v>399</v>
      </c>
      <c r="D308" s="7" t="s">
        <v>401</v>
      </c>
      <c r="E308" s="8">
        <f t="shared" si="267"/>
        <v>20.491803278688522</v>
      </c>
      <c r="F308" s="20">
        <v>10</v>
      </c>
      <c r="G308" s="17">
        <v>488</v>
      </c>
      <c r="H308" s="17">
        <f t="shared" ref="H308:I308" si="319">F308/5</f>
        <v>2</v>
      </c>
      <c r="I308" s="17">
        <f t="shared" si="319"/>
        <v>97.6</v>
      </c>
      <c r="J308" s="30"/>
    </row>
    <row r="309" spans="1:10" ht="15.75" customHeight="1">
      <c r="A309" s="6">
        <v>71503</v>
      </c>
      <c r="B309" s="7" t="s">
        <v>27</v>
      </c>
      <c r="C309" s="7" t="s">
        <v>399</v>
      </c>
      <c r="D309" s="7" t="s">
        <v>332</v>
      </c>
      <c r="E309" s="8">
        <f t="shared" si="267"/>
        <v>8.5689802913453299</v>
      </c>
      <c r="F309" s="20">
        <v>10</v>
      </c>
      <c r="G309" s="17">
        <v>1167</v>
      </c>
      <c r="H309" s="17">
        <f t="shared" ref="H309:I309" si="320">F309/5</f>
        <v>2</v>
      </c>
      <c r="I309" s="17">
        <f t="shared" si="320"/>
        <v>233.4</v>
      </c>
      <c r="J309" s="30"/>
    </row>
    <row r="310" spans="1:10" ht="15.75" customHeight="1">
      <c r="A310" s="6">
        <v>80101</v>
      </c>
      <c r="B310" s="7" t="s">
        <v>29</v>
      </c>
      <c r="C310" s="7" t="s">
        <v>164</v>
      </c>
      <c r="D310" s="7" t="s">
        <v>402</v>
      </c>
      <c r="E310" s="8">
        <f t="shared" si="267"/>
        <v>5.759705103098721</v>
      </c>
      <c r="F310" s="20">
        <v>50</v>
      </c>
      <c r="G310" s="17">
        <v>8681</v>
      </c>
      <c r="H310" s="17">
        <f t="shared" ref="H310:I310" si="321">F310/5</f>
        <v>10</v>
      </c>
      <c r="I310" s="17">
        <f t="shared" si="321"/>
        <v>1736.2</v>
      </c>
      <c r="J310" s="30"/>
    </row>
    <row r="311" spans="1:10" ht="15.75" customHeight="1">
      <c r="A311" s="6">
        <v>80102</v>
      </c>
      <c r="B311" s="7" t="s">
        <v>29</v>
      </c>
      <c r="C311" s="7" t="s">
        <v>164</v>
      </c>
      <c r="D311" s="7" t="s">
        <v>385</v>
      </c>
      <c r="E311" s="8">
        <f t="shared" si="267"/>
        <v>12.280701754385966</v>
      </c>
      <c r="F311" s="20">
        <v>7</v>
      </c>
      <c r="G311" s="17">
        <v>570</v>
      </c>
      <c r="H311" s="17">
        <f t="shared" ref="H311:I311" si="322">F311/5</f>
        <v>1.4</v>
      </c>
      <c r="I311" s="17">
        <f t="shared" si="322"/>
        <v>114</v>
      </c>
      <c r="J311" s="30"/>
    </row>
    <row r="312" spans="1:10" ht="15.75" customHeight="1">
      <c r="A312" s="6">
        <v>80201</v>
      </c>
      <c r="B312" s="7" t="s">
        <v>29</v>
      </c>
      <c r="C312" s="7" t="s">
        <v>403</v>
      </c>
      <c r="D312" s="7" t="s">
        <v>404</v>
      </c>
      <c r="E312" s="8">
        <f t="shared" si="267"/>
        <v>8.905852417302798</v>
      </c>
      <c r="F312" s="20">
        <v>77</v>
      </c>
      <c r="G312" s="17">
        <v>8646</v>
      </c>
      <c r="H312" s="17">
        <f t="shared" ref="H312:I312" si="323">F312/5</f>
        <v>15.4</v>
      </c>
      <c r="I312" s="17">
        <f t="shared" si="323"/>
        <v>1729.2</v>
      </c>
      <c r="J312" s="30"/>
    </row>
    <row r="313" spans="1:10" ht="15.75" customHeight="1">
      <c r="A313" s="6">
        <v>80202</v>
      </c>
      <c r="B313" s="7" t="s">
        <v>29</v>
      </c>
      <c r="C313" s="7" t="s">
        <v>403</v>
      </c>
      <c r="D313" s="7" t="s">
        <v>405</v>
      </c>
      <c r="E313" s="8">
        <f t="shared" si="267"/>
        <v>7.4049141703130257</v>
      </c>
      <c r="F313" s="20">
        <v>22</v>
      </c>
      <c r="G313" s="17">
        <v>2971</v>
      </c>
      <c r="H313" s="17">
        <f t="shared" ref="H313:I313" si="324">F313/5</f>
        <v>4.4000000000000004</v>
      </c>
      <c r="I313" s="17">
        <f t="shared" si="324"/>
        <v>594.20000000000005</v>
      </c>
      <c r="J313" s="30"/>
    </row>
    <row r="314" spans="1:10" ht="15.75" customHeight="1">
      <c r="A314" s="6">
        <v>80301</v>
      </c>
      <c r="B314" s="7" t="s">
        <v>29</v>
      </c>
      <c r="C314" s="7" t="s">
        <v>406</v>
      </c>
      <c r="D314" s="7" t="s">
        <v>407</v>
      </c>
      <c r="E314" s="8">
        <f t="shared" si="267"/>
        <v>16.375545851528383</v>
      </c>
      <c r="F314" s="20">
        <v>15</v>
      </c>
      <c r="G314" s="17">
        <v>916</v>
      </c>
      <c r="H314" s="17">
        <f t="shared" ref="H314:I314" si="325">F314/5</f>
        <v>3</v>
      </c>
      <c r="I314" s="17">
        <f t="shared" si="325"/>
        <v>183.2</v>
      </c>
      <c r="J314" s="30"/>
    </row>
    <row r="315" spans="1:10" ht="15.75" customHeight="1">
      <c r="A315" s="6">
        <v>80302</v>
      </c>
      <c r="B315" s="7" t="s">
        <v>29</v>
      </c>
      <c r="C315" s="7" t="s">
        <v>406</v>
      </c>
      <c r="D315" s="7" t="s">
        <v>408</v>
      </c>
      <c r="E315" s="8">
        <f t="shared" si="267"/>
        <v>14.126596033686498</v>
      </c>
      <c r="F315" s="20">
        <v>52</v>
      </c>
      <c r="G315" s="17">
        <v>3681</v>
      </c>
      <c r="H315" s="17">
        <f t="shared" ref="H315:I315" si="326">F315/5</f>
        <v>10.4</v>
      </c>
      <c r="I315" s="17">
        <f t="shared" si="326"/>
        <v>736.2</v>
      </c>
      <c r="J315" s="30"/>
    </row>
    <row r="316" spans="1:10" ht="15.75" customHeight="1">
      <c r="A316" s="6">
        <v>80303</v>
      </c>
      <c r="B316" s="7" t="s">
        <v>29</v>
      </c>
      <c r="C316" s="7" t="s">
        <v>406</v>
      </c>
      <c r="D316" s="7" t="s">
        <v>409</v>
      </c>
      <c r="E316" s="8">
        <f t="shared" si="267"/>
        <v>11.248593925759279</v>
      </c>
      <c r="F316" s="20">
        <v>10</v>
      </c>
      <c r="G316" s="17">
        <v>889</v>
      </c>
      <c r="H316" s="17">
        <f t="shared" ref="H316:I316" si="327">F316/5</f>
        <v>2</v>
      </c>
      <c r="I316" s="17">
        <f t="shared" si="327"/>
        <v>177.8</v>
      </c>
      <c r="J316" s="30"/>
    </row>
    <row r="317" spans="1:10" ht="15.75" customHeight="1">
      <c r="A317" s="6">
        <v>80304</v>
      </c>
      <c r="B317" s="7" t="s">
        <v>29</v>
      </c>
      <c r="C317" s="7" t="s">
        <v>406</v>
      </c>
      <c r="D317" s="7" t="s">
        <v>410</v>
      </c>
      <c r="E317" s="8">
        <f t="shared" si="267"/>
        <v>10.778443113772456</v>
      </c>
      <c r="F317" s="20">
        <v>18</v>
      </c>
      <c r="G317" s="17">
        <v>1670</v>
      </c>
      <c r="H317" s="17">
        <f t="shared" ref="H317:I317" si="328">F317/5</f>
        <v>3.6</v>
      </c>
      <c r="I317" s="17">
        <f t="shared" si="328"/>
        <v>334</v>
      </c>
      <c r="J317" s="30"/>
    </row>
    <row r="318" spans="1:10" ht="15.75" customHeight="1">
      <c r="A318" s="6">
        <v>80401</v>
      </c>
      <c r="B318" s="7" t="s">
        <v>29</v>
      </c>
      <c r="C318" s="7" t="s">
        <v>411</v>
      </c>
      <c r="D318" s="7" t="s">
        <v>412</v>
      </c>
      <c r="E318" s="8">
        <f t="shared" si="267"/>
        <v>4.9645390070921991</v>
      </c>
      <c r="F318" s="20">
        <v>7</v>
      </c>
      <c r="G318" s="17">
        <v>1410</v>
      </c>
      <c r="H318" s="17">
        <f t="shared" ref="H318:I318" si="329">F318/5</f>
        <v>1.4</v>
      </c>
      <c r="I318" s="17">
        <f t="shared" si="329"/>
        <v>282</v>
      </c>
      <c r="J318" s="30"/>
    </row>
    <row r="319" spans="1:10" ht="15.75" customHeight="1">
      <c r="A319" s="6">
        <v>80402</v>
      </c>
      <c r="B319" s="7" t="s">
        <v>29</v>
      </c>
      <c r="C319" s="7" t="s">
        <v>411</v>
      </c>
      <c r="D319" s="7" t="s">
        <v>413</v>
      </c>
      <c r="E319" s="8">
        <f t="shared" si="267"/>
        <v>3.9215686274509802</v>
      </c>
      <c r="F319" s="20">
        <v>2</v>
      </c>
      <c r="G319" s="17">
        <v>510</v>
      </c>
      <c r="H319" s="17">
        <f t="shared" ref="H319:I319" si="330">F319/5</f>
        <v>0.4</v>
      </c>
      <c r="I319" s="17">
        <f t="shared" si="330"/>
        <v>102</v>
      </c>
      <c r="J319" s="30"/>
    </row>
    <row r="320" spans="1:10" ht="15.75" customHeight="1">
      <c r="A320" s="6">
        <v>80501</v>
      </c>
      <c r="B320" s="7" t="s">
        <v>29</v>
      </c>
      <c r="C320" s="7" t="s">
        <v>414</v>
      </c>
      <c r="D320" s="7" t="s">
        <v>415</v>
      </c>
      <c r="E320" s="8">
        <f t="shared" si="267"/>
        <v>11.804384485666104</v>
      </c>
      <c r="F320" s="20">
        <v>21</v>
      </c>
      <c r="G320" s="17">
        <v>1779</v>
      </c>
      <c r="H320" s="17">
        <f t="shared" ref="H320:I320" si="331">F320/5</f>
        <v>4.2</v>
      </c>
      <c r="I320" s="17">
        <f t="shared" si="331"/>
        <v>355.8</v>
      </c>
      <c r="J320" s="30"/>
    </row>
    <row r="321" spans="1:10" ht="15.75" customHeight="1">
      <c r="A321" s="6">
        <v>80601</v>
      </c>
      <c r="B321" s="7" t="s">
        <v>29</v>
      </c>
      <c r="C321" s="7" t="s">
        <v>416</v>
      </c>
      <c r="D321" s="7" t="s">
        <v>417</v>
      </c>
      <c r="E321" s="8">
        <f t="shared" si="267"/>
        <v>14.705882352941176</v>
      </c>
      <c r="F321" s="20">
        <v>5</v>
      </c>
      <c r="G321" s="17">
        <v>340</v>
      </c>
      <c r="H321" s="17">
        <f t="shared" ref="H321:I321" si="332">F321/5</f>
        <v>1</v>
      </c>
      <c r="I321" s="17">
        <f t="shared" si="332"/>
        <v>68</v>
      </c>
      <c r="J321" s="30"/>
    </row>
    <row r="322" spans="1:10" ht="15.75" customHeight="1">
      <c r="A322" s="6">
        <v>80602</v>
      </c>
      <c r="B322" s="7" t="s">
        <v>29</v>
      </c>
      <c r="C322" s="7" t="s">
        <v>416</v>
      </c>
      <c r="D322" s="7" t="s">
        <v>418</v>
      </c>
      <c r="E322" s="8">
        <f t="shared" si="267"/>
        <v>15.274034141958671</v>
      </c>
      <c r="F322" s="20">
        <v>17</v>
      </c>
      <c r="G322" s="17">
        <v>1113</v>
      </c>
      <c r="H322" s="17">
        <f t="shared" ref="H322:I322" si="333">F322/5</f>
        <v>3.4</v>
      </c>
      <c r="I322" s="17">
        <f t="shared" si="333"/>
        <v>222.6</v>
      </c>
      <c r="J322" s="30"/>
    </row>
    <row r="323" spans="1:10" ht="15.75" customHeight="1">
      <c r="A323" s="6">
        <v>80701</v>
      </c>
      <c r="B323" s="7" t="s">
        <v>29</v>
      </c>
      <c r="C323" s="7" t="s">
        <v>419</v>
      </c>
      <c r="D323" s="7" t="s">
        <v>420</v>
      </c>
      <c r="E323" s="8">
        <f t="shared" si="267"/>
        <v>8.908685968819599</v>
      </c>
      <c r="F323" s="20">
        <v>4</v>
      </c>
      <c r="G323" s="17">
        <v>449</v>
      </c>
      <c r="H323" s="17">
        <f t="shared" ref="H323:I323" si="334">F323/5</f>
        <v>0.8</v>
      </c>
      <c r="I323" s="17">
        <f t="shared" si="334"/>
        <v>89.8</v>
      </c>
      <c r="J323" s="30"/>
    </row>
    <row r="324" spans="1:10" ht="15.75" customHeight="1">
      <c r="A324" s="6">
        <v>80702</v>
      </c>
      <c r="B324" s="7" t="s">
        <v>29</v>
      </c>
      <c r="C324" s="7" t="s">
        <v>419</v>
      </c>
      <c r="D324" s="7" t="s">
        <v>386</v>
      </c>
      <c r="E324" s="8">
        <f t="shared" si="267"/>
        <v>7.7922077922077921</v>
      </c>
      <c r="F324" s="20">
        <v>3</v>
      </c>
      <c r="G324" s="17">
        <v>385</v>
      </c>
      <c r="H324" s="17">
        <f t="shared" ref="H324:I324" si="335">F324/5</f>
        <v>0.6</v>
      </c>
      <c r="I324" s="17">
        <f t="shared" si="335"/>
        <v>77</v>
      </c>
      <c r="J324" s="30"/>
    </row>
    <row r="325" spans="1:10" ht="15.75" customHeight="1">
      <c r="A325" s="6">
        <v>80703</v>
      </c>
      <c r="B325" s="7" t="s">
        <v>29</v>
      </c>
      <c r="C325" s="7" t="s">
        <v>419</v>
      </c>
      <c r="D325" s="7" t="s">
        <v>421</v>
      </c>
      <c r="E325" s="8">
        <f t="shared" si="267"/>
        <v>0</v>
      </c>
      <c r="F325" s="20">
        <v>0</v>
      </c>
      <c r="G325" s="17">
        <v>92</v>
      </c>
      <c r="H325" s="17">
        <f t="shared" ref="H325:I325" si="336">F325/5</f>
        <v>0</v>
      </c>
      <c r="I325" s="17">
        <f t="shared" si="336"/>
        <v>18.399999999999999</v>
      </c>
      <c r="J325" s="30"/>
    </row>
    <row r="326" spans="1:10" ht="15.75" customHeight="1">
      <c r="A326" s="6">
        <v>80801</v>
      </c>
      <c r="B326" s="7" t="s">
        <v>29</v>
      </c>
      <c r="C326" s="7" t="s">
        <v>422</v>
      </c>
      <c r="D326" s="7" t="s">
        <v>423</v>
      </c>
      <c r="E326" s="8">
        <f t="shared" si="267"/>
        <v>7.6670317634173051</v>
      </c>
      <c r="F326" s="20">
        <v>7</v>
      </c>
      <c r="G326" s="17">
        <v>913</v>
      </c>
      <c r="H326" s="17">
        <f t="shared" ref="H326:I326" si="337">F326/5</f>
        <v>1.4</v>
      </c>
      <c r="I326" s="17">
        <f t="shared" si="337"/>
        <v>182.6</v>
      </c>
      <c r="J326" s="30"/>
    </row>
    <row r="327" spans="1:10" ht="15.75" customHeight="1">
      <c r="A327" s="6">
        <v>80802</v>
      </c>
      <c r="B327" s="7" t="s">
        <v>29</v>
      </c>
      <c r="C327" s="7" t="s">
        <v>422</v>
      </c>
      <c r="D327" s="7" t="s">
        <v>424</v>
      </c>
      <c r="E327" s="8">
        <f t="shared" si="267"/>
        <v>15.250544662309368</v>
      </c>
      <c r="F327" s="20">
        <v>7</v>
      </c>
      <c r="G327" s="17">
        <v>459</v>
      </c>
      <c r="H327" s="17">
        <f t="shared" ref="H327:I327" si="338">F327/5</f>
        <v>1.4</v>
      </c>
      <c r="I327" s="17">
        <f t="shared" si="338"/>
        <v>91.8</v>
      </c>
      <c r="J327" s="30"/>
    </row>
    <row r="328" spans="1:10" ht="15.75" customHeight="1">
      <c r="A328" s="6">
        <v>80803</v>
      </c>
      <c r="B328" s="7" t="s">
        <v>29</v>
      </c>
      <c r="C328" s="7" t="s">
        <v>422</v>
      </c>
      <c r="D328" s="7" t="s">
        <v>425</v>
      </c>
      <c r="E328" s="8">
        <f t="shared" si="267"/>
        <v>3.0395136778115504</v>
      </c>
      <c r="F328" s="20">
        <v>1</v>
      </c>
      <c r="G328" s="17">
        <v>329</v>
      </c>
      <c r="H328" s="17">
        <f t="shared" ref="H328:I328" si="339">F328/5</f>
        <v>0.2</v>
      </c>
      <c r="I328" s="17">
        <f t="shared" si="339"/>
        <v>65.8</v>
      </c>
      <c r="J328" s="30"/>
    </row>
    <row r="329" spans="1:10" ht="15.75" customHeight="1">
      <c r="A329" s="19">
        <v>80901</v>
      </c>
      <c r="B329" s="7" t="s">
        <v>29</v>
      </c>
      <c r="C329" s="7"/>
      <c r="D329" s="7" t="s">
        <v>426</v>
      </c>
      <c r="E329" s="8">
        <f t="shared" si="267"/>
        <v>27.777777777777775</v>
      </c>
      <c r="F329" s="20">
        <v>11</v>
      </c>
      <c r="G329" s="9">
        <v>396</v>
      </c>
      <c r="H329" s="17">
        <f t="shared" ref="H329:I329" si="340">F329/5</f>
        <v>2.2000000000000002</v>
      </c>
      <c r="I329" s="17">
        <f t="shared" si="340"/>
        <v>79.2</v>
      </c>
      <c r="J329" s="29"/>
    </row>
    <row r="330" spans="1:10" ht="15.75" customHeight="1">
      <c r="A330" s="6">
        <v>90101</v>
      </c>
      <c r="B330" s="7" t="s">
        <v>31</v>
      </c>
      <c r="C330" s="7" t="s">
        <v>427</v>
      </c>
      <c r="D330" s="7" t="s">
        <v>428</v>
      </c>
      <c r="E330" s="8">
        <f t="shared" si="267"/>
        <v>8.8913587107529857</v>
      </c>
      <c r="F330" s="20">
        <v>32</v>
      </c>
      <c r="G330" s="17">
        <v>3599</v>
      </c>
      <c r="H330" s="17">
        <f t="shared" ref="H330:I330" si="341">F330/5</f>
        <v>6.4</v>
      </c>
      <c r="I330" s="17">
        <f t="shared" si="341"/>
        <v>719.8</v>
      </c>
      <c r="J330" s="30"/>
    </row>
    <row r="331" spans="1:10" ht="15.75" customHeight="1">
      <c r="A331" s="6">
        <v>90102</v>
      </c>
      <c r="B331" s="7" t="s">
        <v>31</v>
      </c>
      <c r="C331" s="7" t="s">
        <v>427</v>
      </c>
      <c r="D331" s="7" t="s">
        <v>429</v>
      </c>
      <c r="E331" s="8">
        <f t="shared" si="267"/>
        <v>1.6</v>
      </c>
      <c r="F331" s="20">
        <v>1</v>
      </c>
      <c r="G331" s="17">
        <v>625</v>
      </c>
      <c r="H331" s="17">
        <f t="shared" ref="H331:I331" si="342">F331/5</f>
        <v>0.2</v>
      </c>
      <c r="I331" s="17">
        <f t="shared" si="342"/>
        <v>125</v>
      </c>
      <c r="J331" s="30"/>
    </row>
    <row r="332" spans="1:10" ht="15.75" customHeight="1">
      <c r="A332" s="6">
        <v>90103</v>
      </c>
      <c r="B332" s="7" t="s">
        <v>31</v>
      </c>
      <c r="C332" s="7" t="s">
        <v>427</v>
      </c>
      <c r="D332" s="7" t="s">
        <v>430</v>
      </c>
      <c r="E332" s="8">
        <f t="shared" si="267"/>
        <v>0</v>
      </c>
      <c r="F332" s="20">
        <v>0</v>
      </c>
      <c r="G332" s="17">
        <v>152</v>
      </c>
      <c r="H332" s="17">
        <f t="shared" ref="H332:I332" si="343">F332/5</f>
        <v>0</v>
      </c>
      <c r="I332" s="17">
        <f t="shared" si="343"/>
        <v>30.4</v>
      </c>
      <c r="J332" s="30"/>
    </row>
    <row r="333" spans="1:10" ht="15.75" customHeight="1">
      <c r="A333" s="6">
        <v>90104</v>
      </c>
      <c r="B333" s="7" t="s">
        <v>31</v>
      </c>
      <c r="C333" s="7" t="s">
        <v>427</v>
      </c>
      <c r="D333" s="7" t="s">
        <v>431</v>
      </c>
      <c r="E333" s="8">
        <f t="shared" si="267"/>
        <v>3.8022813688212929</v>
      </c>
      <c r="F333" s="20">
        <v>1</v>
      </c>
      <c r="G333" s="17">
        <v>263</v>
      </c>
      <c r="H333" s="17">
        <f t="shared" ref="H333:I333" si="344">F333/5</f>
        <v>0.2</v>
      </c>
      <c r="I333" s="17">
        <f t="shared" si="344"/>
        <v>52.6</v>
      </c>
      <c r="J333" s="30"/>
    </row>
    <row r="334" spans="1:10" ht="15.75" customHeight="1">
      <c r="A334" s="6">
        <v>90201</v>
      </c>
      <c r="B334" s="7" t="s">
        <v>31</v>
      </c>
      <c r="C334" s="7" t="s">
        <v>432</v>
      </c>
      <c r="D334" s="7" t="s">
        <v>433</v>
      </c>
      <c r="E334" s="8">
        <f t="shared" si="267"/>
        <v>6.6225165562913908</v>
      </c>
      <c r="F334" s="20">
        <v>4</v>
      </c>
      <c r="G334" s="17">
        <v>604</v>
      </c>
      <c r="H334" s="17">
        <f t="shared" ref="H334:I334" si="345">F334/5</f>
        <v>0.8</v>
      </c>
      <c r="I334" s="17">
        <f t="shared" si="345"/>
        <v>120.8</v>
      </c>
      <c r="J334" s="30"/>
    </row>
    <row r="335" spans="1:10" ht="15.75" customHeight="1">
      <c r="A335" s="6">
        <v>90202</v>
      </c>
      <c r="B335" s="7" t="s">
        <v>31</v>
      </c>
      <c r="C335" s="7" t="s">
        <v>432</v>
      </c>
      <c r="D335" s="7" t="s">
        <v>382</v>
      </c>
      <c r="E335" s="8">
        <f t="shared" si="267"/>
        <v>0</v>
      </c>
      <c r="F335" s="20">
        <v>0</v>
      </c>
      <c r="G335" s="17">
        <v>262</v>
      </c>
      <c r="H335" s="17">
        <f t="shared" ref="H335:I335" si="346">F335/5</f>
        <v>0</v>
      </c>
      <c r="I335" s="17">
        <f t="shared" si="346"/>
        <v>52.4</v>
      </c>
      <c r="J335" s="30"/>
    </row>
    <row r="336" spans="1:10" ht="15.75" customHeight="1">
      <c r="A336" s="6">
        <v>90203</v>
      </c>
      <c r="B336" s="7" t="s">
        <v>31</v>
      </c>
      <c r="C336" s="7" t="s">
        <v>432</v>
      </c>
      <c r="D336" s="7" t="s">
        <v>434</v>
      </c>
      <c r="E336" s="8">
        <f t="shared" si="267"/>
        <v>4.6511627906976747</v>
      </c>
      <c r="F336" s="20">
        <v>3</v>
      </c>
      <c r="G336" s="17">
        <v>645</v>
      </c>
      <c r="H336" s="17">
        <f t="shared" ref="H336:I336" si="347">F336/5</f>
        <v>0.6</v>
      </c>
      <c r="I336" s="17">
        <f t="shared" si="347"/>
        <v>129</v>
      </c>
      <c r="J336" s="30"/>
    </row>
    <row r="337" spans="1:15" ht="15.75" customHeight="1">
      <c r="A337" s="6">
        <v>90301</v>
      </c>
      <c r="B337" s="7" t="s">
        <v>31</v>
      </c>
      <c r="C337" s="7" t="s">
        <v>435</v>
      </c>
      <c r="D337" s="7" t="s">
        <v>436</v>
      </c>
      <c r="E337" s="8">
        <f t="shared" si="267"/>
        <v>8.9020771513353125</v>
      </c>
      <c r="F337" s="20">
        <v>6</v>
      </c>
      <c r="G337" s="17">
        <v>674</v>
      </c>
      <c r="H337" s="17">
        <f t="shared" ref="H337:I337" si="348">F337/5</f>
        <v>1.2</v>
      </c>
      <c r="I337" s="17">
        <f t="shared" si="348"/>
        <v>134.80000000000001</v>
      </c>
      <c r="J337" s="30"/>
    </row>
    <row r="338" spans="1:15" ht="15.75" customHeight="1">
      <c r="A338" s="6">
        <v>90302</v>
      </c>
      <c r="B338" s="7" t="s">
        <v>31</v>
      </c>
      <c r="C338" s="7" t="s">
        <v>435</v>
      </c>
      <c r="D338" s="7" t="s">
        <v>437</v>
      </c>
      <c r="E338" s="8">
        <f t="shared" si="267"/>
        <v>2.5380710659898473</v>
      </c>
      <c r="F338" s="20">
        <v>2</v>
      </c>
      <c r="G338" s="17">
        <v>788</v>
      </c>
      <c r="H338" s="17">
        <f t="shared" ref="H338:I338" si="349">F338/5</f>
        <v>0.4</v>
      </c>
      <c r="I338" s="17">
        <f t="shared" si="349"/>
        <v>157.6</v>
      </c>
      <c r="J338" s="30"/>
    </row>
    <row r="339" spans="1:15" ht="15.75" customHeight="1">
      <c r="A339" s="6">
        <v>90303</v>
      </c>
      <c r="B339" s="7" t="s">
        <v>31</v>
      </c>
      <c r="C339" s="7" t="s">
        <v>435</v>
      </c>
      <c r="D339" s="7" t="s">
        <v>438</v>
      </c>
      <c r="E339" s="8">
        <f t="shared" si="267"/>
        <v>11.702127659574467</v>
      </c>
      <c r="F339" s="20">
        <v>11</v>
      </c>
      <c r="G339" s="17">
        <v>940</v>
      </c>
      <c r="H339" s="17">
        <f t="shared" ref="H339:I339" si="350">F339/5</f>
        <v>2.2000000000000002</v>
      </c>
      <c r="I339" s="17">
        <f t="shared" si="350"/>
        <v>188</v>
      </c>
      <c r="J339" s="30"/>
    </row>
    <row r="340" spans="1:15" ht="15.75" customHeight="1">
      <c r="A340" s="6">
        <v>90401</v>
      </c>
      <c r="B340" s="7" t="s">
        <v>31</v>
      </c>
      <c r="C340" s="7" t="s">
        <v>439</v>
      </c>
      <c r="D340" s="7" t="s">
        <v>440</v>
      </c>
      <c r="E340" s="8">
        <f t="shared" si="267"/>
        <v>4.3478260869565215</v>
      </c>
      <c r="F340" s="20">
        <v>1</v>
      </c>
      <c r="G340" s="17">
        <v>230</v>
      </c>
      <c r="H340" s="17">
        <f t="shared" ref="H340:I340" si="351">F340/5</f>
        <v>0.2</v>
      </c>
      <c r="I340" s="17">
        <f t="shared" si="351"/>
        <v>46</v>
      </c>
      <c r="J340" s="30"/>
    </row>
    <row r="341" spans="1:15" ht="15.75" customHeight="1">
      <c r="A341" s="6">
        <v>90402</v>
      </c>
      <c r="B341" s="7" t="s">
        <v>31</v>
      </c>
      <c r="C341" s="7" t="s">
        <v>439</v>
      </c>
      <c r="D341" s="7" t="s">
        <v>102</v>
      </c>
      <c r="E341" s="8">
        <f t="shared" si="267"/>
        <v>9.4786729857819907</v>
      </c>
      <c r="F341" s="20">
        <v>2</v>
      </c>
      <c r="G341" s="17">
        <v>211</v>
      </c>
      <c r="H341" s="17">
        <f t="shared" ref="H341:I341" si="352">F341/5</f>
        <v>0.4</v>
      </c>
      <c r="I341" s="17">
        <f t="shared" si="352"/>
        <v>42.2</v>
      </c>
      <c r="J341" s="30"/>
    </row>
    <row r="342" spans="1:15" ht="15.75" customHeight="1">
      <c r="A342" s="6">
        <v>90501</v>
      </c>
      <c r="B342" s="7" t="s">
        <v>31</v>
      </c>
      <c r="C342" s="7" t="s">
        <v>441</v>
      </c>
      <c r="D342" s="7" t="s">
        <v>442</v>
      </c>
      <c r="E342" s="8">
        <f t="shared" si="267"/>
        <v>7.9365079365079358</v>
      </c>
      <c r="F342" s="20">
        <v>1</v>
      </c>
      <c r="G342" s="17">
        <v>126</v>
      </c>
      <c r="H342" s="17">
        <f t="shared" ref="H342:I342" si="353">F342/5</f>
        <v>0.2</v>
      </c>
      <c r="I342" s="17">
        <f t="shared" si="353"/>
        <v>25.2</v>
      </c>
      <c r="J342" s="30"/>
    </row>
    <row r="343" spans="1:15" ht="15.75" customHeight="1">
      <c r="A343" s="6">
        <v>90502</v>
      </c>
      <c r="B343" s="7" t="s">
        <v>31</v>
      </c>
      <c r="C343" s="7" t="s">
        <v>441</v>
      </c>
      <c r="D343" s="7" t="s">
        <v>443</v>
      </c>
      <c r="E343" s="8">
        <f t="shared" si="267"/>
        <v>14.018691588785046</v>
      </c>
      <c r="F343" s="20">
        <v>3</v>
      </c>
      <c r="G343" s="17">
        <v>214</v>
      </c>
      <c r="H343" s="17">
        <f t="shared" ref="H343:I343" si="354">F343/5</f>
        <v>0.6</v>
      </c>
      <c r="I343" s="17">
        <f t="shared" si="354"/>
        <v>42.8</v>
      </c>
      <c r="J343" s="30"/>
    </row>
    <row r="344" spans="1:15" ht="15.75" customHeight="1">
      <c r="A344" s="6">
        <v>90503</v>
      </c>
      <c r="B344" s="7" t="s">
        <v>31</v>
      </c>
      <c r="C344" s="7" t="s">
        <v>441</v>
      </c>
      <c r="D344" s="7" t="s">
        <v>444</v>
      </c>
      <c r="E344" s="8">
        <f t="shared" si="267"/>
        <v>22.346368715083798</v>
      </c>
      <c r="F344" s="40">
        <v>4</v>
      </c>
      <c r="G344" s="41">
        <v>179</v>
      </c>
      <c r="H344" s="17">
        <f t="shared" ref="H344:I344" si="355">F344/5</f>
        <v>0.8</v>
      </c>
      <c r="I344" s="17">
        <f t="shared" si="355"/>
        <v>35.799999999999997</v>
      </c>
      <c r="J344" s="30"/>
    </row>
    <row r="345" spans="1:15" ht="15.75" customHeight="1">
      <c r="A345" s="23"/>
      <c r="D345" s="24"/>
      <c r="E345" s="25"/>
      <c r="F345" s="26">
        <v>7608</v>
      </c>
      <c r="G345" s="21">
        <v>719598</v>
      </c>
      <c r="H345" s="17">
        <f t="shared" ref="H345:I345" si="356">F345/5</f>
        <v>1521.6</v>
      </c>
      <c r="I345" s="17">
        <f t="shared" si="356"/>
        <v>143919.6</v>
      </c>
      <c r="J345" s="29"/>
      <c r="L345" s="18">
        <f>G345+J345</f>
        <v>719598</v>
      </c>
    </row>
    <row r="346" spans="1:15" ht="15.75" customHeight="1">
      <c r="A346" s="23"/>
      <c r="D346" s="24" t="s">
        <v>323</v>
      </c>
      <c r="E346" s="28">
        <f>(F346/G346)*1000</f>
        <v>8.2292574305353856</v>
      </c>
      <c r="F346" s="29">
        <f t="shared" ref="F346:G346" si="357">AVERAGE(F246:F248)</f>
        <v>28.333333333333332</v>
      </c>
      <c r="G346" s="29">
        <f t="shared" si="357"/>
        <v>3443</v>
      </c>
      <c r="H346" s="29"/>
      <c r="I346" s="29"/>
      <c r="J346" s="30"/>
    </row>
    <row r="347" spans="1:15" ht="15.75" customHeight="1">
      <c r="A347" s="23"/>
      <c r="D347" s="31"/>
      <c r="E347" s="28"/>
      <c r="F347" s="29"/>
      <c r="G347" s="30"/>
      <c r="H347" s="30"/>
      <c r="I347" s="30"/>
      <c r="J347" s="30"/>
    </row>
    <row r="348" spans="1:15" ht="15.75" customHeight="1">
      <c r="A348" s="23"/>
      <c r="D348" s="24"/>
      <c r="E348" s="28"/>
      <c r="F348" s="29"/>
      <c r="G348" s="30"/>
      <c r="H348" s="30"/>
      <c r="I348" s="30"/>
      <c r="J348" s="30"/>
    </row>
    <row r="349" spans="1:15" ht="15.75" customHeight="1">
      <c r="A349" s="23"/>
      <c r="D349" s="24"/>
      <c r="E349" s="32"/>
      <c r="F349" s="29"/>
      <c r="G349" s="30"/>
      <c r="H349" s="30"/>
      <c r="I349" s="30"/>
      <c r="J349" s="30"/>
    </row>
    <row r="350" spans="1:15" ht="15.75" customHeight="1">
      <c r="A350" s="23"/>
      <c r="D350" s="24"/>
      <c r="E350" s="32"/>
      <c r="F350" s="29"/>
      <c r="G350" s="30"/>
      <c r="H350" s="30"/>
      <c r="I350" s="30"/>
      <c r="J350" s="30"/>
      <c r="M350" s="42">
        <f t="shared" ref="M350:M351" si="358">E354*100</f>
        <v>0</v>
      </c>
      <c r="O350" s="42">
        <f>M350+M351</f>
        <v>0</v>
      </c>
    </row>
    <row r="351" spans="1:15" ht="15.75" customHeight="1">
      <c r="A351" s="23"/>
      <c r="D351" s="24"/>
      <c r="E351" s="32"/>
      <c r="F351" s="29"/>
      <c r="G351" s="30"/>
      <c r="H351" s="30"/>
      <c r="I351" s="30"/>
      <c r="J351" s="30"/>
      <c r="M351" s="42">
        <f t="shared" si="358"/>
        <v>0</v>
      </c>
      <c r="O351" s="42">
        <f>M350-M351</f>
        <v>0</v>
      </c>
    </row>
    <row r="352" spans="1:15" ht="15.75" customHeight="1">
      <c r="A352" s="23"/>
      <c r="D352" s="24"/>
      <c r="F352" s="30"/>
      <c r="J352" s="30"/>
    </row>
    <row r="353" spans="1:9" ht="15.75" customHeight="1">
      <c r="A353" s="23"/>
      <c r="C353" s="7" t="s">
        <v>445</v>
      </c>
      <c r="D353" s="33">
        <f>AVERAGE(E1:E344)</f>
        <v>12.731280559164073</v>
      </c>
      <c r="F353" s="32">
        <f>D353+D354</f>
        <v>21.070307777622652</v>
      </c>
    </row>
    <row r="354" spans="1:9" ht="15.75" customHeight="1">
      <c r="A354" s="23"/>
      <c r="C354" s="7" t="s">
        <v>446</v>
      </c>
      <c r="D354" s="33">
        <f>STDEV(E1:E344)</f>
        <v>8.339027218458579</v>
      </c>
      <c r="E354" s="34"/>
      <c r="F354" s="32">
        <f>D353-D354</f>
        <v>4.3922533407054942</v>
      </c>
      <c r="G354" s="34"/>
      <c r="H354" s="34"/>
      <c r="I354" s="34"/>
    </row>
    <row r="355" spans="1:9" ht="15.75" customHeight="1">
      <c r="A355" s="23"/>
      <c r="C355" s="7" t="s">
        <v>447</v>
      </c>
      <c r="D355" s="33"/>
      <c r="E355" s="34"/>
      <c r="F355" s="32"/>
      <c r="G355" s="34"/>
      <c r="H355" s="34"/>
      <c r="I355" s="34"/>
    </row>
    <row r="356" spans="1:9" ht="15.75" customHeight="1">
      <c r="A356" s="23"/>
      <c r="C356" s="7" t="s">
        <v>448</v>
      </c>
      <c r="D356" s="33"/>
      <c r="E356" s="34"/>
      <c r="F356" s="32"/>
    </row>
    <row r="357" spans="1:9" ht="15.75" customHeight="1">
      <c r="A357" s="23"/>
      <c r="C357" s="7" t="s">
        <v>449</v>
      </c>
      <c r="D357" s="33"/>
      <c r="E357" s="34"/>
      <c r="F357" s="32"/>
    </row>
    <row r="358" spans="1:9" ht="15.75" customHeight="1">
      <c r="A358" s="23"/>
      <c r="D358" s="35"/>
      <c r="E358" s="32"/>
      <c r="F358" s="32"/>
    </row>
    <row r="359" spans="1:9" ht="15.75" customHeight="1">
      <c r="A359" s="23"/>
      <c r="D359" s="35"/>
      <c r="F359" s="32"/>
    </row>
    <row r="360" spans="1:9" ht="15.75" customHeight="1">
      <c r="A360" s="23"/>
      <c r="D360" s="35"/>
      <c r="F360" s="32"/>
    </row>
    <row r="361" spans="1:9" ht="15.75" customHeight="1">
      <c r="A361" s="23"/>
      <c r="D361" s="35"/>
      <c r="F361" s="32"/>
    </row>
    <row r="362" spans="1:9" ht="15.75" customHeight="1">
      <c r="A362" s="23"/>
      <c r="D362" s="35"/>
      <c r="F362" s="32"/>
    </row>
    <row r="363" spans="1:9" ht="15.75" customHeight="1">
      <c r="A363" s="23"/>
      <c r="D363" s="35"/>
      <c r="F363" s="32"/>
    </row>
    <row r="364" spans="1:9" ht="15.75" customHeight="1">
      <c r="A364" s="23"/>
      <c r="D364" s="35"/>
      <c r="F364" s="32"/>
    </row>
    <row r="365" spans="1:9" ht="15.75" customHeight="1">
      <c r="A365" s="23"/>
      <c r="D365" s="35"/>
      <c r="F365" s="32"/>
    </row>
    <row r="366" spans="1:9" ht="15.75" customHeight="1">
      <c r="A366" s="23"/>
      <c r="D366" s="35"/>
      <c r="F366" s="32"/>
    </row>
    <row r="367" spans="1:9" ht="15.75" customHeight="1">
      <c r="A367" s="23"/>
      <c r="D367" s="35"/>
      <c r="F367" s="32"/>
    </row>
    <row r="368" spans="1:9" ht="15.75" customHeight="1">
      <c r="A368" s="23"/>
      <c r="D368" s="35"/>
      <c r="F368" s="32"/>
    </row>
    <row r="369" spans="1:6" ht="15.75" customHeight="1">
      <c r="A369" s="23"/>
      <c r="D369" s="35"/>
      <c r="F369" s="32"/>
    </row>
    <row r="370" spans="1:6" ht="15.75" customHeight="1">
      <c r="A370" s="23"/>
      <c r="D370" s="35"/>
      <c r="F370" s="32"/>
    </row>
    <row r="371" spans="1:6" ht="15.75" customHeight="1">
      <c r="A371" s="23"/>
      <c r="D371" s="35"/>
      <c r="F371" s="32"/>
    </row>
    <row r="372" spans="1:6" ht="15.75" customHeight="1">
      <c r="A372" s="23"/>
      <c r="D372" s="35"/>
      <c r="F372" s="32"/>
    </row>
    <row r="373" spans="1:6" ht="15.75" customHeight="1">
      <c r="A373" s="23"/>
      <c r="D373" s="35"/>
      <c r="F373" s="32"/>
    </row>
    <row r="374" spans="1:6" ht="15.75" customHeight="1">
      <c r="A374" s="23"/>
      <c r="D374" s="35"/>
      <c r="F374" s="32"/>
    </row>
    <row r="375" spans="1:6" ht="15.75" customHeight="1">
      <c r="A375" s="23"/>
      <c r="D375" s="35"/>
      <c r="F375" s="32"/>
    </row>
    <row r="376" spans="1:6" ht="15.75" customHeight="1">
      <c r="A376" s="23"/>
      <c r="D376" s="35"/>
      <c r="F376" s="32"/>
    </row>
    <row r="377" spans="1:6" ht="15.75" customHeight="1">
      <c r="A377" s="23"/>
      <c r="D377" s="35"/>
      <c r="F377" s="32"/>
    </row>
    <row r="378" spans="1:6" ht="15.75" customHeight="1">
      <c r="A378" s="23"/>
      <c r="D378" s="35"/>
      <c r="F378" s="32"/>
    </row>
    <row r="379" spans="1:6" ht="15.75" customHeight="1">
      <c r="A379" s="23"/>
      <c r="D379" s="35"/>
      <c r="F379" s="32"/>
    </row>
    <row r="380" spans="1:6" ht="15.75" customHeight="1">
      <c r="A380" s="23"/>
      <c r="D380" s="35"/>
      <c r="F380" s="32"/>
    </row>
    <row r="381" spans="1:6" ht="15.75" customHeight="1">
      <c r="A381" s="23"/>
      <c r="D381" s="35"/>
      <c r="F381" s="32"/>
    </row>
    <row r="382" spans="1:6" ht="15.75" customHeight="1">
      <c r="A382" s="23"/>
      <c r="D382" s="35"/>
      <c r="F382" s="32"/>
    </row>
    <row r="383" spans="1:6" ht="15.75" customHeight="1">
      <c r="A383" s="23"/>
      <c r="D383" s="35"/>
      <c r="F383" s="32"/>
    </row>
    <row r="384" spans="1:6" ht="15.75" customHeight="1">
      <c r="A384" s="23"/>
      <c r="D384" s="35"/>
      <c r="F384" s="32"/>
    </row>
    <row r="385" spans="1:6" ht="15.75" customHeight="1">
      <c r="A385" s="23"/>
      <c r="D385" s="35"/>
      <c r="F385" s="32"/>
    </row>
    <row r="386" spans="1:6" ht="15.75" customHeight="1">
      <c r="A386" s="23"/>
      <c r="D386" s="35"/>
      <c r="F386" s="32"/>
    </row>
    <row r="387" spans="1:6" ht="15.75" customHeight="1">
      <c r="A387" s="23"/>
      <c r="D387" s="35"/>
      <c r="F387" s="32"/>
    </row>
    <row r="388" spans="1:6" ht="15.75" customHeight="1">
      <c r="A388" s="23"/>
      <c r="D388" s="35"/>
      <c r="F388" s="32"/>
    </row>
    <row r="389" spans="1:6" ht="15.75" customHeight="1">
      <c r="A389" s="23"/>
      <c r="D389" s="35"/>
      <c r="F389" s="32"/>
    </row>
    <row r="390" spans="1:6" ht="15.75" customHeight="1">
      <c r="A390" s="23"/>
      <c r="D390" s="35"/>
      <c r="F390" s="32"/>
    </row>
    <row r="391" spans="1:6" ht="15.75" customHeight="1">
      <c r="A391" s="23"/>
      <c r="D391" s="35"/>
      <c r="F391" s="32"/>
    </row>
    <row r="392" spans="1:6" ht="15.75" customHeight="1">
      <c r="A392" s="23"/>
      <c r="D392" s="35"/>
      <c r="F392" s="32"/>
    </row>
    <row r="393" spans="1:6" ht="15.75" customHeight="1">
      <c r="A393" s="23"/>
      <c r="D393" s="35"/>
      <c r="F393" s="32"/>
    </row>
    <row r="394" spans="1:6" ht="15.75" customHeight="1">
      <c r="A394" s="23"/>
      <c r="D394" s="35"/>
      <c r="F394" s="32"/>
    </row>
    <row r="395" spans="1:6" ht="15.75" customHeight="1">
      <c r="A395" s="23"/>
      <c r="D395" s="35"/>
      <c r="F395" s="32"/>
    </row>
    <row r="396" spans="1:6" ht="15.75" customHeight="1">
      <c r="A396" s="23"/>
      <c r="D396" s="35"/>
      <c r="F396" s="32"/>
    </row>
    <row r="397" spans="1:6" ht="15.75" customHeight="1">
      <c r="A397" s="23"/>
      <c r="D397" s="35"/>
      <c r="F397" s="32"/>
    </row>
    <row r="398" spans="1:6" ht="15.75" customHeight="1">
      <c r="A398" s="23"/>
      <c r="D398" s="35"/>
      <c r="F398" s="32"/>
    </row>
    <row r="399" spans="1:6" ht="15.75" customHeight="1">
      <c r="A399" s="23"/>
      <c r="D399" s="35"/>
      <c r="F399" s="32"/>
    </row>
    <row r="400" spans="1:6" ht="15.75" customHeight="1">
      <c r="A400" s="23"/>
      <c r="D400" s="35"/>
      <c r="F400" s="32"/>
    </row>
    <row r="401" spans="1:6" ht="15.75" customHeight="1">
      <c r="A401" s="23"/>
      <c r="D401" s="35"/>
      <c r="F401" s="32"/>
    </row>
    <row r="402" spans="1:6" ht="15.75" customHeight="1">
      <c r="A402" s="23"/>
      <c r="D402" s="35"/>
      <c r="F402" s="32"/>
    </row>
    <row r="403" spans="1:6" ht="15.75" customHeight="1">
      <c r="A403" s="23"/>
      <c r="D403" s="35"/>
      <c r="F403" s="32"/>
    </row>
    <row r="404" spans="1:6" ht="15.75" customHeight="1">
      <c r="A404" s="23"/>
      <c r="D404" s="35"/>
      <c r="F404" s="32"/>
    </row>
    <row r="405" spans="1:6" ht="15.75" customHeight="1">
      <c r="A405" s="23"/>
      <c r="D405" s="35"/>
      <c r="F405" s="32"/>
    </row>
    <row r="406" spans="1:6" ht="15.75" customHeight="1">
      <c r="A406" s="23"/>
      <c r="D406" s="35"/>
      <c r="F406" s="32"/>
    </row>
    <row r="407" spans="1:6" ht="15.75" customHeight="1">
      <c r="A407" s="23"/>
      <c r="D407" s="35"/>
      <c r="F407" s="32"/>
    </row>
    <row r="408" spans="1:6" ht="15.75" customHeight="1">
      <c r="A408" s="23"/>
      <c r="D408" s="35"/>
      <c r="F408" s="32"/>
    </row>
    <row r="409" spans="1:6" ht="15.75" customHeight="1">
      <c r="A409" s="23"/>
      <c r="D409" s="35"/>
      <c r="F409" s="32"/>
    </row>
    <row r="410" spans="1:6" ht="15.75" customHeight="1">
      <c r="A410" s="23"/>
      <c r="D410" s="35"/>
      <c r="F410" s="32"/>
    </row>
    <row r="411" spans="1:6" ht="15.75" customHeight="1">
      <c r="A411" s="23"/>
      <c r="D411" s="35"/>
      <c r="F411" s="32"/>
    </row>
    <row r="412" spans="1:6" ht="15.75" customHeight="1">
      <c r="A412" s="23"/>
      <c r="D412" s="35"/>
      <c r="F412" s="32"/>
    </row>
    <row r="413" spans="1:6" ht="15.75" customHeight="1">
      <c r="A413" s="23"/>
      <c r="D413" s="35"/>
      <c r="F413" s="32"/>
    </row>
    <row r="414" spans="1:6" ht="15.75" customHeight="1">
      <c r="A414" s="23"/>
      <c r="D414" s="35"/>
      <c r="F414" s="32"/>
    </row>
    <row r="415" spans="1:6" ht="15.75" customHeight="1">
      <c r="A415" s="23"/>
      <c r="D415" s="35"/>
      <c r="F415" s="32"/>
    </row>
    <row r="416" spans="1:6" ht="15.75" customHeight="1">
      <c r="A416" s="23"/>
      <c r="D416" s="35"/>
      <c r="F416" s="32"/>
    </row>
    <row r="417" spans="1:6" ht="15.75" customHeight="1">
      <c r="A417" s="23"/>
      <c r="D417" s="35"/>
      <c r="F417" s="32"/>
    </row>
    <row r="418" spans="1:6" ht="15.75" customHeight="1">
      <c r="A418" s="23"/>
      <c r="D418" s="35"/>
      <c r="F418" s="32"/>
    </row>
    <row r="419" spans="1:6" ht="15.75" customHeight="1">
      <c r="A419" s="23"/>
      <c r="D419" s="35"/>
      <c r="F419" s="32"/>
    </row>
    <row r="420" spans="1:6" ht="15.75" customHeight="1">
      <c r="A420" s="23"/>
      <c r="D420" s="35"/>
      <c r="F420" s="32"/>
    </row>
    <row r="421" spans="1:6" ht="15.75" customHeight="1">
      <c r="A421" s="23"/>
      <c r="D421" s="35"/>
      <c r="F421" s="32"/>
    </row>
    <row r="422" spans="1:6" ht="15.75" customHeight="1">
      <c r="A422" s="23"/>
      <c r="D422" s="35"/>
      <c r="F422" s="32"/>
    </row>
    <row r="423" spans="1:6" ht="15.75" customHeight="1">
      <c r="A423" s="23"/>
      <c r="D423" s="35"/>
      <c r="F423" s="32"/>
    </row>
    <row r="424" spans="1:6" ht="15.75" customHeight="1">
      <c r="A424" s="23"/>
      <c r="D424" s="35"/>
      <c r="F424" s="32"/>
    </row>
    <row r="425" spans="1:6" ht="15.75" customHeight="1">
      <c r="A425" s="23"/>
      <c r="D425" s="35"/>
      <c r="F425" s="32"/>
    </row>
    <row r="426" spans="1:6" ht="15.75" customHeight="1">
      <c r="A426" s="23"/>
      <c r="D426" s="35"/>
      <c r="F426" s="32"/>
    </row>
    <row r="427" spans="1:6" ht="15.75" customHeight="1">
      <c r="A427" s="23"/>
      <c r="D427" s="35"/>
      <c r="F427" s="32"/>
    </row>
    <row r="428" spans="1:6" ht="15.75" customHeight="1">
      <c r="A428" s="23"/>
      <c r="D428" s="35"/>
      <c r="F428" s="32"/>
    </row>
    <row r="429" spans="1:6" ht="15.75" customHeight="1">
      <c r="A429" s="23"/>
      <c r="D429" s="35"/>
      <c r="F429" s="32"/>
    </row>
    <row r="430" spans="1:6" ht="15.75" customHeight="1">
      <c r="A430" s="23"/>
      <c r="D430" s="35"/>
      <c r="F430" s="32"/>
    </row>
    <row r="431" spans="1:6" ht="15.75" customHeight="1">
      <c r="A431" s="23"/>
      <c r="D431" s="35"/>
      <c r="F431" s="32"/>
    </row>
    <row r="432" spans="1:6" ht="15.75" customHeight="1">
      <c r="A432" s="23"/>
      <c r="D432" s="35"/>
      <c r="F432" s="32"/>
    </row>
    <row r="433" spans="1:6" ht="15.75" customHeight="1">
      <c r="A433" s="23"/>
      <c r="D433" s="35"/>
      <c r="F433" s="32"/>
    </row>
    <row r="434" spans="1:6" ht="15.75" customHeight="1">
      <c r="A434" s="23"/>
      <c r="D434" s="35"/>
      <c r="F434" s="32"/>
    </row>
    <row r="435" spans="1:6" ht="15.75" customHeight="1">
      <c r="A435" s="23"/>
      <c r="D435" s="35"/>
      <c r="F435" s="32"/>
    </row>
    <row r="436" spans="1:6" ht="15.75" customHeight="1">
      <c r="A436" s="23"/>
      <c r="D436" s="35"/>
      <c r="F436" s="32"/>
    </row>
    <row r="437" spans="1:6" ht="15.75" customHeight="1">
      <c r="A437" s="23"/>
      <c r="D437" s="35"/>
      <c r="F437" s="32"/>
    </row>
    <row r="438" spans="1:6" ht="15.75" customHeight="1">
      <c r="A438" s="23"/>
      <c r="D438" s="35"/>
      <c r="F438" s="32"/>
    </row>
    <row r="439" spans="1:6" ht="15.75" customHeight="1">
      <c r="A439" s="23"/>
      <c r="D439" s="35"/>
      <c r="F439" s="32"/>
    </row>
    <row r="440" spans="1:6" ht="15.75" customHeight="1">
      <c r="A440" s="23"/>
      <c r="D440" s="35"/>
      <c r="F440" s="32"/>
    </row>
    <row r="441" spans="1:6" ht="15.75" customHeight="1">
      <c r="A441" s="23"/>
      <c r="D441" s="35"/>
      <c r="F441" s="32"/>
    </row>
    <row r="442" spans="1:6" ht="15.75" customHeight="1">
      <c r="A442" s="23"/>
      <c r="D442" s="35"/>
      <c r="F442" s="32"/>
    </row>
    <row r="443" spans="1:6" ht="15.75" customHeight="1">
      <c r="A443" s="23"/>
      <c r="D443" s="35"/>
      <c r="F443" s="32"/>
    </row>
    <row r="444" spans="1:6" ht="15.75" customHeight="1">
      <c r="A444" s="23"/>
      <c r="D444" s="35"/>
      <c r="F444" s="32"/>
    </row>
    <row r="445" spans="1:6" ht="15.75" customHeight="1">
      <c r="A445" s="23"/>
      <c r="D445" s="35"/>
      <c r="F445" s="32"/>
    </row>
    <row r="446" spans="1:6" ht="15.75" customHeight="1">
      <c r="A446" s="23"/>
      <c r="D446" s="35"/>
      <c r="F446" s="32"/>
    </row>
    <row r="447" spans="1:6" ht="15.75" customHeight="1">
      <c r="A447" s="23"/>
      <c r="D447" s="35"/>
      <c r="F447" s="32"/>
    </row>
    <row r="448" spans="1:6" ht="15.75" customHeight="1">
      <c r="A448" s="23"/>
      <c r="D448" s="35"/>
      <c r="F448" s="32"/>
    </row>
    <row r="449" spans="1:6" ht="15.75" customHeight="1">
      <c r="A449" s="23"/>
      <c r="D449" s="35"/>
      <c r="F449" s="32"/>
    </row>
    <row r="450" spans="1:6" ht="15.75" customHeight="1">
      <c r="A450" s="23"/>
      <c r="D450" s="35"/>
      <c r="F450" s="32"/>
    </row>
    <row r="451" spans="1:6" ht="15.75" customHeight="1">
      <c r="A451" s="23"/>
      <c r="D451" s="35"/>
      <c r="F451" s="32"/>
    </row>
    <row r="452" spans="1:6" ht="15.75" customHeight="1">
      <c r="A452" s="23"/>
      <c r="D452" s="35"/>
      <c r="F452" s="32"/>
    </row>
    <row r="453" spans="1:6" ht="15.75" customHeight="1">
      <c r="A453" s="23"/>
      <c r="D453" s="35"/>
      <c r="F453" s="32"/>
    </row>
    <row r="454" spans="1:6" ht="15.75" customHeight="1">
      <c r="A454" s="23"/>
      <c r="D454" s="35"/>
      <c r="F454" s="32"/>
    </row>
    <row r="455" spans="1:6" ht="15.75" customHeight="1">
      <c r="A455" s="23"/>
      <c r="D455" s="35"/>
      <c r="F455" s="32"/>
    </row>
    <row r="456" spans="1:6" ht="15.75" customHeight="1">
      <c r="A456" s="23"/>
      <c r="D456" s="35"/>
      <c r="F456" s="32"/>
    </row>
    <row r="457" spans="1:6" ht="15.75" customHeight="1">
      <c r="A457" s="23"/>
      <c r="D457" s="35"/>
      <c r="F457" s="32"/>
    </row>
    <row r="458" spans="1:6" ht="15.75" customHeight="1">
      <c r="A458" s="23"/>
      <c r="D458" s="35"/>
      <c r="F458" s="32"/>
    </row>
    <row r="459" spans="1:6" ht="15.75" customHeight="1">
      <c r="A459" s="23"/>
      <c r="D459" s="35"/>
      <c r="F459" s="32"/>
    </row>
    <row r="460" spans="1:6" ht="15.75" customHeight="1">
      <c r="A460" s="23"/>
      <c r="D460" s="35"/>
      <c r="F460" s="32"/>
    </row>
    <row r="461" spans="1:6" ht="15.75" customHeight="1">
      <c r="A461" s="23"/>
      <c r="D461" s="35"/>
      <c r="F461" s="32"/>
    </row>
    <row r="462" spans="1:6" ht="15.75" customHeight="1">
      <c r="A462" s="23"/>
      <c r="D462" s="35"/>
      <c r="F462" s="32"/>
    </row>
    <row r="463" spans="1:6" ht="15.75" customHeight="1">
      <c r="A463" s="23"/>
      <c r="D463" s="35"/>
      <c r="F463" s="32"/>
    </row>
    <row r="464" spans="1:6" ht="15.75" customHeight="1">
      <c r="A464" s="23"/>
      <c r="D464" s="35"/>
      <c r="F464" s="32"/>
    </row>
    <row r="465" spans="1:6" ht="15.75" customHeight="1">
      <c r="A465" s="23"/>
      <c r="D465" s="35"/>
      <c r="F465" s="32"/>
    </row>
    <row r="466" spans="1:6" ht="15.75" customHeight="1">
      <c r="A466" s="23"/>
      <c r="D466" s="35"/>
      <c r="F466" s="32"/>
    </row>
    <row r="467" spans="1:6" ht="15.75" customHeight="1">
      <c r="A467" s="23"/>
      <c r="D467" s="35"/>
      <c r="F467" s="32"/>
    </row>
    <row r="468" spans="1:6" ht="15.75" customHeight="1">
      <c r="A468" s="23"/>
      <c r="D468" s="35"/>
      <c r="F468" s="32"/>
    </row>
    <row r="469" spans="1:6" ht="15.75" customHeight="1">
      <c r="A469" s="23"/>
      <c r="D469" s="35"/>
      <c r="F469" s="32"/>
    </row>
    <row r="470" spans="1:6" ht="15.75" customHeight="1">
      <c r="A470" s="23"/>
      <c r="D470" s="35"/>
      <c r="F470" s="32"/>
    </row>
    <row r="471" spans="1:6" ht="15.75" customHeight="1">
      <c r="A471" s="23"/>
      <c r="D471" s="35"/>
      <c r="F471" s="32"/>
    </row>
    <row r="472" spans="1:6" ht="15.75" customHeight="1">
      <c r="A472" s="23"/>
      <c r="D472" s="35"/>
      <c r="F472" s="32"/>
    </row>
    <row r="473" spans="1:6" ht="15.75" customHeight="1">
      <c r="A473" s="23"/>
      <c r="D473" s="35"/>
      <c r="F473" s="32"/>
    </row>
    <row r="474" spans="1:6" ht="15.75" customHeight="1">
      <c r="A474" s="23"/>
      <c r="D474" s="35"/>
      <c r="F474" s="32"/>
    </row>
    <row r="475" spans="1:6" ht="15.75" customHeight="1">
      <c r="A475" s="23"/>
      <c r="D475" s="35"/>
      <c r="F475" s="32"/>
    </row>
    <row r="476" spans="1:6" ht="15.75" customHeight="1">
      <c r="A476" s="23"/>
      <c r="D476" s="35"/>
      <c r="F476" s="32"/>
    </row>
    <row r="477" spans="1:6" ht="15.75" customHeight="1">
      <c r="A477" s="23"/>
      <c r="D477" s="35"/>
      <c r="F477" s="32"/>
    </row>
    <row r="478" spans="1:6" ht="15.75" customHeight="1">
      <c r="A478" s="23"/>
      <c r="D478" s="35"/>
      <c r="F478" s="32"/>
    </row>
    <row r="479" spans="1:6" ht="15.75" customHeight="1">
      <c r="A479" s="23"/>
      <c r="D479" s="35"/>
      <c r="F479" s="32"/>
    </row>
    <row r="480" spans="1:6" ht="15.75" customHeight="1">
      <c r="A480" s="23"/>
      <c r="D480" s="35"/>
      <c r="F480" s="32"/>
    </row>
    <row r="481" spans="1:6" ht="15.75" customHeight="1">
      <c r="A481" s="23"/>
      <c r="D481" s="35"/>
      <c r="F481" s="32"/>
    </row>
    <row r="482" spans="1:6" ht="15.75" customHeight="1">
      <c r="A482" s="23"/>
      <c r="D482" s="35"/>
      <c r="F482" s="32"/>
    </row>
    <row r="483" spans="1:6" ht="15.75" customHeight="1">
      <c r="A483" s="23"/>
      <c r="D483" s="35"/>
      <c r="F483" s="32"/>
    </row>
    <row r="484" spans="1:6" ht="15.75" customHeight="1">
      <c r="A484" s="23"/>
      <c r="D484" s="35"/>
      <c r="F484" s="32"/>
    </row>
    <row r="485" spans="1:6" ht="15.75" customHeight="1">
      <c r="A485" s="23"/>
      <c r="D485" s="35"/>
      <c r="F485" s="32"/>
    </row>
    <row r="486" spans="1:6" ht="15.75" customHeight="1">
      <c r="A486" s="23"/>
      <c r="D486" s="35"/>
      <c r="F486" s="32"/>
    </row>
    <row r="487" spans="1:6" ht="15.75" customHeight="1">
      <c r="A487" s="23"/>
      <c r="D487" s="35"/>
      <c r="F487" s="32"/>
    </row>
    <row r="488" spans="1:6" ht="15.75" customHeight="1">
      <c r="A488" s="23"/>
      <c r="D488" s="35"/>
      <c r="F488" s="32"/>
    </row>
    <row r="489" spans="1:6" ht="15.75" customHeight="1">
      <c r="A489" s="23"/>
      <c r="D489" s="35"/>
      <c r="F489" s="32"/>
    </row>
    <row r="490" spans="1:6" ht="15.75" customHeight="1">
      <c r="A490" s="23"/>
      <c r="D490" s="35"/>
      <c r="F490" s="32"/>
    </row>
    <row r="491" spans="1:6" ht="15.75" customHeight="1">
      <c r="A491" s="23"/>
      <c r="D491" s="35"/>
      <c r="F491" s="32"/>
    </row>
    <row r="492" spans="1:6" ht="15.75" customHeight="1">
      <c r="A492" s="23"/>
      <c r="D492" s="35"/>
      <c r="F492" s="32"/>
    </row>
    <row r="493" spans="1:6" ht="15.75" customHeight="1">
      <c r="A493" s="23"/>
      <c r="D493" s="35"/>
      <c r="F493" s="32"/>
    </row>
    <row r="494" spans="1:6" ht="15.75" customHeight="1">
      <c r="A494" s="23"/>
      <c r="D494" s="35"/>
      <c r="F494" s="32"/>
    </row>
    <row r="495" spans="1:6" ht="15.75" customHeight="1">
      <c r="A495" s="23"/>
      <c r="D495" s="35"/>
      <c r="F495" s="32"/>
    </row>
    <row r="496" spans="1:6" ht="15.75" customHeight="1">
      <c r="A496" s="23"/>
      <c r="D496" s="35"/>
      <c r="F496" s="32"/>
    </row>
    <row r="497" spans="1:6" ht="15.75" customHeight="1">
      <c r="A497" s="23"/>
      <c r="D497" s="35"/>
      <c r="F497" s="32"/>
    </row>
    <row r="498" spans="1:6" ht="15.75" customHeight="1">
      <c r="A498" s="23"/>
      <c r="D498" s="35"/>
      <c r="F498" s="32"/>
    </row>
    <row r="499" spans="1:6" ht="15.75" customHeight="1">
      <c r="A499" s="23"/>
      <c r="D499" s="35"/>
      <c r="F499" s="32"/>
    </row>
    <row r="500" spans="1:6" ht="15.75" customHeight="1">
      <c r="A500" s="23"/>
      <c r="D500" s="35"/>
      <c r="F500" s="32"/>
    </row>
    <row r="501" spans="1:6" ht="15.75" customHeight="1">
      <c r="A501" s="23"/>
      <c r="D501" s="35"/>
      <c r="F501" s="32"/>
    </row>
    <row r="502" spans="1:6" ht="15.75" customHeight="1">
      <c r="A502" s="23"/>
      <c r="D502" s="35"/>
      <c r="F502" s="32"/>
    </row>
    <row r="503" spans="1:6" ht="15.75" customHeight="1">
      <c r="A503" s="23"/>
      <c r="D503" s="35"/>
      <c r="F503" s="32"/>
    </row>
    <row r="504" spans="1:6" ht="15.75" customHeight="1">
      <c r="A504" s="23"/>
      <c r="D504" s="35"/>
      <c r="F504" s="32"/>
    </row>
    <row r="505" spans="1:6" ht="15.75" customHeight="1">
      <c r="A505" s="23"/>
      <c r="D505" s="35"/>
      <c r="F505" s="32"/>
    </row>
    <row r="506" spans="1:6" ht="15.75" customHeight="1">
      <c r="A506" s="23"/>
      <c r="D506" s="35"/>
      <c r="F506" s="32"/>
    </row>
    <row r="507" spans="1:6" ht="15.75" customHeight="1">
      <c r="A507" s="23"/>
      <c r="D507" s="35"/>
      <c r="F507" s="32"/>
    </row>
    <row r="508" spans="1:6" ht="15.75" customHeight="1">
      <c r="A508" s="23"/>
      <c r="D508" s="35"/>
      <c r="F508" s="32"/>
    </row>
    <row r="509" spans="1:6" ht="15.75" customHeight="1">
      <c r="A509" s="23"/>
      <c r="D509" s="35"/>
      <c r="F509" s="32"/>
    </row>
    <row r="510" spans="1:6" ht="15.75" customHeight="1">
      <c r="A510" s="23"/>
      <c r="D510" s="35"/>
      <c r="F510" s="32"/>
    </row>
    <row r="511" spans="1:6" ht="15.75" customHeight="1">
      <c r="A511" s="23"/>
      <c r="D511" s="35"/>
      <c r="F511" s="32"/>
    </row>
    <row r="512" spans="1:6" ht="15.75" customHeight="1">
      <c r="A512" s="23"/>
      <c r="D512" s="35"/>
      <c r="F512" s="32"/>
    </row>
    <row r="513" spans="1:6" ht="15.75" customHeight="1">
      <c r="A513" s="23"/>
      <c r="D513" s="35"/>
      <c r="F513" s="32"/>
    </row>
    <row r="514" spans="1:6" ht="15.75" customHeight="1">
      <c r="A514" s="23"/>
      <c r="D514" s="35"/>
      <c r="F514" s="32"/>
    </row>
    <row r="515" spans="1:6" ht="15.75" customHeight="1">
      <c r="A515" s="23"/>
      <c r="D515" s="35"/>
      <c r="F515" s="32"/>
    </row>
    <row r="516" spans="1:6" ht="15.75" customHeight="1">
      <c r="A516" s="23"/>
      <c r="D516" s="35"/>
      <c r="F516" s="32"/>
    </row>
    <row r="517" spans="1:6" ht="15.75" customHeight="1">
      <c r="A517" s="23"/>
      <c r="D517" s="35"/>
      <c r="F517" s="32"/>
    </row>
    <row r="518" spans="1:6" ht="15.75" customHeight="1">
      <c r="A518" s="23"/>
      <c r="D518" s="35"/>
      <c r="F518" s="32"/>
    </row>
    <row r="519" spans="1:6" ht="15.75" customHeight="1">
      <c r="A519" s="23"/>
      <c r="D519" s="35"/>
      <c r="F519" s="32"/>
    </row>
    <row r="520" spans="1:6" ht="15.75" customHeight="1">
      <c r="A520" s="23"/>
      <c r="D520" s="35"/>
      <c r="F520" s="32"/>
    </row>
    <row r="521" spans="1:6" ht="15.75" customHeight="1">
      <c r="A521" s="23"/>
      <c r="D521" s="35"/>
      <c r="F521" s="32"/>
    </row>
    <row r="522" spans="1:6" ht="15.75" customHeight="1">
      <c r="A522" s="23"/>
      <c r="D522" s="35"/>
      <c r="F522" s="32"/>
    </row>
    <row r="523" spans="1:6" ht="15.75" customHeight="1">
      <c r="A523" s="23"/>
      <c r="D523" s="35"/>
      <c r="F523" s="32"/>
    </row>
    <row r="524" spans="1:6" ht="15.75" customHeight="1">
      <c r="A524" s="23"/>
      <c r="D524" s="35"/>
      <c r="F524" s="32"/>
    </row>
    <row r="525" spans="1:6" ht="15.75" customHeight="1">
      <c r="A525" s="23"/>
      <c r="D525" s="35"/>
      <c r="F525" s="32"/>
    </row>
    <row r="526" spans="1:6" ht="15.75" customHeight="1">
      <c r="A526" s="23"/>
      <c r="D526" s="35"/>
      <c r="F526" s="32"/>
    </row>
    <row r="527" spans="1:6" ht="15.75" customHeight="1">
      <c r="A527" s="23"/>
      <c r="D527" s="35"/>
      <c r="F527" s="32"/>
    </row>
    <row r="528" spans="1:6" ht="15.75" customHeight="1">
      <c r="A528" s="23"/>
      <c r="D528" s="35"/>
      <c r="F528" s="32"/>
    </row>
    <row r="529" spans="1:6" ht="15.75" customHeight="1">
      <c r="A529" s="23"/>
      <c r="D529" s="35"/>
      <c r="F529" s="32"/>
    </row>
    <row r="530" spans="1:6" ht="15.75" customHeight="1">
      <c r="A530" s="23"/>
      <c r="D530" s="35"/>
      <c r="F530" s="32"/>
    </row>
    <row r="531" spans="1:6" ht="15.75" customHeight="1">
      <c r="A531" s="23"/>
      <c r="D531" s="35"/>
      <c r="F531" s="32"/>
    </row>
    <row r="532" spans="1:6" ht="15.75" customHeight="1">
      <c r="A532" s="23"/>
      <c r="D532" s="35"/>
      <c r="F532" s="32"/>
    </row>
    <row r="533" spans="1:6" ht="15.75" customHeight="1">
      <c r="A533" s="23"/>
      <c r="D533" s="35"/>
      <c r="F533" s="32"/>
    </row>
    <row r="534" spans="1:6" ht="15.75" customHeight="1">
      <c r="A534" s="23"/>
      <c r="D534" s="35"/>
      <c r="F534" s="32"/>
    </row>
    <row r="535" spans="1:6" ht="15.75" customHeight="1">
      <c r="A535" s="23"/>
      <c r="D535" s="35"/>
      <c r="F535" s="32"/>
    </row>
    <row r="536" spans="1:6" ht="15.75" customHeight="1">
      <c r="A536" s="23"/>
      <c r="D536" s="35"/>
      <c r="F536" s="32"/>
    </row>
    <row r="537" spans="1:6" ht="15.75" customHeight="1">
      <c r="A537" s="23"/>
      <c r="D537" s="35"/>
      <c r="F537" s="32"/>
    </row>
    <row r="538" spans="1:6" ht="15.75" customHeight="1">
      <c r="A538" s="23"/>
      <c r="D538" s="35"/>
      <c r="F538" s="32"/>
    </row>
    <row r="539" spans="1:6" ht="15.75" customHeight="1">
      <c r="A539" s="23"/>
      <c r="D539" s="35"/>
      <c r="F539" s="32"/>
    </row>
    <row r="540" spans="1:6" ht="15.75" customHeight="1">
      <c r="A540" s="23"/>
      <c r="D540" s="35"/>
      <c r="F540" s="32"/>
    </row>
    <row r="541" spans="1:6" ht="15.75" customHeight="1">
      <c r="A541" s="23"/>
      <c r="D541" s="35"/>
      <c r="F541" s="32"/>
    </row>
    <row r="542" spans="1:6" ht="15.75" customHeight="1">
      <c r="A542" s="23"/>
      <c r="D542" s="35"/>
      <c r="F542" s="32"/>
    </row>
    <row r="543" spans="1:6" ht="15.75" customHeight="1">
      <c r="A543" s="23"/>
      <c r="D543" s="35"/>
      <c r="F543" s="32"/>
    </row>
    <row r="544" spans="1:6" ht="15.75" customHeight="1">
      <c r="A544" s="23"/>
      <c r="D544" s="35"/>
      <c r="F544" s="32"/>
    </row>
    <row r="545" spans="1:6" ht="15.75" customHeight="1">
      <c r="A545" s="23"/>
      <c r="D545" s="35"/>
      <c r="F545" s="32"/>
    </row>
    <row r="546" spans="1:6" ht="15.75" customHeight="1">
      <c r="A546" s="23"/>
      <c r="D546" s="35"/>
      <c r="F546" s="32"/>
    </row>
    <row r="547" spans="1:6" ht="15.75" customHeight="1">
      <c r="A547" s="23"/>
      <c r="D547" s="35"/>
      <c r="F547" s="32"/>
    </row>
    <row r="548" spans="1:6" ht="15.75" customHeight="1">
      <c r="A548" s="23"/>
      <c r="D548" s="35"/>
      <c r="F548" s="32"/>
    </row>
    <row r="549" spans="1:6" ht="15.75" customHeight="1">
      <c r="A549" s="23"/>
      <c r="D549" s="35"/>
      <c r="F549" s="32"/>
    </row>
    <row r="550" spans="1:6" ht="15.75" customHeight="1">
      <c r="A550" s="23"/>
      <c r="D550" s="35"/>
      <c r="F550" s="32"/>
    </row>
    <row r="551" spans="1:6" ht="15.75" customHeight="1">
      <c r="A551" s="23"/>
      <c r="D551" s="35"/>
      <c r="F551" s="32"/>
    </row>
    <row r="552" spans="1:6" ht="15.75" customHeight="1">
      <c r="A552" s="23"/>
      <c r="D552" s="35"/>
      <c r="F552" s="32"/>
    </row>
    <row r="553" spans="1:6" ht="15.75" customHeight="1">
      <c r="A553" s="23"/>
      <c r="D553" s="35"/>
      <c r="F553" s="32"/>
    </row>
    <row r="554" spans="1:6" ht="15.75" customHeight="1">
      <c r="A554" s="23"/>
      <c r="D554" s="35"/>
      <c r="F554" s="32"/>
    </row>
    <row r="555" spans="1:6" ht="15.75" customHeight="1">
      <c r="A555" s="23"/>
      <c r="D555" s="35"/>
      <c r="F555" s="32"/>
    </row>
    <row r="556" spans="1:6" ht="15.75" customHeight="1">
      <c r="A556" s="23"/>
      <c r="D556" s="35"/>
      <c r="F556" s="32"/>
    </row>
    <row r="557" spans="1:6" ht="15.75" customHeight="1">
      <c r="A557" s="23"/>
      <c r="D557" s="35"/>
      <c r="F557" s="32"/>
    </row>
    <row r="558" spans="1:6" ht="15.75" customHeight="1">
      <c r="A558" s="23"/>
    </row>
    <row r="559" spans="1:6" ht="15.75" customHeight="1">
      <c r="A559" s="23"/>
    </row>
    <row r="560" spans="1:6" ht="15.75" customHeight="1">
      <c r="A560" s="23"/>
    </row>
    <row r="561" spans="1:1" ht="15.75" customHeight="1">
      <c r="A561" s="23"/>
    </row>
    <row r="562" spans="1:1" ht="15.75" customHeight="1">
      <c r="A562" s="23"/>
    </row>
    <row r="563" spans="1:1" ht="15.75" customHeight="1">
      <c r="A563" s="23"/>
    </row>
    <row r="564" spans="1:1" ht="15.75" customHeight="1">
      <c r="A564" s="23"/>
    </row>
    <row r="565" spans="1:1" ht="15.75" customHeight="1">
      <c r="A565" s="23"/>
    </row>
    <row r="566" spans="1:1" ht="15.75" customHeight="1">
      <c r="A566" s="23"/>
    </row>
    <row r="567" spans="1:1" ht="15.75" customHeight="1">
      <c r="A567" s="23"/>
    </row>
    <row r="568" spans="1:1" ht="15.75" customHeight="1">
      <c r="A568" s="23"/>
    </row>
    <row r="569" spans="1:1" ht="15.75" customHeight="1">
      <c r="A569" s="23"/>
    </row>
    <row r="570" spans="1:1" ht="15.75" customHeight="1">
      <c r="A570" s="23"/>
    </row>
    <row r="571" spans="1:1" ht="15.75" customHeight="1">
      <c r="A571" s="23"/>
    </row>
    <row r="572" spans="1:1" ht="15.75" customHeight="1">
      <c r="A572" s="23"/>
    </row>
    <row r="573" spans="1:1" ht="15.75" customHeight="1">
      <c r="A573" s="23"/>
    </row>
    <row r="574" spans="1:1" ht="15.75" customHeight="1">
      <c r="A574" s="23"/>
    </row>
    <row r="575" spans="1:1" ht="15.75" customHeight="1">
      <c r="A575" s="23"/>
    </row>
    <row r="576" spans="1:1" ht="15.75" customHeight="1">
      <c r="A576" s="23"/>
    </row>
    <row r="577" spans="1:1" ht="15.75" customHeight="1">
      <c r="A577" s="23"/>
    </row>
    <row r="578" spans="1:1" ht="15.75" customHeight="1">
      <c r="A578" s="23"/>
    </row>
    <row r="579" spans="1:1" ht="15.75" customHeight="1">
      <c r="A579" s="23"/>
    </row>
    <row r="580" spans="1:1" ht="15.75" customHeight="1">
      <c r="A580" s="23"/>
    </row>
    <row r="581" spans="1:1" ht="15.75" customHeight="1">
      <c r="A581" s="23"/>
    </row>
    <row r="582" spans="1:1" ht="15.75" customHeight="1">
      <c r="A582" s="23"/>
    </row>
    <row r="583" spans="1:1" ht="15.75" customHeight="1">
      <c r="A583" s="23"/>
    </row>
    <row r="584" spans="1:1" ht="15.75" customHeight="1">
      <c r="A584" s="23"/>
    </row>
    <row r="585" spans="1:1" ht="15.75" customHeight="1">
      <c r="A585" s="23"/>
    </row>
    <row r="586" spans="1:1" ht="15.75" customHeight="1">
      <c r="A586" s="23"/>
    </row>
    <row r="587" spans="1:1" ht="15.75" customHeight="1">
      <c r="A587" s="23"/>
    </row>
    <row r="588" spans="1:1" ht="15.75" customHeight="1">
      <c r="A588" s="23"/>
    </row>
    <row r="589" spans="1:1" ht="15.75" customHeight="1">
      <c r="A589" s="23"/>
    </row>
    <row r="590" spans="1:1" ht="15.75" customHeight="1">
      <c r="A590" s="23"/>
    </row>
    <row r="591" spans="1:1" ht="15.75" customHeight="1">
      <c r="A591" s="23"/>
    </row>
    <row r="592" spans="1:1" ht="15.75" customHeight="1">
      <c r="A592" s="23"/>
    </row>
    <row r="593" spans="1:1" ht="15.75" customHeight="1">
      <c r="A593" s="23"/>
    </row>
    <row r="594" spans="1:1" ht="15.75" customHeight="1">
      <c r="A594" s="23"/>
    </row>
    <row r="595" spans="1:1" ht="15.75" customHeight="1">
      <c r="A595" s="23"/>
    </row>
    <row r="596" spans="1:1" ht="15.75" customHeight="1">
      <c r="A596" s="23"/>
    </row>
    <row r="597" spans="1:1" ht="15.75" customHeight="1">
      <c r="A597" s="23"/>
    </row>
    <row r="598" spans="1:1" ht="15.75" customHeight="1">
      <c r="A598" s="23"/>
    </row>
    <row r="599" spans="1:1" ht="15.75" customHeight="1">
      <c r="A599" s="23"/>
    </row>
    <row r="600" spans="1:1" ht="15.75" customHeight="1">
      <c r="A600" s="23"/>
    </row>
    <row r="601" spans="1:1" ht="15.75" customHeight="1">
      <c r="A601" s="23"/>
    </row>
    <row r="602" spans="1:1" ht="15.75" customHeight="1">
      <c r="A602" s="23"/>
    </row>
    <row r="603" spans="1:1" ht="15.75" customHeight="1">
      <c r="A603" s="23"/>
    </row>
    <row r="604" spans="1:1" ht="15.75" customHeight="1">
      <c r="A604" s="23"/>
    </row>
    <row r="605" spans="1:1" ht="15.75" customHeight="1">
      <c r="A605" s="23"/>
    </row>
    <row r="606" spans="1:1" ht="15.75" customHeight="1">
      <c r="A606" s="23"/>
    </row>
    <row r="607" spans="1:1" ht="15.75" customHeight="1">
      <c r="A607" s="23"/>
    </row>
    <row r="608" spans="1:1" ht="15.75" customHeight="1">
      <c r="A608" s="23"/>
    </row>
    <row r="609" spans="1:1" ht="15.75" customHeight="1">
      <c r="A609" s="23"/>
    </row>
    <row r="610" spans="1:1" ht="15.75" customHeight="1">
      <c r="A610" s="23"/>
    </row>
    <row r="611" spans="1:1" ht="15.75" customHeight="1">
      <c r="A611" s="23"/>
    </row>
    <row r="612" spans="1:1" ht="15.75" customHeight="1">
      <c r="A612" s="23"/>
    </row>
    <row r="613" spans="1:1" ht="15.75" customHeight="1">
      <c r="A613" s="23"/>
    </row>
    <row r="614" spans="1:1" ht="15.75" customHeight="1">
      <c r="A614" s="23"/>
    </row>
    <row r="615" spans="1:1" ht="15.75" customHeight="1">
      <c r="A615" s="23"/>
    </row>
    <row r="616" spans="1:1" ht="15.75" customHeight="1">
      <c r="A616" s="23"/>
    </row>
    <row r="617" spans="1:1" ht="15.75" customHeight="1">
      <c r="A617" s="23"/>
    </row>
    <row r="618" spans="1:1" ht="15.75" customHeight="1">
      <c r="A618" s="23"/>
    </row>
    <row r="619" spans="1:1" ht="15.75" customHeight="1">
      <c r="A619" s="23"/>
    </row>
    <row r="620" spans="1:1" ht="15.75" customHeight="1">
      <c r="A620" s="23"/>
    </row>
    <row r="621" spans="1:1" ht="15.75" customHeight="1">
      <c r="A621" s="23"/>
    </row>
    <row r="622" spans="1:1" ht="15.75" customHeight="1">
      <c r="A622" s="23"/>
    </row>
    <row r="623" spans="1:1" ht="15.75" customHeight="1">
      <c r="A623" s="23"/>
    </row>
    <row r="624" spans="1:1" ht="15.75" customHeight="1">
      <c r="A624" s="23"/>
    </row>
    <row r="625" spans="1:1" ht="15.75" customHeight="1">
      <c r="A625" s="23"/>
    </row>
    <row r="626" spans="1:1" ht="15.75" customHeight="1">
      <c r="A626" s="23"/>
    </row>
    <row r="627" spans="1:1" ht="15.75" customHeight="1">
      <c r="A627" s="23"/>
    </row>
    <row r="628" spans="1:1" ht="15.75" customHeight="1">
      <c r="A628" s="23"/>
    </row>
    <row r="629" spans="1:1" ht="15.75" customHeight="1">
      <c r="A629" s="23"/>
    </row>
    <row r="630" spans="1:1" ht="15.75" customHeight="1">
      <c r="A630" s="23"/>
    </row>
    <row r="631" spans="1:1" ht="15.75" customHeight="1">
      <c r="A631" s="23"/>
    </row>
    <row r="632" spans="1:1" ht="15.75" customHeight="1">
      <c r="A632" s="23"/>
    </row>
    <row r="633" spans="1:1" ht="15.75" customHeight="1">
      <c r="A633" s="23"/>
    </row>
    <row r="634" spans="1:1" ht="15.75" customHeight="1">
      <c r="A634" s="23"/>
    </row>
    <row r="635" spans="1:1" ht="15.75" customHeight="1">
      <c r="A635" s="23"/>
    </row>
    <row r="636" spans="1:1" ht="15.75" customHeight="1">
      <c r="A636" s="23"/>
    </row>
    <row r="637" spans="1:1" ht="15.75" customHeight="1">
      <c r="A637" s="23"/>
    </row>
    <row r="638" spans="1:1" ht="15.75" customHeight="1">
      <c r="A638" s="23"/>
    </row>
    <row r="639" spans="1:1" ht="15.75" customHeight="1">
      <c r="A639" s="23"/>
    </row>
    <row r="640" spans="1:1" ht="15.75" customHeight="1">
      <c r="A640" s="23"/>
    </row>
    <row r="641" spans="1:1" ht="15.75" customHeight="1">
      <c r="A641" s="23"/>
    </row>
    <row r="642" spans="1:1" ht="15.75" customHeight="1">
      <c r="A642" s="23"/>
    </row>
    <row r="643" spans="1:1" ht="15.75" customHeight="1">
      <c r="A643" s="23"/>
    </row>
    <row r="644" spans="1:1" ht="15.75" customHeight="1">
      <c r="A644" s="23"/>
    </row>
    <row r="645" spans="1:1" ht="15.75" customHeight="1">
      <c r="A645" s="23"/>
    </row>
    <row r="646" spans="1:1" ht="15.75" customHeight="1">
      <c r="A646" s="23"/>
    </row>
    <row r="647" spans="1:1" ht="15.75" customHeight="1">
      <c r="A647" s="23"/>
    </row>
    <row r="648" spans="1:1" ht="15.75" customHeight="1">
      <c r="A648" s="23"/>
    </row>
    <row r="649" spans="1:1" ht="15.75" customHeight="1">
      <c r="A649" s="23"/>
    </row>
    <row r="650" spans="1:1" ht="15.75" customHeight="1">
      <c r="A650" s="23"/>
    </row>
    <row r="651" spans="1:1" ht="15.75" customHeight="1">
      <c r="A651" s="23"/>
    </row>
    <row r="652" spans="1:1" ht="15.75" customHeight="1">
      <c r="A652" s="23"/>
    </row>
    <row r="653" spans="1:1" ht="15.75" customHeight="1">
      <c r="A653" s="23"/>
    </row>
    <row r="654" spans="1:1" ht="15.75" customHeight="1">
      <c r="A654" s="23"/>
    </row>
    <row r="655" spans="1:1" ht="15.75" customHeight="1">
      <c r="A655" s="23"/>
    </row>
    <row r="656" spans="1:1" ht="15.75" customHeight="1">
      <c r="A656" s="23"/>
    </row>
    <row r="657" spans="1:1" ht="15.75" customHeight="1">
      <c r="A657" s="23"/>
    </row>
    <row r="658" spans="1:1" ht="15.75" customHeight="1">
      <c r="A658" s="23"/>
    </row>
    <row r="659" spans="1:1" ht="15.75" customHeight="1">
      <c r="A659" s="23"/>
    </row>
    <row r="660" spans="1:1" ht="15.75" customHeight="1">
      <c r="A660" s="23"/>
    </row>
    <row r="661" spans="1:1" ht="15.75" customHeight="1">
      <c r="A661" s="23"/>
    </row>
    <row r="662" spans="1:1" ht="15.75" customHeight="1">
      <c r="A662" s="23"/>
    </row>
    <row r="663" spans="1:1" ht="15.75" customHeight="1">
      <c r="A663" s="23"/>
    </row>
    <row r="664" spans="1:1" ht="15.75" customHeight="1">
      <c r="A664" s="23"/>
    </row>
    <row r="665" spans="1:1" ht="15.75" customHeight="1">
      <c r="A665" s="23"/>
    </row>
    <row r="666" spans="1:1" ht="15.75" customHeight="1">
      <c r="A666" s="23"/>
    </row>
    <row r="667" spans="1:1" ht="15.75" customHeight="1">
      <c r="A667" s="23"/>
    </row>
    <row r="668" spans="1:1" ht="15.75" customHeight="1">
      <c r="A668" s="23"/>
    </row>
    <row r="669" spans="1:1" ht="15.75" customHeight="1">
      <c r="A669" s="23"/>
    </row>
    <row r="670" spans="1:1" ht="15.75" customHeight="1">
      <c r="A670" s="23"/>
    </row>
    <row r="671" spans="1:1" ht="15.75" customHeight="1">
      <c r="A671" s="23"/>
    </row>
    <row r="672" spans="1:1" ht="15.75" customHeight="1">
      <c r="A672" s="23"/>
    </row>
    <row r="673" spans="1:1" ht="15.75" customHeight="1">
      <c r="A673" s="23"/>
    </row>
    <row r="674" spans="1:1" ht="15.75" customHeight="1">
      <c r="A674" s="23"/>
    </row>
    <row r="675" spans="1:1" ht="15.75" customHeight="1">
      <c r="A675" s="23"/>
    </row>
    <row r="676" spans="1:1" ht="15.75" customHeight="1">
      <c r="A676" s="23"/>
    </row>
    <row r="677" spans="1:1" ht="15.75" customHeight="1">
      <c r="A677" s="23"/>
    </row>
    <row r="678" spans="1:1" ht="15.75" customHeight="1">
      <c r="A678" s="23"/>
    </row>
    <row r="679" spans="1:1" ht="15.75" customHeight="1">
      <c r="A679" s="23"/>
    </row>
    <row r="680" spans="1:1" ht="15.75" customHeight="1">
      <c r="A680" s="23"/>
    </row>
    <row r="681" spans="1:1" ht="15.75" customHeight="1">
      <c r="A681" s="23"/>
    </row>
    <row r="682" spans="1:1" ht="15.75" customHeight="1">
      <c r="A682" s="23"/>
    </row>
    <row r="683" spans="1:1" ht="15.75" customHeight="1">
      <c r="A683" s="23"/>
    </row>
    <row r="684" spans="1:1" ht="15.75" customHeight="1">
      <c r="A684" s="23"/>
    </row>
    <row r="685" spans="1:1" ht="15.75" customHeight="1">
      <c r="A685" s="23"/>
    </row>
    <row r="686" spans="1:1" ht="15.75" customHeight="1">
      <c r="A686" s="23"/>
    </row>
    <row r="687" spans="1:1" ht="15.75" customHeight="1">
      <c r="A687" s="23"/>
    </row>
    <row r="688" spans="1:1" ht="15.75" customHeight="1">
      <c r="A688" s="23"/>
    </row>
    <row r="689" spans="1:1" ht="15.75" customHeight="1">
      <c r="A689" s="23"/>
    </row>
    <row r="690" spans="1:1" ht="15.75" customHeight="1">
      <c r="A690" s="23"/>
    </row>
    <row r="691" spans="1:1" ht="15.75" customHeight="1">
      <c r="A691" s="23"/>
    </row>
    <row r="692" spans="1:1" ht="15.75" customHeight="1">
      <c r="A692" s="23"/>
    </row>
    <row r="693" spans="1:1" ht="15.75" customHeight="1">
      <c r="A693" s="23"/>
    </row>
    <row r="694" spans="1:1" ht="15.75" customHeight="1">
      <c r="A694" s="23"/>
    </row>
    <row r="695" spans="1:1" ht="15.75" customHeight="1">
      <c r="A695" s="23"/>
    </row>
    <row r="696" spans="1:1" ht="15.75" customHeight="1">
      <c r="A696" s="23"/>
    </row>
    <row r="697" spans="1:1" ht="15.75" customHeight="1">
      <c r="A697" s="23"/>
    </row>
    <row r="698" spans="1:1" ht="15.75" customHeight="1">
      <c r="A698" s="23"/>
    </row>
    <row r="699" spans="1:1" ht="15.75" customHeight="1">
      <c r="A699" s="23"/>
    </row>
    <row r="700" spans="1:1" ht="15.75" customHeight="1">
      <c r="A700" s="23"/>
    </row>
    <row r="701" spans="1:1" ht="15.75" customHeight="1">
      <c r="A701" s="23"/>
    </row>
    <row r="702" spans="1:1" ht="15.75" customHeight="1">
      <c r="A702" s="23"/>
    </row>
    <row r="703" spans="1:1" ht="15.75" customHeight="1">
      <c r="A703" s="23"/>
    </row>
    <row r="704" spans="1:1" ht="15.75" customHeight="1">
      <c r="A704" s="23"/>
    </row>
    <row r="705" spans="1:1" ht="15.75" customHeight="1">
      <c r="A705" s="23"/>
    </row>
    <row r="706" spans="1:1" ht="15.75" customHeight="1">
      <c r="A706" s="23"/>
    </row>
    <row r="707" spans="1:1" ht="15.75" customHeight="1">
      <c r="A707" s="23"/>
    </row>
    <row r="708" spans="1:1" ht="15.75" customHeight="1">
      <c r="A708" s="23"/>
    </row>
    <row r="709" spans="1:1" ht="15.75" customHeight="1">
      <c r="A709" s="23"/>
    </row>
    <row r="710" spans="1:1" ht="15.75" customHeight="1">
      <c r="A710" s="23"/>
    </row>
    <row r="711" spans="1:1" ht="15.75" customHeight="1">
      <c r="A711" s="23"/>
    </row>
    <row r="712" spans="1:1" ht="15.75" customHeight="1">
      <c r="A712" s="23"/>
    </row>
    <row r="713" spans="1:1" ht="15.75" customHeight="1">
      <c r="A713" s="23"/>
    </row>
    <row r="714" spans="1:1" ht="15.75" customHeight="1">
      <c r="A714" s="23"/>
    </row>
    <row r="715" spans="1:1" ht="15.75" customHeight="1">
      <c r="A715" s="23"/>
    </row>
    <row r="716" spans="1:1" ht="15.75" customHeight="1">
      <c r="A716" s="23"/>
    </row>
    <row r="717" spans="1:1" ht="15.75" customHeight="1">
      <c r="A717" s="23"/>
    </row>
    <row r="718" spans="1:1" ht="15.75" customHeight="1">
      <c r="A718" s="23"/>
    </row>
    <row r="719" spans="1:1" ht="15.75" customHeight="1">
      <c r="A719" s="23"/>
    </row>
    <row r="720" spans="1:1" ht="15.75" customHeight="1">
      <c r="A720" s="23"/>
    </row>
    <row r="721" spans="1:1" ht="15.75" customHeight="1">
      <c r="A721" s="23"/>
    </row>
    <row r="722" spans="1:1" ht="15.75" customHeight="1">
      <c r="A722" s="23"/>
    </row>
    <row r="723" spans="1:1" ht="15.75" customHeight="1">
      <c r="A723" s="23"/>
    </row>
    <row r="724" spans="1:1" ht="15.75" customHeight="1">
      <c r="A724" s="23"/>
    </row>
    <row r="725" spans="1:1" ht="15.75" customHeight="1">
      <c r="A725" s="23"/>
    </row>
    <row r="726" spans="1:1" ht="15.75" customHeight="1">
      <c r="A726" s="23"/>
    </row>
    <row r="727" spans="1:1" ht="15.75" customHeight="1">
      <c r="A727" s="23"/>
    </row>
    <row r="728" spans="1:1" ht="15.75" customHeight="1">
      <c r="A728" s="23"/>
    </row>
    <row r="729" spans="1:1" ht="15.75" customHeight="1">
      <c r="A729" s="23"/>
    </row>
    <row r="730" spans="1:1" ht="15.75" customHeight="1">
      <c r="A730" s="23"/>
    </row>
    <row r="731" spans="1:1" ht="15.75" customHeight="1">
      <c r="A731" s="23"/>
    </row>
    <row r="732" spans="1:1" ht="15.75" customHeight="1">
      <c r="A732" s="23"/>
    </row>
    <row r="733" spans="1:1" ht="15.75" customHeight="1">
      <c r="A733" s="23"/>
    </row>
    <row r="734" spans="1:1" ht="15.75" customHeight="1">
      <c r="A734" s="23"/>
    </row>
    <row r="735" spans="1:1" ht="15.75" customHeight="1">
      <c r="A735" s="23"/>
    </row>
    <row r="736" spans="1:1" ht="15.75" customHeight="1">
      <c r="A736" s="23"/>
    </row>
    <row r="737" spans="1:1" ht="15.75" customHeight="1">
      <c r="A737" s="23"/>
    </row>
    <row r="738" spans="1:1" ht="15.75" customHeight="1">
      <c r="A738" s="23"/>
    </row>
    <row r="739" spans="1:1" ht="15.75" customHeight="1">
      <c r="A739" s="23"/>
    </row>
    <row r="740" spans="1:1" ht="15.75" customHeight="1">
      <c r="A740" s="23"/>
    </row>
    <row r="741" spans="1:1" ht="15.75" customHeight="1">
      <c r="A741" s="23"/>
    </row>
    <row r="742" spans="1:1" ht="15.75" customHeight="1">
      <c r="A742" s="23"/>
    </row>
    <row r="743" spans="1:1" ht="15.75" customHeight="1">
      <c r="A743" s="23"/>
    </row>
    <row r="744" spans="1:1" ht="15.75" customHeight="1">
      <c r="A744" s="23"/>
    </row>
    <row r="745" spans="1:1" ht="15.75" customHeight="1">
      <c r="A745" s="23"/>
    </row>
    <row r="746" spans="1:1" ht="15.75" customHeight="1">
      <c r="A746" s="23"/>
    </row>
    <row r="747" spans="1:1" ht="15.75" customHeight="1">
      <c r="A747" s="23"/>
    </row>
    <row r="748" spans="1:1" ht="15.75" customHeight="1">
      <c r="A748" s="23"/>
    </row>
    <row r="749" spans="1:1" ht="15.75" customHeight="1">
      <c r="A749" s="23"/>
    </row>
    <row r="750" spans="1:1" ht="15.75" customHeight="1">
      <c r="A750" s="23"/>
    </row>
    <row r="751" spans="1:1" ht="15.75" customHeight="1">
      <c r="A751" s="23"/>
    </row>
    <row r="752" spans="1:1" ht="15.75" customHeight="1">
      <c r="A752" s="23"/>
    </row>
    <row r="753" spans="1:1" ht="15.75" customHeight="1">
      <c r="A753" s="23"/>
    </row>
    <row r="754" spans="1:1" ht="15.75" customHeight="1">
      <c r="A754" s="23"/>
    </row>
    <row r="755" spans="1:1" ht="15.75" customHeight="1">
      <c r="A755" s="23"/>
    </row>
    <row r="756" spans="1:1" ht="15.75" customHeight="1">
      <c r="A756" s="23"/>
    </row>
    <row r="757" spans="1:1" ht="15.75" customHeight="1">
      <c r="A757" s="23"/>
    </row>
    <row r="758" spans="1:1" ht="15.75" customHeight="1">
      <c r="A758" s="23"/>
    </row>
    <row r="759" spans="1:1" ht="15.75" customHeight="1">
      <c r="A759" s="23"/>
    </row>
    <row r="760" spans="1:1" ht="15.75" customHeight="1">
      <c r="A760" s="23"/>
    </row>
    <row r="761" spans="1:1" ht="15.75" customHeight="1">
      <c r="A761" s="23"/>
    </row>
    <row r="762" spans="1:1" ht="15.75" customHeight="1">
      <c r="A762" s="23"/>
    </row>
    <row r="763" spans="1:1" ht="15.75" customHeight="1">
      <c r="A763" s="23"/>
    </row>
    <row r="764" spans="1:1" ht="15.75" customHeight="1">
      <c r="A764" s="23"/>
    </row>
    <row r="765" spans="1:1" ht="15.75" customHeight="1">
      <c r="A765" s="23"/>
    </row>
    <row r="766" spans="1:1" ht="15.75" customHeight="1">
      <c r="A766" s="23"/>
    </row>
    <row r="767" spans="1:1" ht="15.75" customHeight="1">
      <c r="A767" s="23"/>
    </row>
    <row r="768" spans="1:1" ht="15.75" customHeight="1">
      <c r="A768" s="23"/>
    </row>
    <row r="769" spans="1:1" ht="15.75" customHeight="1">
      <c r="A769" s="23"/>
    </row>
    <row r="770" spans="1:1" ht="15.75" customHeight="1">
      <c r="A770" s="23"/>
    </row>
    <row r="771" spans="1:1" ht="15.75" customHeight="1">
      <c r="A771" s="23"/>
    </row>
    <row r="772" spans="1:1" ht="15.75" customHeight="1">
      <c r="A772" s="23"/>
    </row>
    <row r="773" spans="1:1" ht="15.75" customHeight="1">
      <c r="A773" s="23"/>
    </row>
    <row r="774" spans="1:1" ht="15.75" customHeight="1">
      <c r="A774" s="23"/>
    </row>
    <row r="775" spans="1:1" ht="15.75" customHeight="1">
      <c r="A775" s="23"/>
    </row>
    <row r="776" spans="1:1" ht="15.75" customHeight="1">
      <c r="A776" s="23"/>
    </row>
    <row r="777" spans="1:1" ht="15.75" customHeight="1">
      <c r="A777" s="23"/>
    </row>
    <row r="778" spans="1:1" ht="15.75" customHeight="1">
      <c r="A778" s="23"/>
    </row>
    <row r="779" spans="1:1" ht="15.75" customHeight="1">
      <c r="A779" s="23"/>
    </row>
    <row r="780" spans="1:1" ht="15.75" customHeight="1">
      <c r="A780" s="23"/>
    </row>
    <row r="781" spans="1:1" ht="15.75" customHeight="1">
      <c r="A781" s="23"/>
    </row>
    <row r="782" spans="1:1" ht="15.75" customHeight="1">
      <c r="A782" s="23"/>
    </row>
    <row r="783" spans="1:1" ht="15.75" customHeight="1">
      <c r="A783" s="23"/>
    </row>
    <row r="784" spans="1:1" ht="15.75" customHeight="1">
      <c r="A784" s="23"/>
    </row>
    <row r="785" spans="1:1" ht="15.75" customHeight="1">
      <c r="A785" s="23"/>
    </row>
    <row r="786" spans="1:1" ht="15.75" customHeight="1">
      <c r="A786" s="23"/>
    </row>
    <row r="787" spans="1:1" ht="15.75" customHeight="1">
      <c r="A787" s="23"/>
    </row>
    <row r="788" spans="1:1" ht="15.75" customHeight="1">
      <c r="A788" s="23"/>
    </row>
    <row r="789" spans="1:1" ht="15.75" customHeight="1">
      <c r="A789" s="23"/>
    </row>
    <row r="790" spans="1:1" ht="15.75" customHeight="1">
      <c r="A790" s="23"/>
    </row>
    <row r="791" spans="1:1" ht="15.75" customHeight="1">
      <c r="A791" s="23"/>
    </row>
    <row r="792" spans="1:1" ht="15.75" customHeight="1">
      <c r="A792" s="23"/>
    </row>
    <row r="793" spans="1:1" ht="15.75" customHeight="1">
      <c r="A793" s="23"/>
    </row>
    <row r="794" spans="1:1" ht="15.75" customHeight="1">
      <c r="A794" s="23"/>
    </row>
    <row r="795" spans="1:1" ht="15.75" customHeight="1">
      <c r="A795" s="23"/>
    </row>
    <row r="796" spans="1:1" ht="15.75" customHeight="1">
      <c r="A796" s="23"/>
    </row>
    <row r="797" spans="1:1" ht="15.75" customHeight="1">
      <c r="A797" s="23"/>
    </row>
    <row r="798" spans="1:1" ht="15.75" customHeight="1">
      <c r="A798" s="23"/>
    </row>
    <row r="799" spans="1:1" ht="15.75" customHeight="1">
      <c r="A799" s="23"/>
    </row>
    <row r="800" spans="1:1" ht="15.75" customHeight="1">
      <c r="A800" s="23"/>
    </row>
    <row r="801" spans="1:1" ht="15.75" customHeight="1">
      <c r="A801" s="23"/>
    </row>
    <row r="802" spans="1:1" ht="15.75" customHeight="1">
      <c r="A802" s="23"/>
    </row>
    <row r="803" spans="1:1" ht="15.75" customHeight="1">
      <c r="A803" s="23"/>
    </row>
    <row r="804" spans="1:1" ht="15.75" customHeight="1">
      <c r="A804" s="23"/>
    </row>
    <row r="805" spans="1:1" ht="15.75" customHeight="1">
      <c r="A805" s="23"/>
    </row>
    <row r="806" spans="1:1" ht="15.75" customHeight="1">
      <c r="A806" s="23"/>
    </row>
    <row r="807" spans="1:1" ht="15.75" customHeight="1">
      <c r="A807" s="23"/>
    </row>
    <row r="808" spans="1:1" ht="15.75" customHeight="1">
      <c r="A808" s="23"/>
    </row>
    <row r="809" spans="1:1" ht="15.75" customHeight="1">
      <c r="A809" s="23"/>
    </row>
    <row r="810" spans="1:1" ht="15.75" customHeight="1">
      <c r="A810" s="23"/>
    </row>
    <row r="811" spans="1:1" ht="15.75" customHeight="1">
      <c r="A811" s="23"/>
    </row>
    <row r="812" spans="1:1" ht="15.75" customHeight="1">
      <c r="A812" s="23"/>
    </row>
    <row r="813" spans="1:1" ht="15.75" customHeight="1">
      <c r="A813" s="23"/>
    </row>
    <row r="814" spans="1:1" ht="15.75" customHeight="1">
      <c r="A814" s="23"/>
    </row>
    <row r="815" spans="1:1" ht="15.75" customHeight="1">
      <c r="A815" s="23"/>
    </row>
    <row r="816" spans="1:1" ht="15.75" customHeight="1">
      <c r="A816" s="23"/>
    </row>
    <row r="817" spans="1:1" ht="15.75" customHeight="1">
      <c r="A817" s="23"/>
    </row>
    <row r="818" spans="1:1" ht="15.75" customHeight="1">
      <c r="A818" s="23"/>
    </row>
    <row r="819" spans="1:1" ht="15.75" customHeight="1">
      <c r="A819" s="23"/>
    </row>
    <row r="820" spans="1:1" ht="15.75" customHeight="1">
      <c r="A820" s="23"/>
    </row>
    <row r="821" spans="1:1" ht="15.75" customHeight="1">
      <c r="A821" s="23"/>
    </row>
    <row r="822" spans="1:1" ht="15.75" customHeight="1">
      <c r="A822" s="23"/>
    </row>
    <row r="823" spans="1:1" ht="15.75" customHeight="1">
      <c r="A823" s="23"/>
    </row>
    <row r="824" spans="1:1" ht="15.75" customHeight="1">
      <c r="A824" s="23"/>
    </row>
    <row r="825" spans="1:1" ht="15.75" customHeight="1">
      <c r="A825" s="23"/>
    </row>
    <row r="826" spans="1:1" ht="15.75" customHeight="1">
      <c r="A826" s="23"/>
    </row>
    <row r="827" spans="1:1" ht="15.75" customHeight="1">
      <c r="A827" s="23"/>
    </row>
    <row r="828" spans="1:1" ht="15.75" customHeight="1">
      <c r="A828" s="23"/>
    </row>
    <row r="829" spans="1:1" ht="15.75" customHeight="1">
      <c r="A829" s="23"/>
    </row>
    <row r="830" spans="1:1" ht="15.75" customHeight="1">
      <c r="A830" s="23"/>
    </row>
    <row r="831" spans="1:1" ht="15.75" customHeight="1">
      <c r="A831" s="23"/>
    </row>
    <row r="832" spans="1:1" ht="15.75" customHeight="1">
      <c r="A832" s="23"/>
    </row>
    <row r="833" spans="1:1" ht="15.75" customHeight="1">
      <c r="A833" s="23"/>
    </row>
    <row r="834" spans="1:1" ht="15.75" customHeight="1">
      <c r="A834" s="23"/>
    </row>
    <row r="835" spans="1:1" ht="15.75" customHeight="1">
      <c r="A835" s="23"/>
    </row>
    <row r="836" spans="1:1" ht="15.75" customHeight="1">
      <c r="A836" s="23"/>
    </row>
    <row r="837" spans="1:1" ht="15.75" customHeight="1">
      <c r="A837" s="23"/>
    </row>
    <row r="838" spans="1:1" ht="15.75" customHeight="1">
      <c r="A838" s="23"/>
    </row>
    <row r="839" spans="1:1" ht="15.75" customHeight="1">
      <c r="A839" s="23"/>
    </row>
    <row r="840" spans="1:1" ht="15.75" customHeight="1">
      <c r="A840" s="23"/>
    </row>
    <row r="841" spans="1:1" ht="15.75" customHeight="1">
      <c r="A841" s="23"/>
    </row>
    <row r="842" spans="1:1" ht="15.75" customHeight="1">
      <c r="A842" s="23"/>
    </row>
    <row r="843" spans="1:1" ht="15.75" customHeight="1">
      <c r="A843" s="23"/>
    </row>
    <row r="844" spans="1:1" ht="15.75" customHeight="1">
      <c r="A844" s="23"/>
    </row>
    <row r="845" spans="1:1" ht="15.75" customHeight="1">
      <c r="A845" s="23"/>
    </row>
    <row r="846" spans="1:1" ht="15.75" customHeight="1">
      <c r="A846" s="23"/>
    </row>
    <row r="847" spans="1:1" ht="15.75" customHeight="1">
      <c r="A847" s="23"/>
    </row>
    <row r="848" spans="1:1" ht="15.75" customHeight="1">
      <c r="A848" s="23"/>
    </row>
    <row r="849" spans="1:1" ht="15.75" customHeight="1">
      <c r="A849" s="23"/>
    </row>
    <row r="850" spans="1:1" ht="15.75" customHeight="1">
      <c r="A850" s="23"/>
    </row>
    <row r="851" spans="1:1" ht="15.75" customHeight="1">
      <c r="A851" s="23"/>
    </row>
    <row r="852" spans="1:1" ht="15.75" customHeight="1">
      <c r="A852" s="23"/>
    </row>
    <row r="853" spans="1:1" ht="15.75" customHeight="1">
      <c r="A853" s="23"/>
    </row>
    <row r="854" spans="1:1" ht="15.75" customHeight="1">
      <c r="A854" s="23"/>
    </row>
    <row r="855" spans="1:1" ht="15.75" customHeight="1">
      <c r="A855" s="23"/>
    </row>
    <row r="856" spans="1:1" ht="15.75" customHeight="1">
      <c r="A856" s="23"/>
    </row>
    <row r="857" spans="1:1" ht="15.75" customHeight="1">
      <c r="A857" s="23"/>
    </row>
    <row r="858" spans="1:1" ht="15.75" customHeight="1">
      <c r="A858" s="23"/>
    </row>
    <row r="859" spans="1:1" ht="15.75" customHeight="1">
      <c r="A859" s="23"/>
    </row>
    <row r="860" spans="1:1" ht="15.75" customHeight="1">
      <c r="A860" s="23"/>
    </row>
    <row r="861" spans="1:1" ht="15.75" customHeight="1">
      <c r="A861" s="23"/>
    </row>
    <row r="862" spans="1:1" ht="15.75" customHeight="1">
      <c r="A862" s="23"/>
    </row>
    <row r="863" spans="1:1" ht="15.75" customHeight="1">
      <c r="A863" s="23"/>
    </row>
    <row r="864" spans="1:1" ht="15.75" customHeight="1">
      <c r="A864" s="23"/>
    </row>
    <row r="865" spans="1:1" ht="15.75" customHeight="1">
      <c r="A865" s="23"/>
    </row>
    <row r="866" spans="1:1" ht="15.75" customHeight="1">
      <c r="A866" s="23"/>
    </row>
    <row r="867" spans="1:1" ht="15.75" customHeight="1">
      <c r="A867" s="23"/>
    </row>
    <row r="868" spans="1:1" ht="15.75" customHeight="1">
      <c r="A868" s="23"/>
    </row>
    <row r="869" spans="1:1" ht="15.75" customHeight="1">
      <c r="A869" s="23"/>
    </row>
    <row r="870" spans="1:1" ht="15.75" customHeight="1">
      <c r="A870" s="23"/>
    </row>
    <row r="871" spans="1:1" ht="15.75" customHeight="1">
      <c r="A871" s="23"/>
    </row>
    <row r="872" spans="1:1" ht="15.75" customHeight="1">
      <c r="A872" s="23"/>
    </row>
    <row r="873" spans="1:1" ht="15.75" customHeight="1">
      <c r="A873" s="23"/>
    </row>
    <row r="874" spans="1:1" ht="15.75" customHeight="1">
      <c r="A874" s="23"/>
    </row>
    <row r="875" spans="1:1" ht="15.75" customHeight="1">
      <c r="A875" s="23"/>
    </row>
    <row r="876" spans="1:1" ht="15.75" customHeight="1">
      <c r="A876" s="23"/>
    </row>
    <row r="877" spans="1:1" ht="15.75" customHeight="1">
      <c r="A877" s="23"/>
    </row>
    <row r="878" spans="1:1" ht="15.75" customHeight="1">
      <c r="A878" s="23"/>
    </row>
    <row r="879" spans="1:1" ht="15.75" customHeight="1">
      <c r="A879" s="23"/>
    </row>
    <row r="880" spans="1:1" ht="15.75" customHeight="1">
      <c r="A880" s="23"/>
    </row>
    <row r="881" spans="1:1" ht="15.75" customHeight="1">
      <c r="A881" s="23"/>
    </row>
    <row r="882" spans="1:1" ht="15.75" customHeight="1">
      <c r="A882" s="23"/>
    </row>
    <row r="883" spans="1:1" ht="15.75" customHeight="1">
      <c r="A883" s="23"/>
    </row>
    <row r="884" spans="1:1" ht="15.75" customHeight="1">
      <c r="A884" s="23"/>
    </row>
    <row r="885" spans="1:1" ht="15.75" customHeight="1">
      <c r="A885" s="23"/>
    </row>
    <row r="886" spans="1:1" ht="15.75" customHeight="1">
      <c r="A886" s="23"/>
    </row>
    <row r="887" spans="1:1" ht="15.75" customHeight="1">
      <c r="A887" s="23"/>
    </row>
    <row r="888" spans="1:1" ht="15.75" customHeight="1">
      <c r="A888" s="23"/>
    </row>
    <row r="889" spans="1:1" ht="15.75" customHeight="1">
      <c r="A889" s="23"/>
    </row>
    <row r="890" spans="1:1" ht="15.75" customHeight="1">
      <c r="A890" s="23"/>
    </row>
    <row r="891" spans="1:1" ht="15.75" customHeight="1">
      <c r="A891" s="23"/>
    </row>
    <row r="892" spans="1:1" ht="15.75" customHeight="1">
      <c r="A892" s="23"/>
    </row>
    <row r="893" spans="1:1" ht="15.75" customHeight="1">
      <c r="A893" s="23"/>
    </row>
    <row r="894" spans="1:1" ht="15.75" customHeight="1">
      <c r="A894" s="23"/>
    </row>
    <row r="895" spans="1:1" ht="15.75" customHeight="1">
      <c r="A895" s="23"/>
    </row>
    <row r="896" spans="1:1" ht="15.75" customHeight="1">
      <c r="A896" s="23"/>
    </row>
    <row r="897" spans="1:1" ht="15.75" customHeight="1">
      <c r="A897" s="23"/>
    </row>
    <row r="898" spans="1:1" ht="15.75" customHeight="1">
      <c r="A898" s="23"/>
    </row>
    <row r="899" spans="1:1" ht="15.75" customHeight="1">
      <c r="A899" s="23"/>
    </row>
    <row r="900" spans="1:1" ht="15.75" customHeight="1">
      <c r="A900" s="23"/>
    </row>
    <row r="901" spans="1:1" ht="15.75" customHeight="1">
      <c r="A901" s="23"/>
    </row>
    <row r="902" spans="1:1" ht="15.75" customHeight="1">
      <c r="A902" s="23"/>
    </row>
    <row r="903" spans="1:1" ht="15.75" customHeight="1">
      <c r="A903" s="23"/>
    </row>
    <row r="904" spans="1:1" ht="15.75" customHeight="1">
      <c r="A904" s="23"/>
    </row>
    <row r="905" spans="1:1" ht="15.75" customHeight="1">
      <c r="A905" s="23"/>
    </row>
    <row r="906" spans="1:1" ht="15.75" customHeight="1">
      <c r="A906" s="23"/>
    </row>
    <row r="907" spans="1:1" ht="15.75" customHeight="1">
      <c r="A907" s="23"/>
    </row>
    <row r="908" spans="1:1" ht="15.75" customHeight="1">
      <c r="A908" s="23"/>
    </row>
    <row r="909" spans="1:1" ht="15.75" customHeight="1">
      <c r="A909" s="23"/>
    </row>
    <row r="910" spans="1:1" ht="15.75" customHeight="1">
      <c r="A910" s="23"/>
    </row>
    <row r="911" spans="1:1" ht="15.75" customHeight="1">
      <c r="A911" s="23"/>
    </row>
    <row r="912" spans="1:1" ht="15.75" customHeight="1">
      <c r="A912" s="23"/>
    </row>
    <row r="913" spans="1:1" ht="15.75" customHeight="1">
      <c r="A913" s="23"/>
    </row>
    <row r="914" spans="1:1" ht="15.75" customHeight="1">
      <c r="A914" s="23"/>
    </row>
    <row r="915" spans="1:1" ht="15.75" customHeight="1">
      <c r="A915" s="23"/>
    </row>
    <row r="916" spans="1:1" ht="15.75" customHeight="1">
      <c r="A916" s="23"/>
    </row>
    <row r="917" spans="1:1" ht="15.75" customHeight="1">
      <c r="A917" s="23"/>
    </row>
    <row r="918" spans="1:1" ht="15.75" customHeight="1">
      <c r="A918" s="23"/>
    </row>
    <row r="919" spans="1:1" ht="15.75" customHeight="1">
      <c r="A919" s="23"/>
    </row>
    <row r="920" spans="1:1" ht="15.75" customHeight="1">
      <c r="A920" s="23"/>
    </row>
    <row r="921" spans="1:1" ht="15.75" customHeight="1">
      <c r="A921" s="23"/>
    </row>
    <row r="922" spans="1:1" ht="15.75" customHeight="1">
      <c r="A922" s="23"/>
    </row>
    <row r="923" spans="1:1" ht="15.75" customHeight="1">
      <c r="A923" s="23"/>
    </row>
    <row r="924" spans="1:1" ht="15.75" customHeight="1">
      <c r="A924" s="23"/>
    </row>
    <row r="925" spans="1:1" ht="15.75" customHeight="1">
      <c r="A925" s="23"/>
    </row>
    <row r="926" spans="1:1" ht="15.75" customHeight="1">
      <c r="A926" s="23"/>
    </row>
    <row r="927" spans="1:1" ht="15.75" customHeight="1">
      <c r="A927" s="23"/>
    </row>
    <row r="928" spans="1:1" ht="15.75" customHeight="1">
      <c r="A928" s="23"/>
    </row>
    <row r="929" spans="1:1" ht="15.75" customHeight="1">
      <c r="A929" s="23"/>
    </row>
    <row r="930" spans="1:1" ht="15.75" customHeight="1">
      <c r="A930" s="23"/>
    </row>
    <row r="931" spans="1:1" ht="15.75" customHeight="1">
      <c r="A931" s="23"/>
    </row>
    <row r="932" spans="1:1" ht="15.75" customHeight="1">
      <c r="A932" s="23"/>
    </row>
    <row r="933" spans="1:1" ht="15.75" customHeight="1">
      <c r="A933" s="23"/>
    </row>
    <row r="934" spans="1:1" ht="15.75" customHeight="1">
      <c r="A934" s="23"/>
    </row>
    <row r="935" spans="1:1" ht="15.75" customHeight="1">
      <c r="A935" s="23"/>
    </row>
    <row r="936" spans="1:1" ht="15.75" customHeight="1">
      <c r="A936" s="23"/>
    </row>
    <row r="937" spans="1:1" ht="15.75" customHeight="1">
      <c r="A937" s="23"/>
    </row>
    <row r="938" spans="1:1" ht="15.75" customHeight="1">
      <c r="A938" s="23"/>
    </row>
    <row r="939" spans="1:1" ht="15.75" customHeight="1">
      <c r="A939" s="23"/>
    </row>
    <row r="940" spans="1:1" ht="15.75" customHeight="1">
      <c r="A940" s="23"/>
    </row>
    <row r="941" spans="1:1" ht="15.75" customHeight="1">
      <c r="A941" s="23"/>
    </row>
    <row r="942" spans="1:1" ht="15.75" customHeight="1">
      <c r="A942" s="23"/>
    </row>
    <row r="943" spans="1:1" ht="15.75" customHeight="1">
      <c r="A943" s="23"/>
    </row>
    <row r="944" spans="1:1" ht="15.75" customHeight="1">
      <c r="A944" s="23"/>
    </row>
    <row r="945" spans="1:1" ht="15.75" customHeight="1">
      <c r="A945" s="23"/>
    </row>
    <row r="946" spans="1:1" ht="15.75" customHeight="1">
      <c r="A946" s="23"/>
    </row>
    <row r="947" spans="1:1" ht="15.75" customHeight="1">
      <c r="A947" s="23"/>
    </row>
    <row r="948" spans="1:1" ht="15.75" customHeight="1">
      <c r="A948" s="23"/>
    </row>
    <row r="949" spans="1:1" ht="15.75" customHeight="1">
      <c r="A949" s="23"/>
    </row>
    <row r="950" spans="1:1" ht="15.75" customHeight="1">
      <c r="A950" s="23"/>
    </row>
    <row r="951" spans="1:1" ht="15.75" customHeight="1">
      <c r="A951" s="23"/>
    </row>
    <row r="952" spans="1:1" ht="15.75" customHeight="1">
      <c r="A952" s="23"/>
    </row>
    <row r="953" spans="1:1" ht="15.75" customHeight="1">
      <c r="A953" s="23"/>
    </row>
    <row r="954" spans="1:1" ht="15.75" customHeight="1">
      <c r="A954" s="23"/>
    </row>
    <row r="955" spans="1:1" ht="15.75" customHeight="1">
      <c r="A955" s="23"/>
    </row>
    <row r="956" spans="1:1" ht="15.75" customHeight="1">
      <c r="A956" s="23"/>
    </row>
    <row r="957" spans="1:1" ht="15.75" customHeight="1">
      <c r="A957" s="23"/>
    </row>
    <row r="958" spans="1:1" ht="15.75" customHeight="1">
      <c r="A958" s="23"/>
    </row>
    <row r="959" spans="1:1" ht="15.75" customHeight="1">
      <c r="A959" s="23"/>
    </row>
    <row r="960" spans="1:1" ht="15.75" customHeight="1">
      <c r="A960" s="23"/>
    </row>
    <row r="961" spans="1:1" ht="15.75" customHeight="1">
      <c r="A961" s="23"/>
    </row>
    <row r="962" spans="1:1" ht="15.75" customHeight="1">
      <c r="A962" s="23"/>
    </row>
    <row r="963" spans="1:1" ht="15.75" customHeight="1">
      <c r="A963" s="23"/>
    </row>
    <row r="964" spans="1:1" ht="15.75" customHeight="1">
      <c r="A964" s="23"/>
    </row>
    <row r="965" spans="1:1" ht="15.75" customHeight="1">
      <c r="A965" s="23"/>
    </row>
    <row r="966" spans="1:1" ht="15.75" customHeight="1">
      <c r="A966" s="23"/>
    </row>
    <row r="967" spans="1:1" ht="15.75" customHeight="1">
      <c r="A967" s="23"/>
    </row>
    <row r="968" spans="1:1" ht="15.75" customHeight="1">
      <c r="A968" s="23"/>
    </row>
    <row r="969" spans="1:1" ht="15.75" customHeight="1">
      <c r="A969" s="23"/>
    </row>
    <row r="970" spans="1:1" ht="15.75" customHeight="1">
      <c r="A970" s="23"/>
    </row>
    <row r="971" spans="1:1" ht="15.75" customHeight="1">
      <c r="A971" s="23"/>
    </row>
    <row r="972" spans="1:1" ht="15.75" customHeight="1">
      <c r="A972" s="23"/>
    </row>
    <row r="973" spans="1:1" ht="15.75" customHeight="1">
      <c r="A973" s="23"/>
    </row>
    <row r="974" spans="1:1" ht="15.75" customHeight="1">
      <c r="A974" s="23"/>
    </row>
    <row r="975" spans="1:1" ht="15.75" customHeight="1">
      <c r="A975" s="23"/>
    </row>
    <row r="976" spans="1:1" ht="15.75" customHeight="1">
      <c r="A976" s="23"/>
    </row>
    <row r="977" spans="1:1" ht="15.75" customHeight="1">
      <c r="A977" s="23"/>
    </row>
    <row r="978" spans="1:1" ht="15.75" customHeight="1">
      <c r="A978" s="23"/>
    </row>
    <row r="979" spans="1:1" ht="15.75" customHeight="1">
      <c r="A979" s="23"/>
    </row>
    <row r="980" spans="1:1" ht="15.75" customHeight="1">
      <c r="A980" s="23"/>
    </row>
    <row r="981" spans="1:1" ht="15.75" customHeight="1">
      <c r="A981" s="23"/>
    </row>
    <row r="982" spans="1:1" ht="15.75" customHeight="1">
      <c r="A982" s="23"/>
    </row>
    <row r="983" spans="1:1" ht="15.75" customHeight="1">
      <c r="A983" s="23"/>
    </row>
    <row r="984" spans="1:1" ht="15.75" customHeight="1">
      <c r="A984" s="23"/>
    </row>
    <row r="985" spans="1:1" ht="15.75" customHeight="1">
      <c r="A985" s="23"/>
    </row>
    <row r="986" spans="1:1" ht="15.75" customHeight="1">
      <c r="A986" s="23"/>
    </row>
    <row r="987" spans="1:1" ht="15.75" customHeight="1">
      <c r="A987" s="23"/>
    </row>
    <row r="988" spans="1:1" ht="15.75" customHeight="1">
      <c r="A988" s="23"/>
    </row>
    <row r="989" spans="1:1" ht="15.75" customHeight="1">
      <c r="A989" s="23"/>
    </row>
    <row r="990" spans="1:1" ht="15.75" customHeight="1">
      <c r="A990" s="23"/>
    </row>
    <row r="991" spans="1:1" ht="15.75" customHeight="1">
      <c r="A991" s="23"/>
    </row>
    <row r="992" spans="1:1" ht="15.75" customHeight="1">
      <c r="A992" s="23"/>
    </row>
    <row r="993" spans="1:1" ht="15.75" customHeight="1">
      <c r="A993" s="23"/>
    </row>
    <row r="994" spans="1:1" ht="15.75" customHeight="1">
      <c r="A994" s="23"/>
    </row>
    <row r="995" spans="1:1" ht="15.75" customHeight="1">
      <c r="A995" s="23"/>
    </row>
    <row r="996" spans="1:1" ht="15.75" customHeight="1">
      <c r="A996" s="23"/>
    </row>
    <row r="997" spans="1:1" ht="15.75" customHeight="1">
      <c r="A997" s="23"/>
    </row>
    <row r="998" spans="1:1" ht="15.75" customHeight="1">
      <c r="A998" s="23"/>
    </row>
    <row r="999" spans="1:1" ht="15.75" customHeight="1">
      <c r="A999" s="23"/>
    </row>
    <row r="1000" spans="1:1" ht="15.75" customHeight="1">
      <c r="A1000" s="23"/>
    </row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CE236-0E4A-4F26-8D98-20E2BF5ECCD0}">
  <sheetPr>
    <tabColor rgb="FFC00000"/>
  </sheetPr>
  <dimension ref="A1:AN1000"/>
  <sheetViews>
    <sheetView topLeftCell="H1" workbookViewId="0">
      <selection activeCell="T2" sqref="T2:T12"/>
    </sheetView>
  </sheetViews>
  <sheetFormatPr baseColWidth="10" defaultColWidth="12.59765625" defaultRowHeight="15" customHeight="1"/>
  <cols>
    <col min="1" max="3" width="12.59765625" style="78"/>
    <col min="4" max="4" width="14.09765625" style="78" customWidth="1"/>
    <col min="5" max="6" width="21" style="78" customWidth="1"/>
    <col min="7" max="7" width="14.19921875" style="78" customWidth="1"/>
    <col min="8" max="13" width="11" style="78" customWidth="1"/>
    <col min="14" max="15" width="14.69921875" style="78" customWidth="1"/>
    <col min="16" max="34" width="11" style="78" customWidth="1"/>
    <col min="35" max="16384" width="12.59765625" style="78"/>
  </cols>
  <sheetData>
    <row r="1" spans="1:40" ht="45" customHeight="1">
      <c r="A1" s="74" t="s">
        <v>0</v>
      </c>
      <c r="B1" s="75" t="s">
        <v>1</v>
      </c>
      <c r="C1" s="75" t="s">
        <v>2</v>
      </c>
      <c r="D1" s="75" t="s">
        <v>3</v>
      </c>
      <c r="E1" s="99" t="s">
        <v>453</v>
      </c>
      <c r="F1" s="100" t="s">
        <v>454</v>
      </c>
      <c r="G1" s="76" t="s">
        <v>490</v>
      </c>
      <c r="H1" s="77" t="s">
        <v>491</v>
      </c>
      <c r="I1" s="76" t="s">
        <v>492</v>
      </c>
      <c r="J1" s="77" t="s">
        <v>493</v>
      </c>
      <c r="K1" s="101" t="s">
        <v>495</v>
      </c>
      <c r="M1" s="75" t="s">
        <v>464</v>
      </c>
      <c r="N1" s="75" t="s">
        <v>7</v>
      </c>
      <c r="O1" s="43" t="s">
        <v>10</v>
      </c>
      <c r="P1" s="43" t="s">
        <v>458</v>
      </c>
      <c r="Q1" s="79" t="s">
        <v>7</v>
      </c>
      <c r="R1" s="102" t="s">
        <v>497</v>
      </c>
      <c r="S1" s="111" t="s">
        <v>494</v>
      </c>
      <c r="T1" s="60" t="s">
        <v>466</v>
      </c>
      <c r="AC1" s="81"/>
      <c r="AD1" s="81"/>
      <c r="AE1" s="81"/>
      <c r="AF1" s="81"/>
      <c r="AG1" s="81"/>
      <c r="AH1" s="81"/>
      <c r="AI1" s="81"/>
      <c r="AJ1" s="81"/>
      <c r="AK1" s="81"/>
      <c r="AL1" s="81"/>
      <c r="AM1" s="81"/>
      <c r="AN1" s="81"/>
    </row>
    <row r="2" spans="1:40" ht="14.25" customHeight="1">
      <c r="A2" s="82">
        <v>10101</v>
      </c>
      <c r="B2" s="83" t="s">
        <v>11</v>
      </c>
      <c r="C2" s="83" t="s">
        <v>12</v>
      </c>
      <c r="D2" s="83" t="s">
        <v>13</v>
      </c>
      <c r="E2" s="103">
        <v>107</v>
      </c>
      <c r="F2" s="104">
        <v>5095</v>
      </c>
      <c r="G2" s="84">
        <f t="shared" ref="G2:G30" si="0">E2/$R$2</f>
        <v>0.37282229965156793</v>
      </c>
      <c r="H2" s="85">
        <f>$S$17*G2</f>
        <v>7.9068153310104519</v>
      </c>
      <c r="I2" s="84">
        <f t="shared" ref="I2:I30" si="1">F2/$S$2</f>
        <v>0.44059149083362159</v>
      </c>
      <c r="J2" s="86">
        <f>I2*$U$17</f>
        <v>424.73019716361119</v>
      </c>
      <c r="K2" s="86">
        <f>1000*H2/J2</f>
        <v>18.616089422915817</v>
      </c>
      <c r="M2" s="87">
        <v>1</v>
      </c>
      <c r="N2" s="83" t="s">
        <v>11</v>
      </c>
      <c r="O2" s="8">
        <v>24.818401937046005</v>
      </c>
      <c r="P2" s="8">
        <v>8.8076421596019259</v>
      </c>
      <c r="Q2" s="81" t="s">
        <v>11</v>
      </c>
      <c r="R2" s="105">
        <v>287</v>
      </c>
      <c r="S2" s="112">
        <v>11564</v>
      </c>
      <c r="T2" s="61">
        <v>22</v>
      </c>
      <c r="AC2" s="81"/>
      <c r="AD2" s="81"/>
      <c r="AE2" s="81"/>
      <c r="AF2" s="81"/>
      <c r="AG2" s="81"/>
      <c r="AH2" s="81"/>
      <c r="AI2" s="81"/>
      <c r="AJ2" s="81"/>
      <c r="AK2" s="81"/>
      <c r="AL2" s="81"/>
      <c r="AM2" s="81"/>
      <c r="AN2" s="81"/>
    </row>
    <row r="3" spans="1:40" ht="14.25" customHeight="1">
      <c r="A3" s="82">
        <v>10102</v>
      </c>
      <c r="B3" s="83" t="s">
        <v>11</v>
      </c>
      <c r="C3" s="83" t="s">
        <v>12</v>
      </c>
      <c r="D3" s="83" t="s">
        <v>14</v>
      </c>
      <c r="E3" s="103">
        <v>4</v>
      </c>
      <c r="F3" s="104">
        <v>169</v>
      </c>
      <c r="G3" s="84">
        <f t="shared" si="0"/>
        <v>1.3937282229965157E-2</v>
      </c>
      <c r="H3" s="85">
        <f t="shared" ref="H3:H30" si="2">$S$17*G3</f>
        <v>0.295581881533101</v>
      </c>
      <c r="I3" s="84">
        <f t="shared" si="1"/>
        <v>1.4614320304392943E-2</v>
      </c>
      <c r="J3" s="86">
        <f t="shared" ref="J3:J30" si="3">I3*$U$17</f>
        <v>14.088204773434798</v>
      </c>
      <c r="K3" s="86">
        <f t="shared" ref="K3:K66" si="4">1000*H3/J3</f>
        <v>20.980805311011686</v>
      </c>
      <c r="M3" s="87">
        <v>2</v>
      </c>
      <c r="N3" s="83" t="s">
        <v>15</v>
      </c>
      <c r="O3" s="8">
        <v>31.791374861776632</v>
      </c>
      <c r="P3" s="8">
        <v>12.522001781872705</v>
      </c>
      <c r="Q3" s="81" t="s">
        <v>15</v>
      </c>
      <c r="R3" s="105">
        <v>1725</v>
      </c>
      <c r="S3" s="112">
        <v>54260</v>
      </c>
      <c r="T3" s="61">
        <v>59</v>
      </c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</row>
    <row r="4" spans="1:40" ht="14.25" customHeight="1">
      <c r="A4" s="82">
        <v>10103</v>
      </c>
      <c r="B4" s="83" t="s">
        <v>11</v>
      </c>
      <c r="C4" s="83" t="s">
        <v>12</v>
      </c>
      <c r="D4" s="83" t="s">
        <v>16</v>
      </c>
      <c r="E4" s="103">
        <v>13</v>
      </c>
      <c r="F4" s="104">
        <v>392</v>
      </c>
      <c r="G4" s="84">
        <f t="shared" si="0"/>
        <v>4.5296167247386762E-2</v>
      </c>
      <c r="H4" s="85">
        <f t="shared" si="2"/>
        <v>0.96064111498257843</v>
      </c>
      <c r="I4" s="84">
        <f t="shared" si="1"/>
        <v>3.3898305084745763E-2</v>
      </c>
      <c r="J4" s="86">
        <f t="shared" si="3"/>
        <v>32.677966101694913</v>
      </c>
      <c r="K4" s="86">
        <f t="shared" si="4"/>
        <v>29.397212543554009</v>
      </c>
      <c r="M4" s="87">
        <v>3</v>
      </c>
      <c r="N4" s="83" t="s">
        <v>17</v>
      </c>
      <c r="O4" s="8">
        <v>24.103717422939543</v>
      </c>
      <c r="P4" s="8">
        <v>9.8247123027642669</v>
      </c>
      <c r="Q4" s="81" t="s">
        <v>17</v>
      </c>
      <c r="R4" s="105">
        <v>911</v>
      </c>
      <c r="S4" s="112">
        <v>37795</v>
      </c>
      <c r="T4" s="61">
        <v>57</v>
      </c>
      <c r="AC4" s="81"/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</row>
    <row r="5" spans="1:40" ht="14.25" customHeight="1">
      <c r="A5" s="82">
        <v>10201</v>
      </c>
      <c r="B5" s="83" t="s">
        <v>11</v>
      </c>
      <c r="C5" s="83" t="s">
        <v>18</v>
      </c>
      <c r="D5" s="83" t="s">
        <v>19</v>
      </c>
      <c r="E5" s="103">
        <v>6</v>
      </c>
      <c r="F5" s="104">
        <v>229</v>
      </c>
      <c r="G5" s="84">
        <f t="shared" si="0"/>
        <v>2.0905923344947737E-2</v>
      </c>
      <c r="H5" s="85">
        <f t="shared" si="2"/>
        <v>0.44337282229965158</v>
      </c>
      <c r="I5" s="84">
        <f t="shared" si="1"/>
        <v>1.9802836388792804E-2</v>
      </c>
      <c r="J5" s="86">
        <f t="shared" si="3"/>
        <v>19.089934278796264</v>
      </c>
      <c r="K5" s="86">
        <f t="shared" si="4"/>
        <v>23.225476621578444</v>
      </c>
      <c r="M5" s="87">
        <v>4</v>
      </c>
      <c r="N5" s="83" t="s">
        <v>20</v>
      </c>
      <c r="O5" s="8">
        <v>20.750595710881651</v>
      </c>
      <c r="P5" s="8">
        <v>12.381883349625285</v>
      </c>
      <c r="Q5" s="81" t="s">
        <v>20</v>
      </c>
      <c r="R5" s="105">
        <v>209</v>
      </c>
      <c r="S5" s="112">
        <v>10072</v>
      </c>
      <c r="T5" s="61">
        <v>51</v>
      </c>
      <c r="AC5" s="81"/>
      <c r="AD5" s="81"/>
      <c r="AE5" s="81"/>
      <c r="AF5" s="81"/>
      <c r="AG5" s="81"/>
      <c r="AH5" s="81"/>
      <c r="AI5" s="81"/>
      <c r="AJ5" s="81"/>
      <c r="AK5" s="81"/>
      <c r="AL5" s="81"/>
      <c r="AM5" s="81"/>
      <c r="AN5" s="81"/>
    </row>
    <row r="6" spans="1:40" ht="14.25" customHeight="1">
      <c r="A6" s="82">
        <v>10202</v>
      </c>
      <c r="B6" s="83" t="s">
        <v>11</v>
      </c>
      <c r="C6" s="83" t="s">
        <v>18</v>
      </c>
      <c r="D6" s="83" t="s">
        <v>21</v>
      </c>
      <c r="E6" s="103">
        <v>6</v>
      </c>
      <c r="F6" s="104">
        <v>278</v>
      </c>
      <c r="G6" s="84">
        <f t="shared" si="0"/>
        <v>2.0905923344947737E-2</v>
      </c>
      <c r="H6" s="85">
        <f t="shared" si="2"/>
        <v>0.44337282229965158</v>
      </c>
      <c r="I6" s="84">
        <f t="shared" si="1"/>
        <v>2.4040124524386027E-2</v>
      </c>
      <c r="J6" s="86">
        <f t="shared" si="3"/>
        <v>23.174680041508129</v>
      </c>
      <c r="K6" s="86">
        <f t="shared" si="4"/>
        <v>19.131777504825408</v>
      </c>
      <c r="M6" s="87">
        <v>5</v>
      </c>
      <c r="N6" s="83" t="s">
        <v>263</v>
      </c>
      <c r="O6" s="8">
        <v>41.426803679991394</v>
      </c>
      <c r="P6" s="8">
        <v>16.377842331964338</v>
      </c>
      <c r="Q6" s="81" t="s">
        <v>22</v>
      </c>
      <c r="R6" s="105">
        <v>770</v>
      </c>
      <c r="S6" s="112">
        <v>18587</v>
      </c>
      <c r="T6" s="61">
        <v>91</v>
      </c>
      <c r="AC6" s="81"/>
      <c r="AD6" s="81"/>
      <c r="AE6" s="81"/>
      <c r="AF6" s="81"/>
      <c r="AG6" s="81"/>
      <c r="AH6" s="81"/>
      <c r="AI6" s="81"/>
      <c r="AJ6" s="81"/>
      <c r="AK6" s="81"/>
      <c r="AL6" s="81"/>
      <c r="AM6" s="81"/>
      <c r="AN6" s="81"/>
    </row>
    <row r="7" spans="1:40" ht="14.25" customHeight="1">
      <c r="A7" s="82">
        <v>10301</v>
      </c>
      <c r="B7" s="83" t="s">
        <v>11</v>
      </c>
      <c r="C7" s="83" t="s">
        <v>23</v>
      </c>
      <c r="D7" s="83" t="s">
        <v>24</v>
      </c>
      <c r="E7" s="103">
        <v>8</v>
      </c>
      <c r="F7" s="104">
        <v>221</v>
      </c>
      <c r="G7" s="84">
        <f t="shared" si="0"/>
        <v>2.7874564459930314E-2</v>
      </c>
      <c r="H7" s="85">
        <f t="shared" si="2"/>
        <v>0.591163763066202</v>
      </c>
      <c r="I7" s="84">
        <f t="shared" si="1"/>
        <v>1.9111034244206158E-2</v>
      </c>
      <c r="J7" s="86">
        <f t="shared" si="3"/>
        <v>18.423037011414735</v>
      </c>
      <c r="K7" s="86">
        <f t="shared" si="4"/>
        <v>32.088290475664934</v>
      </c>
      <c r="M7" s="87">
        <v>6</v>
      </c>
      <c r="N7" s="83" t="s">
        <v>25</v>
      </c>
      <c r="O7" s="8">
        <v>16.856345286665235</v>
      </c>
      <c r="P7" s="8">
        <v>6.1150970241879339</v>
      </c>
      <c r="Q7" s="81" t="s">
        <v>25</v>
      </c>
      <c r="R7" s="105">
        <v>157</v>
      </c>
      <c r="S7" s="112">
        <v>9314</v>
      </c>
      <c r="T7" s="61">
        <v>33</v>
      </c>
      <c r="AC7" s="81"/>
      <c r="AD7" s="81"/>
      <c r="AE7" s="81"/>
      <c r="AF7" s="81"/>
      <c r="AG7" s="81"/>
      <c r="AH7" s="81"/>
      <c r="AI7" s="81"/>
      <c r="AJ7" s="81"/>
      <c r="AK7" s="81"/>
      <c r="AL7" s="81"/>
      <c r="AM7" s="81"/>
      <c r="AN7" s="81"/>
    </row>
    <row r="8" spans="1:40" ht="14.25" customHeight="1">
      <c r="A8" s="82">
        <v>10302</v>
      </c>
      <c r="B8" s="83" t="s">
        <v>11</v>
      </c>
      <c r="C8" s="83" t="s">
        <v>23</v>
      </c>
      <c r="D8" s="83" t="s">
        <v>26</v>
      </c>
      <c r="E8" s="103">
        <v>16</v>
      </c>
      <c r="F8" s="104">
        <v>275</v>
      </c>
      <c r="G8" s="84">
        <f t="shared" si="0"/>
        <v>5.5749128919860627E-2</v>
      </c>
      <c r="H8" s="85">
        <f t="shared" si="2"/>
        <v>1.182327526132404</v>
      </c>
      <c r="I8" s="84">
        <f t="shared" si="1"/>
        <v>2.3780698720166034E-2</v>
      </c>
      <c r="J8" s="86">
        <f t="shared" si="3"/>
        <v>22.924593566240056</v>
      </c>
      <c r="K8" s="86">
        <f t="shared" si="4"/>
        <v>51.574634146341459</v>
      </c>
      <c r="M8" s="87">
        <v>7</v>
      </c>
      <c r="N8" s="83" t="s">
        <v>27</v>
      </c>
      <c r="O8" s="8">
        <v>15.488074984752673</v>
      </c>
      <c r="P8" s="8">
        <v>7.3922008229563403</v>
      </c>
      <c r="Q8" s="81" t="s">
        <v>27</v>
      </c>
      <c r="R8" s="105">
        <v>965</v>
      </c>
      <c r="S8" s="112">
        <v>62306</v>
      </c>
      <c r="T8" s="61">
        <v>21</v>
      </c>
      <c r="AC8" s="81"/>
      <c r="AD8" s="81"/>
      <c r="AE8" s="81"/>
      <c r="AF8" s="81"/>
      <c r="AG8" s="81"/>
      <c r="AH8" s="81"/>
      <c r="AI8" s="81"/>
      <c r="AJ8" s="81"/>
      <c r="AK8" s="81"/>
      <c r="AL8" s="81"/>
      <c r="AM8" s="81"/>
      <c r="AN8" s="81"/>
    </row>
    <row r="9" spans="1:40" ht="14.25" customHeight="1">
      <c r="A9" s="82">
        <v>10303</v>
      </c>
      <c r="B9" s="83" t="s">
        <v>11</v>
      </c>
      <c r="C9" s="83" t="s">
        <v>23</v>
      </c>
      <c r="D9" s="83" t="s">
        <v>28</v>
      </c>
      <c r="E9" s="103">
        <v>7</v>
      </c>
      <c r="F9" s="104">
        <v>132</v>
      </c>
      <c r="G9" s="84">
        <f t="shared" si="0"/>
        <v>2.4390243902439025E-2</v>
      </c>
      <c r="H9" s="85">
        <f t="shared" si="2"/>
        <v>0.51726829268292684</v>
      </c>
      <c r="I9" s="84">
        <f t="shared" si="1"/>
        <v>1.1414735385679695E-2</v>
      </c>
      <c r="J9" s="86">
        <f t="shared" si="3"/>
        <v>11.003804911795227</v>
      </c>
      <c r="K9" s="86">
        <f t="shared" si="4"/>
        <v>47.008130081300813</v>
      </c>
      <c r="M9" s="87">
        <v>8</v>
      </c>
      <c r="N9" s="83" t="s">
        <v>29</v>
      </c>
      <c r="O9" s="8">
        <v>26.775320139697321</v>
      </c>
      <c r="P9" s="8">
        <v>8.8360995306641499</v>
      </c>
      <c r="Q9" s="81" t="s">
        <v>29</v>
      </c>
      <c r="R9" s="105">
        <v>322</v>
      </c>
      <c r="S9" s="112">
        <v>12026</v>
      </c>
      <c r="T9" s="61">
        <v>34</v>
      </c>
      <c r="AC9" s="81"/>
      <c r="AD9" s="81"/>
      <c r="AE9" s="81"/>
      <c r="AF9" s="81"/>
      <c r="AG9" s="81"/>
      <c r="AH9" s="81"/>
      <c r="AI9" s="81"/>
      <c r="AJ9" s="81"/>
      <c r="AK9" s="81"/>
      <c r="AL9" s="81"/>
      <c r="AM9" s="81"/>
      <c r="AN9" s="81"/>
    </row>
    <row r="10" spans="1:40" ht="14.25" customHeight="1">
      <c r="A10" s="82">
        <v>10304</v>
      </c>
      <c r="B10" s="83" t="s">
        <v>11</v>
      </c>
      <c r="C10" s="83" t="s">
        <v>23</v>
      </c>
      <c r="D10" s="83" t="s">
        <v>30</v>
      </c>
      <c r="E10" s="103">
        <v>2</v>
      </c>
      <c r="F10" s="104">
        <v>139</v>
      </c>
      <c r="G10" s="84">
        <f t="shared" si="0"/>
        <v>6.9686411149825784E-3</v>
      </c>
      <c r="H10" s="85">
        <f t="shared" si="2"/>
        <v>0.1477909407665505</v>
      </c>
      <c r="I10" s="84">
        <f t="shared" si="1"/>
        <v>1.2020062262193014E-2</v>
      </c>
      <c r="J10" s="86">
        <f t="shared" si="3"/>
        <v>11.587340020754064</v>
      </c>
      <c r="K10" s="86">
        <f t="shared" si="4"/>
        <v>12.754518336550271</v>
      </c>
      <c r="M10" s="87">
        <v>9</v>
      </c>
      <c r="N10" s="83" t="s">
        <v>31</v>
      </c>
      <c r="O10" s="8">
        <v>4.4065804935370156</v>
      </c>
      <c r="P10" s="8">
        <v>7.2927072927072931</v>
      </c>
      <c r="Q10" s="81" t="s">
        <v>31</v>
      </c>
      <c r="R10" s="105">
        <v>15</v>
      </c>
      <c r="S10" s="112">
        <v>3404</v>
      </c>
      <c r="T10" s="61">
        <f>43</f>
        <v>43</v>
      </c>
      <c r="AC10" s="81"/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</row>
    <row r="11" spans="1:40" ht="14.25" customHeight="1">
      <c r="A11" s="82">
        <v>10401</v>
      </c>
      <c r="B11" s="83" t="s">
        <v>11</v>
      </c>
      <c r="C11" s="83" t="s">
        <v>32</v>
      </c>
      <c r="D11" s="83" t="s">
        <v>33</v>
      </c>
      <c r="E11" s="103">
        <v>7</v>
      </c>
      <c r="F11" s="104">
        <v>186</v>
      </c>
      <c r="G11" s="84">
        <f t="shared" si="0"/>
        <v>2.4390243902439025E-2</v>
      </c>
      <c r="H11" s="85">
        <f t="shared" si="2"/>
        <v>0.51726829268292684</v>
      </c>
      <c r="I11" s="84">
        <f t="shared" si="1"/>
        <v>1.6084399861639571E-2</v>
      </c>
      <c r="J11" s="86">
        <f t="shared" si="3"/>
        <v>15.505361466620547</v>
      </c>
      <c r="K11" s="86">
        <f t="shared" si="4"/>
        <v>33.360608444794124</v>
      </c>
      <c r="M11" s="87">
        <v>10</v>
      </c>
      <c r="N11" s="83" t="s">
        <v>323</v>
      </c>
      <c r="O11" s="8">
        <v>22.727272727272727</v>
      </c>
      <c r="P11" s="8">
        <v>8.2292574305353856</v>
      </c>
      <c r="Q11" s="81" t="s">
        <v>323</v>
      </c>
      <c r="R11" s="105">
        <v>69</v>
      </c>
      <c r="S11" s="112">
        <v>3036</v>
      </c>
      <c r="T11" s="85">
        <f>SUM(H246:H248)/SUM(J246:J248)*1000</f>
        <v>44.493630573248403</v>
      </c>
      <c r="AC11" s="81"/>
      <c r="AD11" s="81"/>
      <c r="AE11" s="81"/>
      <c r="AF11" s="81"/>
      <c r="AG11" s="81"/>
      <c r="AH11" s="81"/>
      <c r="AI11" s="81"/>
      <c r="AJ11" s="81"/>
      <c r="AK11" s="81"/>
      <c r="AL11" s="81"/>
      <c r="AM11" s="81"/>
      <c r="AN11" s="81"/>
    </row>
    <row r="12" spans="1:40" ht="14.25" customHeight="1">
      <c r="A12" s="82">
        <v>10402</v>
      </c>
      <c r="B12" s="83" t="s">
        <v>11</v>
      </c>
      <c r="C12" s="83" t="s">
        <v>32</v>
      </c>
      <c r="D12" s="83" t="s">
        <v>32</v>
      </c>
      <c r="E12" s="103">
        <v>6</v>
      </c>
      <c r="F12" s="104">
        <v>198</v>
      </c>
      <c r="G12" s="84">
        <f t="shared" si="0"/>
        <v>2.0905923344947737E-2</v>
      </c>
      <c r="H12" s="85">
        <f t="shared" si="2"/>
        <v>0.44337282229965158</v>
      </c>
      <c r="I12" s="84">
        <f t="shared" si="1"/>
        <v>1.7122103078519545E-2</v>
      </c>
      <c r="J12" s="86">
        <f t="shared" si="3"/>
        <v>16.505707367692843</v>
      </c>
      <c r="K12" s="86">
        <f t="shared" si="4"/>
        <v>26.861788617886177</v>
      </c>
      <c r="M12" s="87">
        <v>11</v>
      </c>
      <c r="N12" s="83" t="s">
        <v>34</v>
      </c>
      <c r="O12" s="8">
        <v>24.442843594981031</v>
      </c>
      <c r="P12" s="8">
        <v>10.114267964655577</v>
      </c>
      <c r="Q12" s="81" t="s">
        <v>34</v>
      </c>
      <c r="R12" s="105">
        <v>5361</v>
      </c>
      <c r="S12" s="112">
        <v>219328</v>
      </c>
      <c r="T12" s="88">
        <v>50</v>
      </c>
      <c r="AC12" s="81"/>
      <c r="AD12" s="81"/>
      <c r="AE12" s="81"/>
      <c r="AF12" s="81"/>
      <c r="AG12" s="81"/>
      <c r="AH12" s="81"/>
      <c r="AI12" s="81"/>
      <c r="AJ12" s="81"/>
      <c r="AK12" s="81"/>
      <c r="AL12" s="81"/>
      <c r="AM12" s="81"/>
      <c r="AN12" s="81"/>
    </row>
    <row r="13" spans="1:40" ht="14.25" customHeight="1">
      <c r="A13" s="82">
        <v>10403</v>
      </c>
      <c r="B13" s="83" t="s">
        <v>11</v>
      </c>
      <c r="C13" s="83" t="s">
        <v>32</v>
      </c>
      <c r="D13" s="83" t="s">
        <v>35</v>
      </c>
      <c r="E13" s="103">
        <v>2</v>
      </c>
      <c r="F13" s="104">
        <v>129</v>
      </c>
      <c r="G13" s="84">
        <f t="shared" si="0"/>
        <v>6.9686411149825784E-3</v>
      </c>
      <c r="H13" s="85">
        <f t="shared" si="2"/>
        <v>0.1477909407665505</v>
      </c>
      <c r="I13" s="84">
        <f t="shared" si="1"/>
        <v>1.1155309581459702E-2</v>
      </c>
      <c r="J13" s="86">
        <f t="shared" si="3"/>
        <v>10.753718436527153</v>
      </c>
      <c r="K13" s="86">
        <f t="shared" si="4"/>
        <v>13.743240688220833</v>
      </c>
      <c r="M13" s="81"/>
      <c r="N13" s="81"/>
      <c r="O13" s="81"/>
      <c r="P13" s="81"/>
      <c r="AC13" s="81"/>
      <c r="AD13" s="81"/>
      <c r="AE13" s="81"/>
      <c r="AF13" s="81"/>
      <c r="AG13" s="81"/>
      <c r="AH13" s="81"/>
      <c r="AI13" s="81"/>
      <c r="AJ13" s="81"/>
      <c r="AK13" s="81"/>
      <c r="AL13" s="81"/>
      <c r="AM13" s="81"/>
      <c r="AN13" s="81"/>
    </row>
    <row r="14" spans="1:40" ht="14.25" customHeight="1">
      <c r="A14" s="82">
        <v>10404</v>
      </c>
      <c r="B14" s="83" t="s">
        <v>11</v>
      </c>
      <c r="C14" s="83" t="s">
        <v>32</v>
      </c>
      <c r="D14" s="83" t="s">
        <v>36</v>
      </c>
      <c r="E14" s="103">
        <v>0</v>
      </c>
      <c r="F14" s="104">
        <v>64</v>
      </c>
      <c r="G14" s="84">
        <f t="shared" si="0"/>
        <v>0</v>
      </c>
      <c r="H14" s="85">
        <f t="shared" si="2"/>
        <v>0</v>
      </c>
      <c r="I14" s="84">
        <f t="shared" si="1"/>
        <v>5.534417156693186E-3</v>
      </c>
      <c r="J14" s="86">
        <f t="shared" si="3"/>
        <v>5.335178139052231</v>
      </c>
      <c r="K14" s="86">
        <f t="shared" si="4"/>
        <v>0</v>
      </c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</row>
    <row r="15" spans="1:40" ht="14.25" customHeight="1">
      <c r="A15" s="82">
        <v>10405</v>
      </c>
      <c r="B15" s="83" t="s">
        <v>11</v>
      </c>
      <c r="C15" s="83" t="s">
        <v>32</v>
      </c>
      <c r="D15" s="83" t="s">
        <v>37</v>
      </c>
      <c r="E15" s="103">
        <v>2</v>
      </c>
      <c r="F15" s="104">
        <v>69</v>
      </c>
      <c r="G15" s="84">
        <f t="shared" si="0"/>
        <v>6.9686411149825784E-3</v>
      </c>
      <c r="H15" s="85">
        <f t="shared" si="2"/>
        <v>0.1477909407665505</v>
      </c>
      <c r="I15" s="84">
        <f t="shared" si="1"/>
        <v>5.966793497059841E-3</v>
      </c>
      <c r="J15" s="86">
        <f t="shared" si="3"/>
        <v>5.7519889311656867</v>
      </c>
      <c r="K15" s="86">
        <f t="shared" si="4"/>
        <v>25.693884764934602</v>
      </c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  <c r="AI15" s="81"/>
      <c r="AJ15" s="81"/>
      <c r="AK15" s="81"/>
      <c r="AL15" s="81"/>
      <c r="AM15" s="81"/>
      <c r="AN15" s="81"/>
    </row>
    <row r="16" spans="1:40" ht="14.25" customHeight="1">
      <c r="A16" s="82">
        <v>10501</v>
      </c>
      <c r="B16" s="83" t="s">
        <v>11</v>
      </c>
      <c r="C16" s="83" t="s">
        <v>38</v>
      </c>
      <c r="D16" s="83" t="s">
        <v>39</v>
      </c>
      <c r="E16" s="103">
        <v>17</v>
      </c>
      <c r="F16" s="104">
        <v>475</v>
      </c>
      <c r="G16" s="84">
        <f t="shared" si="0"/>
        <v>5.9233449477351915E-2</v>
      </c>
      <c r="H16" s="85">
        <f t="shared" si="2"/>
        <v>1.2562229965156793</v>
      </c>
      <c r="I16" s="84">
        <f t="shared" si="1"/>
        <v>4.1075752334832238E-2</v>
      </c>
      <c r="J16" s="86">
        <f t="shared" si="3"/>
        <v>39.59702525077828</v>
      </c>
      <c r="K16" s="86">
        <f t="shared" si="4"/>
        <v>31.725186136071883</v>
      </c>
      <c r="M16" s="80" t="s">
        <v>465</v>
      </c>
      <c r="N16" s="60" t="s">
        <v>7</v>
      </c>
      <c r="O16" s="60" t="s">
        <v>466</v>
      </c>
      <c r="P16" s="60" t="s">
        <v>467</v>
      </c>
      <c r="Q16" s="89" t="s">
        <v>468</v>
      </c>
      <c r="R16" s="89" t="s">
        <v>469</v>
      </c>
      <c r="S16" s="106" t="s">
        <v>496</v>
      </c>
      <c r="T16" s="90" t="s">
        <v>488</v>
      </c>
      <c r="U16" s="107" t="s">
        <v>489</v>
      </c>
      <c r="V16" s="90"/>
      <c r="W16" s="90"/>
      <c r="Y16" s="81"/>
      <c r="Z16" s="81"/>
      <c r="AA16" s="81"/>
      <c r="AB16" s="81"/>
      <c r="AC16" s="81"/>
      <c r="AD16" s="81"/>
      <c r="AE16" s="81"/>
      <c r="AF16" s="81"/>
      <c r="AG16" s="81"/>
      <c r="AH16" s="81"/>
      <c r="AI16" s="81"/>
      <c r="AJ16" s="81"/>
      <c r="AK16" s="81"/>
      <c r="AL16" s="81"/>
      <c r="AM16" s="81"/>
      <c r="AN16" s="81"/>
    </row>
    <row r="17" spans="1:40" ht="14.25" customHeight="1">
      <c r="A17" s="82">
        <v>10502</v>
      </c>
      <c r="B17" s="83" t="s">
        <v>11</v>
      </c>
      <c r="C17" s="83" t="s">
        <v>38</v>
      </c>
      <c r="D17" s="83" t="s">
        <v>40</v>
      </c>
      <c r="E17" s="103">
        <v>2</v>
      </c>
      <c r="F17" s="104">
        <v>166</v>
      </c>
      <c r="G17" s="84">
        <f t="shared" si="0"/>
        <v>6.9686411149825784E-3</v>
      </c>
      <c r="H17" s="85">
        <f t="shared" si="2"/>
        <v>0.1477909407665505</v>
      </c>
      <c r="I17" s="84">
        <f t="shared" si="1"/>
        <v>1.435489450017295E-2</v>
      </c>
      <c r="J17" s="86">
        <f t="shared" si="3"/>
        <v>13.838118298166723</v>
      </c>
      <c r="K17" s="86">
        <f t="shared" si="4"/>
        <v>10.679988245665589</v>
      </c>
      <c r="M17" s="83">
        <v>1</v>
      </c>
      <c r="N17" s="61" t="s">
        <v>11</v>
      </c>
      <c r="O17" s="61">
        <v>22</v>
      </c>
      <c r="P17" s="61">
        <v>8</v>
      </c>
      <c r="Q17" s="91">
        <f t="shared" ref="Q17:Q25" si="5">O2-O17</f>
        <v>2.8184019370460049</v>
      </c>
      <c r="R17" s="91">
        <f t="shared" ref="R17:R25" si="6">P2-P17</f>
        <v>0.80764215960192587</v>
      </c>
      <c r="S17" s="92">
        <f>O17*U17/1000</f>
        <v>21.207999999999998</v>
      </c>
      <c r="T17" s="93">
        <v>1536</v>
      </c>
      <c r="U17" s="92">
        <v>964</v>
      </c>
      <c r="V17" s="94"/>
      <c r="W17" s="94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</row>
    <row r="18" spans="1:40" ht="14.25" customHeight="1">
      <c r="A18" s="82">
        <v>10601</v>
      </c>
      <c r="B18" s="83" t="s">
        <v>11</v>
      </c>
      <c r="C18" s="83" t="s">
        <v>41</v>
      </c>
      <c r="D18" s="83" t="s">
        <v>42</v>
      </c>
      <c r="E18" s="103">
        <v>13</v>
      </c>
      <c r="F18" s="104">
        <v>309</v>
      </c>
      <c r="G18" s="84">
        <f t="shared" si="0"/>
        <v>4.5296167247386762E-2</v>
      </c>
      <c r="H18" s="85">
        <f t="shared" si="2"/>
        <v>0.96064111498257843</v>
      </c>
      <c r="I18" s="84">
        <f t="shared" si="1"/>
        <v>2.6720857834659287E-2</v>
      </c>
      <c r="J18" s="86">
        <f t="shared" si="3"/>
        <v>25.758906952611554</v>
      </c>
      <c r="K18" s="86">
        <f t="shared" si="4"/>
        <v>37.293551187939066</v>
      </c>
      <c r="M18" s="83">
        <v>2</v>
      </c>
      <c r="N18" s="61" t="s">
        <v>15</v>
      </c>
      <c r="O18" s="61">
        <v>59</v>
      </c>
      <c r="P18" s="61">
        <v>15</v>
      </c>
      <c r="Q18" s="91">
        <f t="shared" si="5"/>
        <v>-27.208625138223368</v>
      </c>
      <c r="R18" s="91">
        <f t="shared" si="6"/>
        <v>-2.4779982181272953</v>
      </c>
      <c r="S18" s="92">
        <f t="shared" ref="S18:S28" si="7">O18*U18/1000</f>
        <v>302.61099999999999</v>
      </c>
      <c r="T18" s="93">
        <v>3325</v>
      </c>
      <c r="U18" s="92">
        <v>5129</v>
      </c>
      <c r="V18" s="94"/>
      <c r="W18" s="94"/>
      <c r="Y18" s="81"/>
      <c r="Z18" s="81"/>
      <c r="AA18" s="81"/>
      <c r="AB18" s="81"/>
      <c r="AC18" s="81"/>
      <c r="AD18" s="81"/>
      <c r="AE18" s="81"/>
      <c r="AF18" s="81"/>
      <c r="AG18" s="81"/>
      <c r="AH18" s="81"/>
      <c r="AI18" s="81"/>
      <c r="AJ18" s="81"/>
      <c r="AK18" s="81"/>
      <c r="AL18" s="81"/>
      <c r="AM18" s="81"/>
      <c r="AN18" s="81"/>
    </row>
    <row r="19" spans="1:40" ht="14.25" customHeight="1">
      <c r="A19" s="82">
        <v>10602</v>
      </c>
      <c r="B19" s="83" t="s">
        <v>11</v>
      </c>
      <c r="C19" s="83" t="s">
        <v>41</v>
      </c>
      <c r="D19" s="83" t="s">
        <v>41</v>
      </c>
      <c r="E19" s="103">
        <v>2</v>
      </c>
      <c r="F19" s="104">
        <v>152</v>
      </c>
      <c r="G19" s="84">
        <f t="shared" si="0"/>
        <v>6.9686411149825784E-3</v>
      </c>
      <c r="H19" s="85">
        <f t="shared" si="2"/>
        <v>0.1477909407665505</v>
      </c>
      <c r="I19" s="84">
        <f t="shared" si="1"/>
        <v>1.3144240747146317E-2</v>
      </c>
      <c r="J19" s="86">
        <f t="shared" si="3"/>
        <v>12.671048080249049</v>
      </c>
      <c r="K19" s="86">
        <f t="shared" si="4"/>
        <v>11.663671373555839</v>
      </c>
      <c r="M19" s="83">
        <v>3</v>
      </c>
      <c r="N19" s="61" t="s">
        <v>17</v>
      </c>
      <c r="O19" s="61">
        <v>57</v>
      </c>
      <c r="P19" s="61">
        <v>6</v>
      </c>
      <c r="Q19" s="91">
        <f t="shared" si="5"/>
        <v>-32.896282577060461</v>
      </c>
      <c r="R19" s="91">
        <f t="shared" si="6"/>
        <v>3.8247123027642669</v>
      </c>
      <c r="S19" s="92">
        <f t="shared" si="7"/>
        <v>175.61699999999999</v>
      </c>
      <c r="T19" s="93">
        <v>2276</v>
      </c>
      <c r="U19" s="92">
        <v>3081</v>
      </c>
      <c r="V19" s="94"/>
      <c r="W19" s="94"/>
      <c r="Y19" s="81"/>
      <c r="Z19" s="81"/>
      <c r="AA19" s="81"/>
      <c r="AB19" s="81"/>
      <c r="AC19" s="81"/>
      <c r="AD19" s="81"/>
      <c r="AE19" s="81"/>
      <c r="AF19" s="81"/>
      <c r="AG19" s="81"/>
      <c r="AH19" s="81"/>
      <c r="AI19" s="81"/>
      <c r="AJ19" s="81"/>
      <c r="AK19" s="81"/>
      <c r="AL19" s="81"/>
      <c r="AM19" s="81"/>
      <c r="AN19" s="81"/>
    </row>
    <row r="20" spans="1:40" ht="14.25" customHeight="1">
      <c r="A20" s="82">
        <v>10701</v>
      </c>
      <c r="B20" s="83" t="s">
        <v>11</v>
      </c>
      <c r="C20" s="83" t="s">
        <v>43</v>
      </c>
      <c r="D20" s="83" t="s">
        <v>44</v>
      </c>
      <c r="E20" s="103">
        <v>3</v>
      </c>
      <c r="F20" s="104">
        <v>287</v>
      </c>
      <c r="G20" s="84">
        <f t="shared" si="0"/>
        <v>1.0452961672473868E-2</v>
      </c>
      <c r="H20" s="85">
        <f t="shared" si="2"/>
        <v>0.22168641114982579</v>
      </c>
      <c r="I20" s="84">
        <f t="shared" si="1"/>
        <v>2.4818401937046004E-2</v>
      </c>
      <c r="J20" s="86">
        <f t="shared" si="3"/>
        <v>23.924939467312349</v>
      </c>
      <c r="K20" s="86">
        <f t="shared" si="4"/>
        <v>9.2659131469363487</v>
      </c>
      <c r="M20" s="83">
        <v>4</v>
      </c>
      <c r="N20" s="61" t="s">
        <v>20</v>
      </c>
      <c r="O20" s="61">
        <v>51</v>
      </c>
      <c r="P20" s="61">
        <v>29</v>
      </c>
      <c r="Q20" s="91">
        <f t="shared" si="5"/>
        <v>-30.249404289118349</v>
      </c>
      <c r="R20" s="91">
        <f t="shared" si="6"/>
        <v>-16.618116650374716</v>
      </c>
      <c r="S20" s="92">
        <f t="shared" si="7"/>
        <v>47.786999999999999</v>
      </c>
      <c r="T20" s="93">
        <v>1565</v>
      </c>
      <c r="U20" s="92">
        <v>937</v>
      </c>
      <c r="V20" s="94"/>
      <c r="W20" s="94"/>
      <c r="Y20" s="81"/>
      <c r="Z20" s="81"/>
      <c r="AA20" s="81"/>
      <c r="AB20" s="81"/>
      <c r="AC20" s="81"/>
      <c r="AD20" s="81"/>
      <c r="AE20" s="81"/>
      <c r="AF20" s="81"/>
      <c r="AG20" s="81"/>
      <c r="AH20" s="81"/>
      <c r="AI20" s="81"/>
      <c r="AJ20" s="81"/>
      <c r="AK20" s="81"/>
      <c r="AL20" s="81"/>
      <c r="AM20" s="81"/>
      <c r="AN20" s="81"/>
    </row>
    <row r="21" spans="1:40" ht="14.25" customHeight="1">
      <c r="A21" s="82">
        <v>10702</v>
      </c>
      <c r="B21" s="83" t="s">
        <v>11</v>
      </c>
      <c r="C21" s="83" t="s">
        <v>43</v>
      </c>
      <c r="D21" s="83" t="s">
        <v>45</v>
      </c>
      <c r="E21" s="103">
        <v>22</v>
      </c>
      <c r="F21" s="104">
        <v>697</v>
      </c>
      <c r="G21" s="84">
        <f t="shared" si="0"/>
        <v>7.6655052264808357E-2</v>
      </c>
      <c r="H21" s="85">
        <f t="shared" si="2"/>
        <v>1.6257003484320556</v>
      </c>
      <c r="I21" s="84">
        <f t="shared" si="1"/>
        <v>6.0273261847111723E-2</v>
      </c>
      <c r="J21" s="86">
        <f t="shared" si="3"/>
        <v>58.103424420615703</v>
      </c>
      <c r="K21" s="86">
        <f t="shared" si="4"/>
        <v>27.979424012317594</v>
      </c>
      <c r="M21" s="83">
        <v>5</v>
      </c>
      <c r="N21" s="61" t="s">
        <v>263</v>
      </c>
      <c r="O21" s="61">
        <v>91</v>
      </c>
      <c r="P21" s="61">
        <v>21</v>
      </c>
      <c r="Q21" s="91">
        <f t="shared" si="5"/>
        <v>-49.573196320008606</v>
      </c>
      <c r="R21" s="91">
        <f t="shared" si="6"/>
        <v>-4.622157668035662</v>
      </c>
      <c r="S21" s="92">
        <f t="shared" si="7"/>
        <v>148.69399999999999</v>
      </c>
      <c r="T21" s="93">
        <v>1779</v>
      </c>
      <c r="U21" s="92">
        <v>1634</v>
      </c>
      <c r="V21" s="94"/>
      <c r="W21" s="94"/>
      <c r="Y21" s="81"/>
      <c r="Z21" s="81"/>
      <c r="AA21" s="81"/>
      <c r="AB21" s="81"/>
      <c r="AC21" s="81"/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</row>
    <row r="22" spans="1:40" ht="14.25" customHeight="1">
      <c r="A22" s="82">
        <v>10703</v>
      </c>
      <c r="B22" s="83" t="s">
        <v>11</v>
      </c>
      <c r="C22" s="83" t="s">
        <v>43</v>
      </c>
      <c r="D22" s="83" t="s">
        <v>46</v>
      </c>
      <c r="E22" s="103">
        <v>9</v>
      </c>
      <c r="F22" s="104">
        <v>340</v>
      </c>
      <c r="G22" s="84">
        <f t="shared" si="0"/>
        <v>3.1358885017421602E-2</v>
      </c>
      <c r="H22" s="85">
        <f t="shared" si="2"/>
        <v>0.66505923344947726</v>
      </c>
      <c r="I22" s="84">
        <f t="shared" si="1"/>
        <v>2.940159114493255E-2</v>
      </c>
      <c r="J22" s="86">
        <f t="shared" si="3"/>
        <v>28.343133863714979</v>
      </c>
      <c r="K22" s="86">
        <f t="shared" si="4"/>
        <v>23.464562410329982</v>
      </c>
      <c r="M22" s="83">
        <v>6</v>
      </c>
      <c r="N22" s="61" t="s">
        <v>25</v>
      </c>
      <c r="O22" s="61">
        <v>33</v>
      </c>
      <c r="P22" s="61">
        <v>21</v>
      </c>
      <c r="Q22" s="91">
        <f t="shared" si="5"/>
        <v>-16.143654713334765</v>
      </c>
      <c r="R22" s="91">
        <f t="shared" si="6"/>
        <v>-14.884902975812066</v>
      </c>
      <c r="S22" s="92">
        <f t="shared" si="7"/>
        <v>27.422999999999998</v>
      </c>
      <c r="T22" s="93">
        <v>1717</v>
      </c>
      <c r="U22" s="92">
        <v>831</v>
      </c>
      <c r="V22" s="94"/>
      <c r="W22" s="94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</row>
    <row r="23" spans="1:40" ht="14.25" customHeight="1">
      <c r="A23" s="82">
        <v>10704</v>
      </c>
      <c r="B23" s="83" t="s">
        <v>11</v>
      </c>
      <c r="C23" s="83" t="s">
        <v>43</v>
      </c>
      <c r="D23" s="83" t="s">
        <v>47</v>
      </c>
      <c r="E23" s="103">
        <v>17</v>
      </c>
      <c r="F23" s="104">
        <v>409</v>
      </c>
      <c r="G23" s="84">
        <f t="shared" si="0"/>
        <v>5.9233449477351915E-2</v>
      </c>
      <c r="H23" s="85">
        <f t="shared" si="2"/>
        <v>1.2562229965156793</v>
      </c>
      <c r="I23" s="84">
        <f t="shared" si="1"/>
        <v>3.5368384641992393E-2</v>
      </c>
      <c r="J23" s="86">
        <f t="shared" si="3"/>
        <v>34.095122794880666</v>
      </c>
      <c r="K23" s="86">
        <f t="shared" si="4"/>
        <v>36.844653825511358</v>
      </c>
      <c r="M23" s="83">
        <v>7</v>
      </c>
      <c r="N23" s="61" t="s">
        <v>27</v>
      </c>
      <c r="O23" s="61">
        <v>21</v>
      </c>
      <c r="P23" s="61">
        <v>6</v>
      </c>
      <c r="Q23" s="91">
        <f t="shared" si="5"/>
        <v>-5.5119250152473267</v>
      </c>
      <c r="R23" s="91">
        <f t="shared" si="6"/>
        <v>1.3922008229563403</v>
      </c>
      <c r="S23" s="92">
        <f t="shared" si="7"/>
        <v>78.057000000000002</v>
      </c>
      <c r="T23" s="93">
        <v>2933</v>
      </c>
      <c r="U23" s="92">
        <v>3717</v>
      </c>
      <c r="V23" s="94"/>
      <c r="W23" s="94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</row>
    <row r="24" spans="1:40" ht="14.25" customHeight="1">
      <c r="A24" s="82">
        <v>10801</v>
      </c>
      <c r="B24" s="83" t="s">
        <v>11</v>
      </c>
      <c r="C24" s="83" t="s">
        <v>48</v>
      </c>
      <c r="D24" s="83" t="s">
        <v>49</v>
      </c>
      <c r="E24" s="103">
        <v>1</v>
      </c>
      <c r="F24" s="104">
        <v>200</v>
      </c>
      <c r="G24" s="84">
        <f t="shared" si="0"/>
        <v>3.4843205574912892E-3</v>
      </c>
      <c r="H24" s="85">
        <f t="shared" si="2"/>
        <v>7.389547038327525E-2</v>
      </c>
      <c r="I24" s="84">
        <f t="shared" si="1"/>
        <v>1.7295053614666205E-2</v>
      </c>
      <c r="J24" s="86">
        <f t="shared" si="3"/>
        <v>16.672431684538221</v>
      </c>
      <c r="K24" s="86">
        <f t="shared" si="4"/>
        <v>4.432195121951219</v>
      </c>
      <c r="M24" s="83">
        <v>8</v>
      </c>
      <c r="N24" s="61" t="s">
        <v>29</v>
      </c>
      <c r="O24" s="61">
        <v>34</v>
      </c>
      <c r="P24" s="61">
        <v>13</v>
      </c>
      <c r="Q24" s="91">
        <f t="shared" si="5"/>
        <v>-7.2246798603026789</v>
      </c>
      <c r="R24" s="91">
        <f t="shared" si="6"/>
        <v>-4.1639004693358501</v>
      </c>
      <c r="S24" s="92">
        <f t="shared" si="7"/>
        <v>48.654000000000003</v>
      </c>
      <c r="T24" s="93">
        <v>545</v>
      </c>
      <c r="U24" s="92">
        <v>1431</v>
      </c>
      <c r="V24" s="94"/>
      <c r="W24" s="94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</row>
    <row r="25" spans="1:40" ht="14.25" customHeight="1">
      <c r="A25" s="82">
        <v>10901</v>
      </c>
      <c r="B25" s="83" t="s">
        <v>11</v>
      </c>
      <c r="C25" s="83" t="s">
        <v>50</v>
      </c>
      <c r="D25" s="83" t="s">
        <v>51</v>
      </c>
      <c r="E25" s="103">
        <v>1</v>
      </c>
      <c r="F25" s="104">
        <v>66</v>
      </c>
      <c r="G25" s="84">
        <f t="shared" si="0"/>
        <v>3.4843205574912892E-3</v>
      </c>
      <c r="H25" s="85">
        <f t="shared" si="2"/>
        <v>7.389547038327525E-2</v>
      </c>
      <c r="I25" s="84">
        <f t="shared" si="1"/>
        <v>5.7073676928398476E-3</v>
      </c>
      <c r="J25" s="86">
        <f t="shared" si="3"/>
        <v>5.5019024558976133</v>
      </c>
      <c r="K25" s="86">
        <f t="shared" si="4"/>
        <v>13.430894308943088</v>
      </c>
      <c r="M25" s="83">
        <v>9</v>
      </c>
      <c r="N25" s="61" t="s">
        <v>31</v>
      </c>
      <c r="O25" s="61">
        <f>43</f>
        <v>43</v>
      </c>
      <c r="P25" s="61">
        <v>10</v>
      </c>
      <c r="Q25" s="91">
        <f t="shared" si="5"/>
        <v>-38.593419506462986</v>
      </c>
      <c r="R25" s="91">
        <f t="shared" si="6"/>
        <v>-2.7072927072927069</v>
      </c>
      <c r="S25" s="92">
        <f t="shared" si="7"/>
        <v>4.2569999999999997</v>
      </c>
      <c r="T25" s="93">
        <v>749</v>
      </c>
      <c r="U25" s="92">
        <v>99</v>
      </c>
      <c r="V25" s="94"/>
      <c r="W25" s="94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</row>
    <row r="26" spans="1:40" ht="14.25" customHeight="1">
      <c r="A26" s="82">
        <v>10902</v>
      </c>
      <c r="B26" s="83" t="s">
        <v>11</v>
      </c>
      <c r="C26" s="83" t="s">
        <v>50</v>
      </c>
      <c r="D26" s="83" t="s">
        <v>52</v>
      </c>
      <c r="E26" s="103">
        <v>7</v>
      </c>
      <c r="F26" s="104">
        <v>410</v>
      </c>
      <c r="G26" s="84">
        <f t="shared" si="0"/>
        <v>2.4390243902439025E-2</v>
      </c>
      <c r="H26" s="85">
        <f t="shared" si="2"/>
        <v>0.51726829268292684</v>
      </c>
      <c r="I26" s="84">
        <f t="shared" si="1"/>
        <v>3.5454859910065722E-2</v>
      </c>
      <c r="J26" s="86">
        <f t="shared" si="3"/>
        <v>34.178484953303354</v>
      </c>
      <c r="K26" s="86">
        <f t="shared" si="4"/>
        <v>15.134324806662701</v>
      </c>
      <c r="M26" s="83">
        <v>11</v>
      </c>
      <c r="N26" s="61" t="s">
        <v>34</v>
      </c>
      <c r="O26" s="61">
        <v>50</v>
      </c>
      <c r="P26" s="61">
        <v>12</v>
      </c>
      <c r="Q26" s="95">
        <f>O12-O26</f>
        <v>-25.557156405018969</v>
      </c>
      <c r="R26" s="95">
        <f>P12-P26</f>
        <v>-1.8857320353444234</v>
      </c>
      <c r="S26" s="92">
        <f t="shared" si="7"/>
        <v>846.95</v>
      </c>
      <c r="T26" s="93">
        <v>16939</v>
      </c>
      <c r="U26" s="92">
        <v>16939</v>
      </c>
      <c r="V26" s="94"/>
      <c r="W26" s="94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</row>
    <row r="27" spans="1:40" ht="14.25" customHeight="1">
      <c r="A27" s="82">
        <v>10903</v>
      </c>
      <c r="B27" s="83" t="s">
        <v>11</v>
      </c>
      <c r="C27" s="83" t="s">
        <v>50</v>
      </c>
      <c r="D27" s="83" t="s">
        <v>53</v>
      </c>
      <c r="E27" s="103">
        <v>1</v>
      </c>
      <c r="F27" s="104">
        <v>69</v>
      </c>
      <c r="G27" s="84">
        <f t="shared" si="0"/>
        <v>3.4843205574912892E-3</v>
      </c>
      <c r="H27" s="85">
        <f t="shared" si="2"/>
        <v>7.389547038327525E-2</v>
      </c>
      <c r="I27" s="84">
        <f t="shared" si="1"/>
        <v>5.966793497059841E-3</v>
      </c>
      <c r="J27" s="86">
        <f t="shared" si="3"/>
        <v>5.7519889311656867</v>
      </c>
      <c r="K27" s="86">
        <f t="shared" si="4"/>
        <v>12.846942382467301</v>
      </c>
      <c r="M27" s="96" t="s">
        <v>470</v>
      </c>
      <c r="N27" s="61" t="s">
        <v>486</v>
      </c>
      <c r="O27" s="61">
        <v>36</v>
      </c>
      <c r="P27" s="61">
        <v>9</v>
      </c>
      <c r="Q27" s="97"/>
      <c r="R27" s="97"/>
      <c r="S27" s="92">
        <f t="shared" si="7"/>
        <v>402.58800000000002</v>
      </c>
      <c r="T27" s="93">
        <v>10905</v>
      </c>
      <c r="U27" s="92">
        <v>11183</v>
      </c>
      <c r="V27" s="94"/>
      <c r="W27" s="94"/>
      <c r="Y27" s="81"/>
      <c r="Z27" s="81"/>
      <c r="AA27" s="81"/>
      <c r="AB27" s="81"/>
      <c r="AC27" s="81"/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</row>
    <row r="28" spans="1:40" ht="14.25" customHeight="1">
      <c r="A28" s="82">
        <v>11001</v>
      </c>
      <c r="B28" s="83" t="s">
        <v>11</v>
      </c>
      <c r="C28" s="83" t="s">
        <v>54</v>
      </c>
      <c r="D28" s="83" t="s">
        <v>55</v>
      </c>
      <c r="E28" s="103">
        <v>4</v>
      </c>
      <c r="F28" s="104">
        <v>206</v>
      </c>
      <c r="G28" s="84">
        <f t="shared" si="0"/>
        <v>1.3937282229965157E-2</v>
      </c>
      <c r="H28" s="85">
        <f t="shared" si="2"/>
        <v>0.295581881533101</v>
      </c>
      <c r="I28" s="84">
        <f t="shared" si="1"/>
        <v>1.7813905223106191E-2</v>
      </c>
      <c r="J28" s="86">
        <f t="shared" si="3"/>
        <v>17.172604635074368</v>
      </c>
      <c r="K28" s="86">
        <f t="shared" si="4"/>
        <v>17.212408240587258</v>
      </c>
      <c r="M28" s="81"/>
      <c r="N28" s="61" t="s">
        <v>487</v>
      </c>
      <c r="O28" s="61">
        <v>67</v>
      </c>
      <c r="P28" s="61">
        <v>17</v>
      </c>
      <c r="Q28" s="97"/>
      <c r="R28" s="97"/>
      <c r="S28" s="92">
        <f t="shared" si="7"/>
        <v>385.65199999999999</v>
      </c>
      <c r="T28" s="93">
        <v>6034</v>
      </c>
      <c r="U28" s="92">
        <v>5756</v>
      </c>
      <c r="V28" s="94"/>
      <c r="W28" s="94"/>
      <c r="Y28" s="81"/>
      <c r="Z28" s="81"/>
      <c r="AA28" s="81"/>
      <c r="AB28" s="81"/>
      <c r="AC28" s="81"/>
      <c r="AD28" s="81"/>
      <c r="AE28" s="81"/>
      <c r="AF28" s="81"/>
      <c r="AG28" s="81"/>
      <c r="AH28" s="81"/>
      <c r="AI28" s="81"/>
      <c r="AJ28" s="81"/>
      <c r="AK28" s="81"/>
      <c r="AL28" s="81"/>
      <c r="AM28" s="81"/>
      <c r="AN28" s="81"/>
    </row>
    <row r="29" spans="1:40" ht="14.25" customHeight="1">
      <c r="A29" s="82">
        <v>11002</v>
      </c>
      <c r="B29" s="83" t="s">
        <v>11</v>
      </c>
      <c r="C29" s="83" t="s">
        <v>54</v>
      </c>
      <c r="D29" s="83" t="s">
        <v>56</v>
      </c>
      <c r="E29" s="103">
        <v>1</v>
      </c>
      <c r="F29" s="104">
        <v>59</v>
      </c>
      <c r="G29" s="84">
        <f t="shared" si="0"/>
        <v>3.4843205574912892E-3</v>
      </c>
      <c r="H29" s="85">
        <f t="shared" si="2"/>
        <v>7.389547038327525E-2</v>
      </c>
      <c r="I29" s="84">
        <f t="shared" si="1"/>
        <v>5.1020408163265302E-3</v>
      </c>
      <c r="J29" s="86">
        <f t="shared" si="3"/>
        <v>4.9183673469387754</v>
      </c>
      <c r="K29" s="86">
        <f t="shared" si="4"/>
        <v>15.024390243902438</v>
      </c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  <c r="AI29" s="81"/>
      <c r="AJ29" s="81"/>
      <c r="AK29" s="81"/>
      <c r="AL29" s="81"/>
      <c r="AM29" s="81"/>
      <c r="AN29" s="81"/>
    </row>
    <row r="30" spans="1:40" ht="14.25" customHeight="1">
      <c r="A30" s="82">
        <v>11003</v>
      </c>
      <c r="B30" s="83" t="s">
        <v>11</v>
      </c>
      <c r="C30" s="83" t="s">
        <v>54</v>
      </c>
      <c r="D30" s="83" t="s">
        <v>57</v>
      </c>
      <c r="E30" s="103">
        <v>1</v>
      </c>
      <c r="F30" s="104">
        <v>143</v>
      </c>
      <c r="G30" s="84">
        <f t="shared" si="0"/>
        <v>3.4843205574912892E-3</v>
      </c>
      <c r="H30" s="85">
        <f t="shared" si="2"/>
        <v>7.389547038327525E-2</v>
      </c>
      <c r="I30" s="84">
        <f t="shared" si="1"/>
        <v>1.2365963334486337E-2</v>
      </c>
      <c r="J30" s="86">
        <f t="shared" si="3"/>
        <v>11.920788654444829</v>
      </c>
      <c r="K30" s="86">
        <f t="shared" si="4"/>
        <v>6.198874296435271</v>
      </c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</row>
    <row r="31" spans="1:40" ht="14.25" customHeight="1">
      <c r="A31" s="82">
        <v>20101</v>
      </c>
      <c r="B31" s="83" t="s">
        <v>15</v>
      </c>
      <c r="C31" s="83" t="s">
        <v>58</v>
      </c>
      <c r="D31" s="83" t="s">
        <v>59</v>
      </c>
      <c r="E31" s="103">
        <v>398</v>
      </c>
      <c r="F31" s="104">
        <v>12733</v>
      </c>
      <c r="G31" s="84">
        <f>E31/$R$3</f>
        <v>0.23072463768115942</v>
      </c>
      <c r="H31" s="85">
        <f>$S$18*G31</f>
        <v>69.819813333333329</v>
      </c>
      <c r="I31" s="84">
        <f>F31/$S$3</f>
        <v>0.23466642093623294</v>
      </c>
      <c r="J31" s="86">
        <f>I31*$U$18</f>
        <v>1203.6040729819388</v>
      </c>
      <c r="K31" s="86">
        <f t="shared" si="4"/>
        <v>58.008954024519191</v>
      </c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  <c r="AI31" s="81"/>
      <c r="AJ31" s="81"/>
      <c r="AK31" s="81"/>
      <c r="AL31" s="81"/>
      <c r="AM31" s="81"/>
      <c r="AN31" s="81"/>
    </row>
    <row r="32" spans="1:40" ht="14.25" customHeight="1">
      <c r="A32" s="82">
        <v>20102</v>
      </c>
      <c r="B32" s="83" t="s">
        <v>15</v>
      </c>
      <c r="C32" s="83" t="s">
        <v>58</v>
      </c>
      <c r="D32" s="83" t="s">
        <v>60</v>
      </c>
      <c r="E32" s="103">
        <v>23</v>
      </c>
      <c r="F32" s="104">
        <v>376</v>
      </c>
      <c r="G32" s="84">
        <f t="shared" ref="G32:G56" si="8">E32/$R$3</f>
        <v>1.3333333333333334E-2</v>
      </c>
      <c r="H32" s="85">
        <f t="shared" ref="H32:H95" si="9">$S$18*G32</f>
        <v>4.0348133333333331</v>
      </c>
      <c r="I32" s="84">
        <f t="shared" ref="I32:I56" si="10">F32/$S$3</f>
        <v>6.9295982307408773E-3</v>
      </c>
      <c r="J32" s="86">
        <f t="shared" ref="J32:J95" si="11">I32*$U$18</f>
        <v>35.541909325469959</v>
      </c>
      <c r="K32" s="86">
        <f t="shared" si="4"/>
        <v>113.52269503546098</v>
      </c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  <c r="AI32" s="81"/>
      <c r="AJ32" s="81"/>
      <c r="AK32" s="81"/>
      <c r="AL32" s="81"/>
      <c r="AM32" s="81"/>
      <c r="AN32" s="81"/>
    </row>
    <row r="33" spans="1:40" ht="14.25" customHeight="1">
      <c r="A33" s="82">
        <v>20103</v>
      </c>
      <c r="B33" s="83" t="s">
        <v>15</v>
      </c>
      <c r="C33" s="83" t="s">
        <v>58</v>
      </c>
      <c r="D33" s="83" t="s">
        <v>61</v>
      </c>
      <c r="E33" s="103">
        <v>11</v>
      </c>
      <c r="F33" s="104">
        <v>293</v>
      </c>
      <c r="G33" s="84">
        <f t="shared" si="8"/>
        <v>6.3768115942028983E-3</v>
      </c>
      <c r="H33" s="85">
        <f t="shared" si="9"/>
        <v>1.9296933333333333</v>
      </c>
      <c r="I33" s="84">
        <f t="shared" si="10"/>
        <v>5.3999262808698857E-3</v>
      </c>
      <c r="J33" s="86">
        <f t="shared" si="11"/>
        <v>27.696221894581644</v>
      </c>
      <c r="K33" s="86">
        <f t="shared" si="4"/>
        <v>69.673522283226987</v>
      </c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</row>
    <row r="34" spans="1:40" ht="14.25" customHeight="1">
      <c r="A34" s="82">
        <v>20104</v>
      </c>
      <c r="B34" s="83" t="s">
        <v>15</v>
      </c>
      <c r="C34" s="83" t="s">
        <v>58</v>
      </c>
      <c r="D34" s="83" t="s">
        <v>62</v>
      </c>
      <c r="E34" s="103">
        <v>25</v>
      </c>
      <c r="F34" s="104">
        <v>467</v>
      </c>
      <c r="G34" s="84">
        <f t="shared" si="8"/>
        <v>1.4492753623188406E-2</v>
      </c>
      <c r="H34" s="85">
        <f t="shared" si="9"/>
        <v>4.3856666666666664</v>
      </c>
      <c r="I34" s="84">
        <f t="shared" si="10"/>
        <v>8.6067084408403983E-3</v>
      </c>
      <c r="J34" s="86">
        <f t="shared" si="11"/>
        <v>44.143807593070406</v>
      </c>
      <c r="K34" s="86">
        <f t="shared" si="4"/>
        <v>99.349532942308272</v>
      </c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</row>
    <row r="35" spans="1:40" ht="14.25" customHeight="1">
      <c r="A35" s="82">
        <v>20105</v>
      </c>
      <c r="B35" s="83" t="s">
        <v>15</v>
      </c>
      <c r="C35" s="83" t="s">
        <v>58</v>
      </c>
      <c r="D35" s="83" t="s">
        <v>63</v>
      </c>
      <c r="E35" s="103">
        <v>575</v>
      </c>
      <c r="F35" s="104">
        <v>19194</v>
      </c>
      <c r="G35" s="84">
        <f t="shared" si="8"/>
        <v>0.33333333333333331</v>
      </c>
      <c r="H35" s="85">
        <f t="shared" si="9"/>
        <v>100.87033333333332</v>
      </c>
      <c r="I35" s="84">
        <f t="shared" si="10"/>
        <v>0.35374124585329891</v>
      </c>
      <c r="J35" s="86">
        <f t="shared" si="11"/>
        <v>1814.3388499815701</v>
      </c>
      <c r="K35" s="86">
        <f t="shared" si="4"/>
        <v>55.596193254836571</v>
      </c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81"/>
      <c r="AK35" s="81"/>
      <c r="AL35" s="81"/>
      <c r="AM35" s="81"/>
      <c r="AN35" s="81"/>
    </row>
    <row r="36" spans="1:40" ht="14.25" customHeight="1">
      <c r="A36" s="82">
        <v>20201</v>
      </c>
      <c r="B36" s="83" t="s">
        <v>15</v>
      </c>
      <c r="C36" s="83" t="s">
        <v>64</v>
      </c>
      <c r="D36" s="83" t="s">
        <v>65</v>
      </c>
      <c r="E36" s="103">
        <v>3</v>
      </c>
      <c r="F36" s="104">
        <v>792</v>
      </c>
      <c r="G36" s="84">
        <f t="shared" si="8"/>
        <v>1.7391304347826088E-3</v>
      </c>
      <c r="H36" s="85">
        <f t="shared" si="9"/>
        <v>0.52627999999999997</v>
      </c>
      <c r="I36" s="84">
        <f t="shared" si="10"/>
        <v>1.4596387762624402E-2</v>
      </c>
      <c r="J36" s="86">
        <f t="shared" si="11"/>
        <v>74.864872834500559</v>
      </c>
      <c r="K36" s="86">
        <f t="shared" si="4"/>
        <v>7.0297321036451459</v>
      </c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  <c r="AI36" s="81"/>
      <c r="AJ36" s="81"/>
      <c r="AK36" s="81"/>
      <c r="AL36" s="81"/>
      <c r="AM36" s="81"/>
      <c r="AN36" s="81"/>
    </row>
    <row r="37" spans="1:40" ht="14.25" customHeight="1">
      <c r="A37" s="82">
        <v>20202</v>
      </c>
      <c r="B37" s="83" t="s">
        <v>15</v>
      </c>
      <c r="C37" s="83" t="s">
        <v>64</v>
      </c>
      <c r="D37" s="83" t="s">
        <v>66</v>
      </c>
      <c r="E37" s="103">
        <v>7</v>
      </c>
      <c r="F37" s="104">
        <v>218</v>
      </c>
      <c r="G37" s="84">
        <f t="shared" si="8"/>
        <v>4.0579710144927538E-3</v>
      </c>
      <c r="H37" s="85">
        <f t="shared" si="9"/>
        <v>1.2279866666666668</v>
      </c>
      <c r="I37" s="84">
        <f t="shared" si="10"/>
        <v>4.0176925912274236E-3</v>
      </c>
      <c r="J37" s="86">
        <f t="shared" si="11"/>
        <v>20.606745300405457</v>
      </c>
      <c r="K37" s="86">
        <f t="shared" si="4"/>
        <v>59.591490493285463</v>
      </c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  <c r="AI37" s="81"/>
      <c r="AJ37" s="81"/>
      <c r="AK37" s="81"/>
      <c r="AL37" s="81"/>
      <c r="AM37" s="81"/>
      <c r="AN37" s="81"/>
    </row>
    <row r="38" spans="1:40" ht="14.25" customHeight="1">
      <c r="A38" s="82">
        <v>20203</v>
      </c>
      <c r="B38" s="83" t="s">
        <v>15</v>
      </c>
      <c r="C38" s="83" t="s">
        <v>64</v>
      </c>
      <c r="D38" s="83" t="s">
        <v>67</v>
      </c>
      <c r="E38" s="103">
        <v>3</v>
      </c>
      <c r="F38" s="104">
        <v>99</v>
      </c>
      <c r="G38" s="84">
        <f t="shared" si="8"/>
        <v>1.7391304347826088E-3</v>
      </c>
      <c r="H38" s="85">
        <f t="shared" si="9"/>
        <v>0.52627999999999997</v>
      </c>
      <c r="I38" s="84">
        <f t="shared" si="10"/>
        <v>1.8245484703280502E-3</v>
      </c>
      <c r="J38" s="86">
        <f t="shared" si="11"/>
        <v>9.3581091043125699</v>
      </c>
      <c r="K38" s="86">
        <f t="shared" si="4"/>
        <v>56.237856829161167</v>
      </c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</row>
    <row r="39" spans="1:40" ht="14.25" customHeight="1">
      <c r="A39" s="82">
        <v>20204</v>
      </c>
      <c r="B39" s="83" t="s">
        <v>15</v>
      </c>
      <c r="C39" s="83" t="s">
        <v>64</v>
      </c>
      <c r="D39" s="83" t="s">
        <v>68</v>
      </c>
      <c r="E39" s="103">
        <v>4</v>
      </c>
      <c r="F39" s="104">
        <v>110</v>
      </c>
      <c r="G39" s="84">
        <f t="shared" si="8"/>
        <v>2.3188405797101449E-3</v>
      </c>
      <c r="H39" s="85">
        <f t="shared" si="9"/>
        <v>0.70170666666666659</v>
      </c>
      <c r="I39" s="84">
        <f t="shared" si="10"/>
        <v>2.027276078142278E-3</v>
      </c>
      <c r="J39" s="86">
        <f t="shared" si="11"/>
        <v>10.397899004791745</v>
      </c>
      <c r="K39" s="86">
        <f t="shared" si="4"/>
        <v>67.485428194993403</v>
      </c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  <c r="AI39" s="81"/>
      <c r="AJ39" s="81"/>
      <c r="AK39" s="81"/>
      <c r="AL39" s="81"/>
      <c r="AM39" s="81"/>
      <c r="AN39" s="81"/>
    </row>
    <row r="40" spans="1:40" ht="14.25" customHeight="1">
      <c r="A40" s="82">
        <v>20205</v>
      </c>
      <c r="B40" s="83" t="s">
        <v>15</v>
      </c>
      <c r="C40" s="83" t="s">
        <v>64</v>
      </c>
      <c r="D40" s="83" t="s">
        <v>69</v>
      </c>
      <c r="E40" s="103">
        <v>0</v>
      </c>
      <c r="F40" s="104">
        <v>58</v>
      </c>
      <c r="G40" s="84">
        <f t="shared" si="8"/>
        <v>0</v>
      </c>
      <c r="H40" s="85">
        <f t="shared" si="9"/>
        <v>0</v>
      </c>
      <c r="I40" s="84">
        <f t="shared" si="10"/>
        <v>1.0689273866568375E-3</v>
      </c>
      <c r="J40" s="86">
        <f t="shared" si="11"/>
        <v>5.4825285661629195</v>
      </c>
      <c r="K40" s="86">
        <f t="shared" si="4"/>
        <v>0</v>
      </c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</row>
    <row r="41" spans="1:40" ht="14.25" customHeight="1">
      <c r="A41" s="82">
        <v>20206</v>
      </c>
      <c r="B41" s="83" t="s">
        <v>15</v>
      </c>
      <c r="C41" s="83" t="s">
        <v>64</v>
      </c>
      <c r="D41" s="83" t="s">
        <v>70</v>
      </c>
      <c r="E41" s="103">
        <v>2</v>
      </c>
      <c r="F41" s="104">
        <v>74</v>
      </c>
      <c r="G41" s="84">
        <f t="shared" si="8"/>
        <v>1.1594202898550724E-3</v>
      </c>
      <c r="H41" s="85">
        <f t="shared" si="9"/>
        <v>0.35085333333333329</v>
      </c>
      <c r="I41" s="84">
        <f t="shared" si="10"/>
        <v>1.363803907113896E-3</v>
      </c>
      <c r="J41" s="86">
        <f t="shared" si="11"/>
        <v>6.9949502395871725</v>
      </c>
      <c r="K41" s="86">
        <f t="shared" si="4"/>
        <v>50.158088523305913</v>
      </c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  <c r="AI41" s="81"/>
      <c r="AJ41" s="81"/>
      <c r="AK41" s="81"/>
      <c r="AL41" s="81"/>
      <c r="AM41" s="81"/>
      <c r="AN41" s="81"/>
    </row>
    <row r="42" spans="1:40" ht="14.25" customHeight="1">
      <c r="A42" s="82">
        <v>20301</v>
      </c>
      <c r="B42" s="83" t="s">
        <v>15</v>
      </c>
      <c r="C42" s="83" t="s">
        <v>71</v>
      </c>
      <c r="D42" s="83" t="s">
        <v>72</v>
      </c>
      <c r="E42" s="103">
        <v>2</v>
      </c>
      <c r="F42" s="104">
        <v>179</v>
      </c>
      <c r="G42" s="84">
        <f t="shared" si="8"/>
        <v>1.1594202898550724E-3</v>
      </c>
      <c r="H42" s="85">
        <f t="shared" si="9"/>
        <v>0.35085333333333329</v>
      </c>
      <c r="I42" s="84">
        <f t="shared" si="10"/>
        <v>3.298931072613343E-3</v>
      </c>
      <c r="J42" s="86">
        <f t="shared" si="11"/>
        <v>16.920217471433837</v>
      </c>
      <c r="K42" s="86">
        <f t="shared" si="4"/>
        <v>20.735746093433729</v>
      </c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  <c r="AI42" s="81"/>
      <c r="AJ42" s="81"/>
      <c r="AK42" s="81"/>
      <c r="AL42" s="81"/>
      <c r="AM42" s="81"/>
      <c r="AN42" s="81"/>
    </row>
    <row r="43" spans="1:40" ht="14.25" customHeight="1">
      <c r="A43" s="82">
        <v>20302</v>
      </c>
      <c r="B43" s="83" t="s">
        <v>15</v>
      </c>
      <c r="C43" s="83" t="s">
        <v>71</v>
      </c>
      <c r="D43" s="83" t="s">
        <v>73</v>
      </c>
      <c r="E43" s="103">
        <v>4</v>
      </c>
      <c r="F43" s="104">
        <v>250</v>
      </c>
      <c r="G43" s="84">
        <f t="shared" si="8"/>
        <v>2.3188405797101449E-3</v>
      </c>
      <c r="H43" s="85">
        <f t="shared" si="9"/>
        <v>0.70170666666666659</v>
      </c>
      <c r="I43" s="84">
        <f t="shared" si="10"/>
        <v>4.6074456321415404E-3</v>
      </c>
      <c r="J43" s="86">
        <f t="shared" si="11"/>
        <v>23.63158864725396</v>
      </c>
      <c r="K43" s="86">
        <f t="shared" si="4"/>
        <v>29.693588405797101</v>
      </c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  <c r="AI43" s="81"/>
      <c r="AJ43" s="81"/>
      <c r="AK43" s="81"/>
      <c r="AL43" s="81"/>
      <c r="AM43" s="81"/>
      <c r="AN43" s="81"/>
    </row>
    <row r="44" spans="1:40" ht="14.25" customHeight="1">
      <c r="A44" s="82">
        <v>20303</v>
      </c>
      <c r="B44" s="83" t="s">
        <v>15</v>
      </c>
      <c r="C44" s="83" t="s">
        <v>71</v>
      </c>
      <c r="D44" s="83" t="s">
        <v>74</v>
      </c>
      <c r="E44" s="103">
        <v>0</v>
      </c>
      <c r="F44" s="104">
        <v>173</v>
      </c>
      <c r="G44" s="84">
        <f t="shared" si="8"/>
        <v>0</v>
      </c>
      <c r="H44" s="85">
        <f t="shared" si="9"/>
        <v>0</v>
      </c>
      <c r="I44" s="84">
        <f t="shared" si="10"/>
        <v>3.1883523774419464E-3</v>
      </c>
      <c r="J44" s="86">
        <f t="shared" si="11"/>
        <v>16.353059343899744</v>
      </c>
      <c r="K44" s="86">
        <f t="shared" si="4"/>
        <v>0</v>
      </c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</row>
    <row r="45" spans="1:40" ht="14.25" customHeight="1">
      <c r="A45" s="82">
        <v>20304</v>
      </c>
      <c r="B45" s="83" t="s">
        <v>15</v>
      </c>
      <c r="C45" s="83" t="s">
        <v>71</v>
      </c>
      <c r="D45" s="83" t="s">
        <v>75</v>
      </c>
      <c r="E45" s="103">
        <v>0</v>
      </c>
      <c r="F45" s="104">
        <v>68</v>
      </c>
      <c r="G45" s="84">
        <f t="shared" si="8"/>
        <v>0</v>
      </c>
      <c r="H45" s="85">
        <f t="shared" si="9"/>
        <v>0</v>
      </c>
      <c r="I45" s="84">
        <f t="shared" si="10"/>
        <v>1.2532252119424991E-3</v>
      </c>
      <c r="J45" s="86">
        <f t="shared" si="11"/>
        <v>6.4277921120530781</v>
      </c>
      <c r="K45" s="86">
        <f t="shared" si="4"/>
        <v>0</v>
      </c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  <c r="AI45" s="81"/>
      <c r="AJ45" s="81"/>
      <c r="AK45" s="81"/>
      <c r="AL45" s="81"/>
      <c r="AM45" s="81"/>
      <c r="AN45" s="81"/>
    </row>
    <row r="46" spans="1:40" ht="14.25" customHeight="1">
      <c r="A46" s="82">
        <v>20305</v>
      </c>
      <c r="B46" s="83" t="s">
        <v>15</v>
      </c>
      <c r="C46" s="83" t="s">
        <v>71</v>
      </c>
      <c r="D46" s="83" t="s">
        <v>76</v>
      </c>
      <c r="E46" s="103">
        <v>0</v>
      </c>
      <c r="F46" s="104">
        <v>62</v>
      </c>
      <c r="G46" s="84">
        <f t="shared" si="8"/>
        <v>0</v>
      </c>
      <c r="H46" s="85">
        <f t="shared" si="9"/>
        <v>0</v>
      </c>
      <c r="I46" s="84">
        <f t="shared" si="10"/>
        <v>1.142646516771102E-3</v>
      </c>
      <c r="J46" s="86">
        <f t="shared" si="11"/>
        <v>5.8606339845189819</v>
      </c>
      <c r="K46" s="86">
        <f t="shared" si="4"/>
        <v>0</v>
      </c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</row>
    <row r="47" spans="1:40" ht="14.25" customHeight="1">
      <c r="A47" s="82">
        <v>20306</v>
      </c>
      <c r="B47" s="83" t="s">
        <v>15</v>
      </c>
      <c r="C47" s="83" t="s">
        <v>71</v>
      </c>
      <c r="D47" s="83" t="s">
        <v>77</v>
      </c>
      <c r="E47" s="103">
        <v>2</v>
      </c>
      <c r="F47" s="104">
        <v>103</v>
      </c>
      <c r="G47" s="84">
        <f t="shared" si="8"/>
        <v>1.1594202898550724E-3</v>
      </c>
      <c r="H47" s="85">
        <f t="shared" si="9"/>
        <v>0.35085333333333329</v>
      </c>
      <c r="I47" s="84">
        <f t="shared" si="10"/>
        <v>1.8982676004423147E-3</v>
      </c>
      <c r="J47" s="86">
        <f t="shared" si="11"/>
        <v>9.7362145226686323</v>
      </c>
      <c r="K47" s="86">
        <f t="shared" si="4"/>
        <v>36.035908259462502</v>
      </c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  <c r="AB47" s="81"/>
      <c r="AC47" s="81"/>
      <c r="AD47" s="81"/>
      <c r="AE47" s="81"/>
      <c r="AF47" s="81"/>
      <c r="AG47" s="81"/>
      <c r="AH47" s="81"/>
      <c r="AI47" s="81"/>
      <c r="AJ47" s="81"/>
      <c r="AK47" s="81"/>
      <c r="AL47" s="81"/>
      <c r="AM47" s="81"/>
      <c r="AN47" s="81"/>
    </row>
    <row r="48" spans="1:40" ht="14.25" customHeight="1">
      <c r="A48" s="82">
        <v>20307</v>
      </c>
      <c r="B48" s="83" t="s">
        <v>15</v>
      </c>
      <c r="C48" s="83" t="s">
        <v>71</v>
      </c>
      <c r="D48" s="83" t="s">
        <v>78</v>
      </c>
      <c r="E48" s="103">
        <v>0</v>
      </c>
      <c r="F48" s="104">
        <v>13</v>
      </c>
      <c r="G48" s="84">
        <f t="shared" si="8"/>
        <v>0</v>
      </c>
      <c r="H48" s="85">
        <f t="shared" si="9"/>
        <v>0</v>
      </c>
      <c r="I48" s="84">
        <f t="shared" si="10"/>
        <v>2.3958717287136011E-4</v>
      </c>
      <c r="J48" s="86">
        <f t="shared" si="11"/>
        <v>1.228842609657206</v>
      </c>
      <c r="K48" s="86">
        <f t="shared" si="4"/>
        <v>0</v>
      </c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  <c r="AA48" s="81"/>
      <c r="AB48" s="81"/>
      <c r="AC48" s="81"/>
      <c r="AD48" s="81"/>
      <c r="AE48" s="81"/>
      <c r="AF48" s="81"/>
      <c r="AG48" s="81"/>
      <c r="AH48" s="81"/>
      <c r="AI48" s="81"/>
      <c r="AJ48" s="81"/>
      <c r="AK48" s="81"/>
      <c r="AL48" s="81"/>
      <c r="AM48" s="81"/>
      <c r="AN48" s="81"/>
    </row>
    <row r="49" spans="1:40" ht="14.25" customHeight="1">
      <c r="A49" s="82">
        <v>20308</v>
      </c>
      <c r="B49" s="83" t="s">
        <v>15</v>
      </c>
      <c r="C49" s="83" t="s">
        <v>71</v>
      </c>
      <c r="D49" s="83" t="s">
        <v>79</v>
      </c>
      <c r="E49" s="103">
        <v>0</v>
      </c>
      <c r="F49" s="104">
        <v>101</v>
      </c>
      <c r="G49" s="84">
        <f t="shared" si="8"/>
        <v>0</v>
      </c>
      <c r="H49" s="85">
        <f t="shared" si="9"/>
        <v>0</v>
      </c>
      <c r="I49" s="84">
        <f t="shared" si="10"/>
        <v>1.8614080353851824E-3</v>
      </c>
      <c r="J49" s="86">
        <f t="shared" si="11"/>
        <v>9.5471618134906002</v>
      </c>
      <c r="K49" s="86">
        <f t="shared" si="4"/>
        <v>0</v>
      </c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  <c r="AA49" s="81"/>
      <c r="AB49" s="81"/>
      <c r="AC49" s="81"/>
      <c r="AD49" s="81"/>
      <c r="AE49" s="81"/>
      <c r="AF49" s="81"/>
      <c r="AG49" s="81"/>
      <c r="AH49" s="81"/>
      <c r="AI49" s="81"/>
      <c r="AJ49" s="81"/>
      <c r="AK49" s="81"/>
      <c r="AL49" s="81"/>
      <c r="AM49" s="81"/>
      <c r="AN49" s="81"/>
    </row>
    <row r="50" spans="1:40" ht="14.25" customHeight="1">
      <c r="A50" s="82">
        <v>20401</v>
      </c>
      <c r="B50" s="83" t="s">
        <v>15</v>
      </c>
      <c r="C50" s="83" t="s">
        <v>80</v>
      </c>
      <c r="D50" s="83" t="s">
        <v>81</v>
      </c>
      <c r="E50" s="103">
        <v>6</v>
      </c>
      <c r="F50" s="104">
        <v>157</v>
      </c>
      <c r="G50" s="84">
        <f t="shared" si="8"/>
        <v>3.4782608695652175E-3</v>
      </c>
      <c r="H50" s="85">
        <f t="shared" si="9"/>
        <v>1.0525599999999999</v>
      </c>
      <c r="I50" s="84">
        <f t="shared" si="10"/>
        <v>2.8934758569848875E-3</v>
      </c>
      <c r="J50" s="86">
        <f t="shared" si="11"/>
        <v>14.840637670475488</v>
      </c>
      <c r="K50" s="86">
        <f t="shared" si="4"/>
        <v>70.924176128496256</v>
      </c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  <c r="AA50" s="81"/>
      <c r="AB50" s="81"/>
      <c r="AC50" s="81"/>
      <c r="AD50" s="81"/>
      <c r="AE50" s="81"/>
      <c r="AF50" s="81"/>
      <c r="AG50" s="81"/>
      <c r="AH50" s="81"/>
      <c r="AI50" s="81"/>
      <c r="AJ50" s="81"/>
      <c r="AK50" s="81"/>
      <c r="AL50" s="81"/>
      <c r="AM50" s="81"/>
      <c r="AN50" s="81"/>
    </row>
    <row r="51" spans="1:40" ht="14.25" customHeight="1">
      <c r="A51" s="82">
        <v>20402</v>
      </c>
      <c r="B51" s="83" t="s">
        <v>15</v>
      </c>
      <c r="C51" s="83" t="s">
        <v>80</v>
      </c>
      <c r="D51" s="83" t="s">
        <v>82</v>
      </c>
      <c r="E51" s="103">
        <v>14</v>
      </c>
      <c r="F51" s="104">
        <v>267</v>
      </c>
      <c r="G51" s="84">
        <f t="shared" si="8"/>
        <v>8.1159420289855077E-3</v>
      </c>
      <c r="H51" s="85">
        <f t="shared" si="9"/>
        <v>2.4559733333333336</v>
      </c>
      <c r="I51" s="84">
        <f t="shared" si="10"/>
        <v>4.9207519351271659E-3</v>
      </c>
      <c r="J51" s="86">
        <f t="shared" si="11"/>
        <v>25.238536675267234</v>
      </c>
      <c r="K51" s="86">
        <f t="shared" si="4"/>
        <v>97.310448895402473</v>
      </c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  <c r="AA51" s="81"/>
      <c r="AB51" s="81"/>
      <c r="AC51" s="81"/>
      <c r="AD51" s="81"/>
      <c r="AE51" s="81"/>
      <c r="AF51" s="81"/>
      <c r="AG51" s="81"/>
      <c r="AH51" s="81"/>
      <c r="AI51" s="81"/>
      <c r="AJ51" s="81"/>
      <c r="AK51" s="81"/>
      <c r="AL51" s="81"/>
      <c r="AM51" s="81"/>
      <c r="AN51" s="81"/>
    </row>
    <row r="52" spans="1:40" ht="14.25" customHeight="1">
      <c r="A52" s="82">
        <v>20403</v>
      </c>
      <c r="B52" s="83" t="s">
        <v>15</v>
      </c>
      <c r="C52" s="83" t="s">
        <v>80</v>
      </c>
      <c r="D52" s="83" t="s">
        <v>83</v>
      </c>
      <c r="E52" s="103">
        <v>14</v>
      </c>
      <c r="F52" s="104">
        <v>229</v>
      </c>
      <c r="G52" s="84">
        <f t="shared" si="8"/>
        <v>8.1159420289855077E-3</v>
      </c>
      <c r="H52" s="85">
        <f t="shared" si="9"/>
        <v>2.4559733333333336</v>
      </c>
      <c r="I52" s="84">
        <f t="shared" si="10"/>
        <v>4.2204201990416511E-3</v>
      </c>
      <c r="J52" s="86">
        <f t="shared" si="11"/>
        <v>21.646535200884628</v>
      </c>
      <c r="K52" s="86">
        <f t="shared" si="4"/>
        <v>113.45803430162648</v>
      </c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  <c r="AA52" s="81"/>
      <c r="AB52" s="81"/>
      <c r="AC52" s="81"/>
      <c r="AD52" s="81"/>
      <c r="AE52" s="81"/>
      <c r="AF52" s="81"/>
      <c r="AG52" s="81"/>
      <c r="AH52" s="81"/>
      <c r="AI52" s="81"/>
      <c r="AJ52" s="81"/>
      <c r="AK52" s="81"/>
      <c r="AL52" s="81"/>
      <c r="AM52" s="81"/>
      <c r="AN52" s="81"/>
    </row>
    <row r="53" spans="1:40" ht="14.25" customHeight="1">
      <c r="A53" s="82">
        <v>20404</v>
      </c>
      <c r="B53" s="83" t="s">
        <v>15</v>
      </c>
      <c r="C53" s="83" t="s">
        <v>80</v>
      </c>
      <c r="D53" s="83" t="s">
        <v>84</v>
      </c>
      <c r="E53" s="103">
        <v>9</v>
      </c>
      <c r="F53" s="104">
        <v>103</v>
      </c>
      <c r="G53" s="84">
        <f t="shared" si="8"/>
        <v>5.2173913043478265E-3</v>
      </c>
      <c r="H53" s="85">
        <f t="shared" si="9"/>
        <v>1.57884</v>
      </c>
      <c r="I53" s="84">
        <f t="shared" si="10"/>
        <v>1.8982676004423147E-3</v>
      </c>
      <c r="J53" s="86">
        <f t="shared" si="11"/>
        <v>9.7362145226686323</v>
      </c>
      <c r="K53" s="86">
        <f t="shared" si="4"/>
        <v>162.16158716758125</v>
      </c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  <c r="AA53" s="81"/>
      <c r="AB53" s="81"/>
      <c r="AC53" s="81"/>
      <c r="AD53" s="81"/>
      <c r="AE53" s="81"/>
      <c r="AF53" s="81"/>
      <c r="AG53" s="81"/>
      <c r="AH53" s="81"/>
      <c r="AI53" s="81"/>
      <c r="AJ53" s="81"/>
      <c r="AK53" s="81"/>
      <c r="AL53" s="81"/>
      <c r="AM53" s="81"/>
      <c r="AN53" s="81"/>
    </row>
    <row r="54" spans="1:40" ht="14.25" customHeight="1">
      <c r="A54" s="82">
        <v>20405</v>
      </c>
      <c r="B54" s="83" t="s">
        <v>15</v>
      </c>
      <c r="C54" s="83" t="s">
        <v>80</v>
      </c>
      <c r="D54" s="83" t="s">
        <v>85</v>
      </c>
      <c r="E54" s="103">
        <v>3</v>
      </c>
      <c r="F54" s="104">
        <v>90</v>
      </c>
      <c r="G54" s="84">
        <f t="shared" si="8"/>
        <v>1.7391304347826088E-3</v>
      </c>
      <c r="H54" s="85">
        <f t="shared" si="9"/>
        <v>0.52627999999999997</v>
      </c>
      <c r="I54" s="84">
        <f t="shared" si="10"/>
        <v>1.6586804275709546E-3</v>
      </c>
      <c r="J54" s="86">
        <f t="shared" si="11"/>
        <v>8.5073719130114256</v>
      </c>
      <c r="K54" s="86">
        <f t="shared" si="4"/>
        <v>61.861642512077296</v>
      </c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  <c r="AB54" s="81"/>
      <c r="AC54" s="81"/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</row>
    <row r="55" spans="1:40" ht="14.25" customHeight="1">
      <c r="A55" s="82">
        <v>20501</v>
      </c>
      <c r="B55" s="83" t="s">
        <v>15</v>
      </c>
      <c r="C55" s="83" t="s">
        <v>86</v>
      </c>
      <c r="D55" s="83" t="s">
        <v>87</v>
      </c>
      <c r="E55" s="103">
        <v>7</v>
      </c>
      <c r="F55" s="104">
        <v>233</v>
      </c>
      <c r="G55" s="84">
        <f t="shared" si="8"/>
        <v>4.0579710144927538E-3</v>
      </c>
      <c r="H55" s="85">
        <f t="shared" si="9"/>
        <v>1.2279866666666668</v>
      </c>
      <c r="I55" s="84">
        <f t="shared" si="10"/>
        <v>4.2941393291559158E-3</v>
      </c>
      <c r="J55" s="86">
        <f t="shared" si="11"/>
        <v>22.024640619240692</v>
      </c>
      <c r="K55" s="86">
        <f t="shared" si="4"/>
        <v>55.75512844436151</v>
      </c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  <c r="AA55" s="81"/>
      <c r="AB55" s="81"/>
      <c r="AC55" s="81"/>
      <c r="AD55" s="81"/>
      <c r="AE55" s="81"/>
      <c r="AF55" s="81"/>
      <c r="AG55" s="81"/>
      <c r="AH55" s="81"/>
      <c r="AI55" s="81"/>
      <c r="AJ55" s="81"/>
      <c r="AK55" s="81"/>
      <c r="AL55" s="81"/>
      <c r="AM55" s="81"/>
      <c r="AN55" s="81"/>
    </row>
    <row r="56" spans="1:40" ht="14.25" customHeight="1">
      <c r="A56" s="82">
        <v>20502</v>
      </c>
      <c r="B56" s="83" t="s">
        <v>15</v>
      </c>
      <c r="C56" s="83" t="s">
        <v>86</v>
      </c>
      <c r="D56" s="83" t="s">
        <v>88</v>
      </c>
      <c r="E56" s="103">
        <v>10</v>
      </c>
      <c r="F56" s="104">
        <v>209</v>
      </c>
      <c r="G56" s="84">
        <f t="shared" si="8"/>
        <v>5.7971014492753624E-3</v>
      </c>
      <c r="H56" s="85">
        <f t="shared" si="9"/>
        <v>1.7542666666666666</v>
      </c>
      <c r="I56" s="84">
        <f t="shared" si="10"/>
        <v>3.851824548470328E-3</v>
      </c>
      <c r="J56" s="86">
        <f t="shared" si="11"/>
        <v>19.756008109104311</v>
      </c>
      <c r="K56" s="86">
        <f t="shared" si="4"/>
        <v>88.796616046043965</v>
      </c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  <c r="AA56" s="81"/>
      <c r="AB56" s="81"/>
      <c r="AC56" s="81"/>
      <c r="AD56" s="81"/>
      <c r="AE56" s="81"/>
      <c r="AF56" s="81"/>
      <c r="AG56" s="81"/>
      <c r="AH56" s="81"/>
      <c r="AI56" s="81"/>
      <c r="AJ56" s="81"/>
      <c r="AK56" s="81"/>
      <c r="AL56" s="81"/>
      <c r="AM56" s="81"/>
      <c r="AN56" s="81"/>
    </row>
    <row r="57" spans="1:40" ht="14.25" customHeight="1">
      <c r="A57" s="82">
        <v>20503</v>
      </c>
      <c r="B57" s="83" t="s">
        <v>15</v>
      </c>
      <c r="C57" s="83" t="s">
        <v>86</v>
      </c>
      <c r="D57" s="83" t="s">
        <v>89</v>
      </c>
      <c r="E57" s="103">
        <v>4</v>
      </c>
      <c r="F57" s="104">
        <v>105</v>
      </c>
      <c r="G57" s="84">
        <f>E57/$R$3</f>
        <v>2.3188405797101449E-3</v>
      </c>
      <c r="H57" s="85">
        <f>$S$18*G57</f>
        <v>0.70170666666666659</v>
      </c>
      <c r="I57" s="84">
        <f>F57/$S$3</f>
        <v>1.9351271654994471E-3</v>
      </c>
      <c r="J57" s="86">
        <f>I57*$U$18</f>
        <v>9.9252672318466644</v>
      </c>
      <c r="K57" s="86">
        <f t="shared" si="4"/>
        <v>70.69902001380261</v>
      </c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  <c r="AD57" s="81"/>
      <c r="AE57" s="81"/>
      <c r="AF57" s="81"/>
      <c r="AG57" s="81"/>
      <c r="AH57" s="81"/>
      <c r="AI57" s="81"/>
      <c r="AJ57" s="81"/>
      <c r="AK57" s="81"/>
      <c r="AL57" s="81"/>
      <c r="AM57" s="81"/>
      <c r="AN57" s="81"/>
    </row>
    <row r="58" spans="1:40" ht="14.25" customHeight="1">
      <c r="A58" s="82">
        <v>20601</v>
      </c>
      <c r="B58" s="83" t="s">
        <v>15</v>
      </c>
      <c r="C58" s="83" t="s">
        <v>90</v>
      </c>
      <c r="D58" s="83" t="s">
        <v>91</v>
      </c>
      <c r="E58" s="103">
        <v>20</v>
      </c>
      <c r="F58" s="104">
        <v>460</v>
      </c>
      <c r="G58" s="84">
        <f t="shared" ref="G58:G67" si="12">E58/$R$3</f>
        <v>1.1594202898550725E-2</v>
      </c>
      <c r="H58" s="85">
        <f t="shared" si="9"/>
        <v>3.5085333333333333</v>
      </c>
      <c r="I58" s="84">
        <f t="shared" ref="I58:I67" si="13">F58/$S$3</f>
        <v>8.4776999631404355E-3</v>
      </c>
      <c r="J58" s="86">
        <f t="shared" si="11"/>
        <v>43.482123110947292</v>
      </c>
      <c r="K58" s="86">
        <f t="shared" si="4"/>
        <v>80.689098928796469</v>
      </c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  <c r="AB58" s="81"/>
      <c r="AC58" s="81"/>
      <c r="AD58" s="81"/>
      <c r="AE58" s="81"/>
      <c r="AF58" s="81"/>
      <c r="AG58" s="81"/>
      <c r="AH58" s="81"/>
      <c r="AI58" s="81"/>
      <c r="AJ58" s="81"/>
      <c r="AK58" s="81"/>
      <c r="AL58" s="81"/>
      <c r="AM58" s="81"/>
      <c r="AN58" s="81"/>
    </row>
    <row r="59" spans="1:40" ht="14.25" customHeight="1">
      <c r="A59" s="82">
        <v>20602</v>
      </c>
      <c r="B59" s="83" t="s">
        <v>15</v>
      </c>
      <c r="C59" s="83" t="s">
        <v>90</v>
      </c>
      <c r="D59" s="83" t="s">
        <v>92</v>
      </c>
      <c r="E59" s="103">
        <v>25</v>
      </c>
      <c r="F59" s="104">
        <v>321</v>
      </c>
      <c r="G59" s="84">
        <f t="shared" si="12"/>
        <v>1.4492753623188406E-2</v>
      </c>
      <c r="H59" s="85">
        <f t="shared" si="9"/>
        <v>4.3856666666666664</v>
      </c>
      <c r="I59" s="84">
        <f t="shared" si="13"/>
        <v>5.9159601916697387E-3</v>
      </c>
      <c r="J59" s="86">
        <f t="shared" si="11"/>
        <v>30.342959823074089</v>
      </c>
      <c r="K59" s="86">
        <f t="shared" si="4"/>
        <v>144.53654792541423</v>
      </c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  <c r="AD59" s="81"/>
      <c r="AE59" s="81"/>
      <c r="AF59" s="81"/>
      <c r="AG59" s="81"/>
      <c r="AH59" s="81"/>
      <c r="AI59" s="81"/>
      <c r="AJ59" s="81"/>
      <c r="AK59" s="81"/>
      <c r="AL59" s="81"/>
      <c r="AM59" s="81"/>
      <c r="AN59" s="81"/>
    </row>
    <row r="60" spans="1:40" ht="14.25" customHeight="1">
      <c r="A60" s="82">
        <v>20603</v>
      </c>
      <c r="B60" s="83" t="s">
        <v>15</v>
      </c>
      <c r="C60" s="83" t="s">
        <v>90</v>
      </c>
      <c r="D60" s="83" t="s">
        <v>93</v>
      </c>
      <c r="E60" s="103">
        <v>7</v>
      </c>
      <c r="F60" s="104">
        <v>182</v>
      </c>
      <c r="G60" s="84">
        <f t="shared" si="12"/>
        <v>4.0579710144927538E-3</v>
      </c>
      <c r="H60" s="85">
        <f t="shared" si="9"/>
        <v>1.2279866666666668</v>
      </c>
      <c r="I60" s="84">
        <f t="shared" si="13"/>
        <v>3.3542204201990416E-3</v>
      </c>
      <c r="J60" s="86">
        <f t="shared" si="11"/>
        <v>17.203796535200883</v>
      </c>
      <c r="K60" s="86">
        <f t="shared" si="4"/>
        <v>71.378818283166112</v>
      </c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  <c r="AD60" s="81"/>
      <c r="AE60" s="81"/>
      <c r="AF60" s="81"/>
      <c r="AG60" s="81"/>
      <c r="AH60" s="81"/>
      <c r="AI60" s="81"/>
      <c r="AJ60" s="81"/>
      <c r="AK60" s="81"/>
      <c r="AL60" s="81"/>
      <c r="AM60" s="81"/>
      <c r="AN60" s="81"/>
    </row>
    <row r="61" spans="1:40" ht="14.25" customHeight="1">
      <c r="A61" s="82">
        <v>20604</v>
      </c>
      <c r="B61" s="83" t="s">
        <v>15</v>
      </c>
      <c r="C61" s="83" t="s">
        <v>90</v>
      </c>
      <c r="D61" s="83" t="s">
        <v>94</v>
      </c>
      <c r="E61" s="103">
        <v>5</v>
      </c>
      <c r="F61" s="104">
        <v>53</v>
      </c>
      <c r="G61" s="84">
        <f t="shared" si="12"/>
        <v>2.8985507246376812E-3</v>
      </c>
      <c r="H61" s="85">
        <f t="shared" si="9"/>
        <v>0.87713333333333332</v>
      </c>
      <c r="I61" s="84">
        <f t="shared" si="13"/>
        <v>9.7677847401400663E-4</v>
      </c>
      <c r="J61" s="86">
        <f t="shared" si="11"/>
        <v>5.0098967932178402</v>
      </c>
      <c r="K61" s="86">
        <f t="shared" si="4"/>
        <v>175.08012031719988</v>
      </c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  <c r="AD61" s="81"/>
      <c r="AE61" s="81"/>
      <c r="AF61" s="81"/>
      <c r="AG61" s="81"/>
      <c r="AH61" s="81"/>
      <c r="AI61" s="81"/>
      <c r="AJ61" s="81"/>
      <c r="AK61" s="81"/>
      <c r="AL61" s="81"/>
      <c r="AM61" s="81"/>
      <c r="AN61" s="81"/>
    </row>
    <row r="62" spans="1:40" ht="14.25" customHeight="1">
      <c r="A62" s="82">
        <v>20605</v>
      </c>
      <c r="B62" s="83" t="s">
        <v>15</v>
      </c>
      <c r="C62" s="83" t="s">
        <v>90</v>
      </c>
      <c r="D62" s="83" t="s">
        <v>95</v>
      </c>
      <c r="E62" s="103">
        <v>2</v>
      </c>
      <c r="F62" s="104">
        <v>51</v>
      </c>
      <c r="G62" s="84">
        <f t="shared" si="12"/>
        <v>1.1594202898550724E-3</v>
      </c>
      <c r="H62" s="85">
        <f t="shared" si="9"/>
        <v>0.35085333333333329</v>
      </c>
      <c r="I62" s="84">
        <f t="shared" si="13"/>
        <v>9.3991890895687427E-4</v>
      </c>
      <c r="J62" s="86">
        <f t="shared" si="11"/>
        <v>4.8208440840398081</v>
      </c>
      <c r="K62" s="86">
        <f t="shared" si="4"/>
        <v>72.778402955385047</v>
      </c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  <c r="AD62" s="81"/>
      <c r="AE62" s="81"/>
      <c r="AF62" s="81"/>
      <c r="AG62" s="81"/>
      <c r="AH62" s="81"/>
      <c r="AI62" s="81"/>
      <c r="AJ62" s="81"/>
      <c r="AK62" s="81"/>
      <c r="AL62" s="81"/>
      <c r="AM62" s="81"/>
      <c r="AN62" s="81"/>
    </row>
    <row r="63" spans="1:40" ht="14.25" customHeight="1">
      <c r="A63" s="82">
        <v>20606</v>
      </c>
      <c r="B63" s="83" t="s">
        <v>15</v>
      </c>
      <c r="C63" s="83" t="s">
        <v>90</v>
      </c>
      <c r="D63" s="83" t="s">
        <v>96</v>
      </c>
      <c r="E63" s="103">
        <v>13</v>
      </c>
      <c r="F63" s="104">
        <v>256</v>
      </c>
      <c r="G63" s="84">
        <f t="shared" si="12"/>
        <v>7.5362318840579709E-3</v>
      </c>
      <c r="H63" s="85">
        <f t="shared" si="9"/>
        <v>2.2805466666666665</v>
      </c>
      <c r="I63" s="84">
        <f t="shared" si="13"/>
        <v>4.7180243273129375E-3</v>
      </c>
      <c r="J63" s="86">
        <f t="shared" si="11"/>
        <v>24.198746774788056</v>
      </c>
      <c r="K63" s="86">
        <f t="shared" si="4"/>
        <v>94.242346014492753</v>
      </c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  <c r="AD63" s="81"/>
      <c r="AE63" s="81"/>
      <c r="AF63" s="81"/>
      <c r="AG63" s="81"/>
      <c r="AH63" s="81"/>
      <c r="AI63" s="81"/>
      <c r="AJ63" s="81"/>
      <c r="AK63" s="81"/>
      <c r="AL63" s="81"/>
      <c r="AM63" s="81"/>
      <c r="AN63" s="81"/>
    </row>
    <row r="64" spans="1:40" ht="14.25" customHeight="1">
      <c r="A64" s="82">
        <v>20607</v>
      </c>
      <c r="B64" s="83" t="s">
        <v>15</v>
      </c>
      <c r="C64" s="83" t="s">
        <v>90</v>
      </c>
      <c r="D64" s="83" t="s">
        <v>97</v>
      </c>
      <c r="E64" s="103">
        <v>13</v>
      </c>
      <c r="F64" s="104">
        <v>374</v>
      </c>
      <c r="G64" s="84">
        <f t="shared" si="12"/>
        <v>7.5362318840579709E-3</v>
      </c>
      <c r="H64" s="85">
        <f t="shared" si="9"/>
        <v>2.2805466666666665</v>
      </c>
      <c r="I64" s="84">
        <f t="shared" si="13"/>
        <v>6.8927386656837449E-3</v>
      </c>
      <c r="J64" s="86">
        <f t="shared" si="11"/>
        <v>35.35285661629193</v>
      </c>
      <c r="K64" s="86">
        <f t="shared" si="4"/>
        <v>64.508129892273104</v>
      </c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  <c r="AD64" s="81"/>
      <c r="AE64" s="81"/>
      <c r="AF64" s="81"/>
      <c r="AG64" s="81"/>
      <c r="AH64" s="81"/>
      <c r="AI64" s="81"/>
      <c r="AJ64" s="81"/>
      <c r="AK64" s="81"/>
      <c r="AL64" s="81"/>
      <c r="AM64" s="81"/>
      <c r="AN64" s="81"/>
    </row>
    <row r="65" spans="1:40" ht="14.25" customHeight="1">
      <c r="A65" s="82">
        <v>20608</v>
      </c>
      <c r="B65" s="83" t="s">
        <v>15</v>
      </c>
      <c r="C65" s="83" t="s">
        <v>90</v>
      </c>
      <c r="D65" s="83" t="s">
        <v>98</v>
      </c>
      <c r="E65" s="103">
        <v>9</v>
      </c>
      <c r="F65" s="104">
        <v>237</v>
      </c>
      <c r="G65" s="84">
        <f t="shared" si="12"/>
        <v>5.2173913043478265E-3</v>
      </c>
      <c r="H65" s="85">
        <f t="shared" si="9"/>
        <v>1.57884</v>
      </c>
      <c r="I65" s="84">
        <f t="shared" si="13"/>
        <v>4.3678584592701806E-3</v>
      </c>
      <c r="J65" s="86">
        <f t="shared" si="11"/>
        <v>22.402746037596756</v>
      </c>
      <c r="K65" s="86">
        <f t="shared" si="4"/>
        <v>70.475288937809566</v>
      </c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  <c r="AD65" s="81"/>
      <c r="AE65" s="81"/>
      <c r="AF65" s="81"/>
      <c r="AG65" s="81"/>
      <c r="AH65" s="81"/>
      <c r="AI65" s="81"/>
      <c r="AJ65" s="81"/>
      <c r="AK65" s="81"/>
      <c r="AL65" s="81"/>
      <c r="AM65" s="81"/>
      <c r="AN65" s="81"/>
    </row>
    <row r="66" spans="1:40" ht="14.25" customHeight="1">
      <c r="A66" s="82">
        <v>20701</v>
      </c>
      <c r="B66" s="83" t="s">
        <v>15</v>
      </c>
      <c r="C66" s="83" t="s">
        <v>99</v>
      </c>
      <c r="D66" s="83" t="s">
        <v>100</v>
      </c>
      <c r="E66" s="103">
        <v>19</v>
      </c>
      <c r="F66" s="104">
        <v>432</v>
      </c>
      <c r="G66" s="84">
        <f t="shared" si="12"/>
        <v>1.1014492753623189E-2</v>
      </c>
      <c r="H66" s="85">
        <f t="shared" si="9"/>
        <v>3.3331066666666667</v>
      </c>
      <c r="I66" s="84">
        <f t="shared" si="13"/>
        <v>7.9616660523405824E-3</v>
      </c>
      <c r="J66" s="86">
        <f t="shared" si="11"/>
        <v>40.83538518245485</v>
      </c>
      <c r="K66" s="86">
        <f t="shared" si="4"/>
        <v>81.623000536768643</v>
      </c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  <c r="AD66" s="81"/>
      <c r="AE66" s="81"/>
      <c r="AF66" s="81"/>
      <c r="AG66" s="81"/>
      <c r="AH66" s="81"/>
      <c r="AI66" s="81"/>
      <c r="AJ66" s="81"/>
      <c r="AK66" s="81"/>
      <c r="AL66" s="81"/>
      <c r="AM66" s="81"/>
      <c r="AN66" s="81"/>
    </row>
    <row r="67" spans="1:40" ht="14.25" customHeight="1">
      <c r="A67" s="82">
        <v>20702</v>
      </c>
      <c r="B67" s="83" t="s">
        <v>15</v>
      </c>
      <c r="C67" s="83" t="s">
        <v>99</v>
      </c>
      <c r="D67" s="83" t="s">
        <v>101</v>
      </c>
      <c r="E67" s="103">
        <v>7</v>
      </c>
      <c r="F67" s="104">
        <v>155</v>
      </c>
      <c r="G67" s="84">
        <f t="shared" si="12"/>
        <v>4.0579710144927538E-3</v>
      </c>
      <c r="H67" s="85">
        <f t="shared" si="9"/>
        <v>1.2279866666666668</v>
      </c>
      <c r="I67" s="84">
        <f t="shared" si="13"/>
        <v>2.8566162919277552E-3</v>
      </c>
      <c r="J67" s="86">
        <f t="shared" si="11"/>
        <v>14.651584961297456</v>
      </c>
      <c r="K67" s="86">
        <f t="shared" ref="K67:K130" si="14">1000*H67/J67</f>
        <v>83.812547919588596</v>
      </c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81"/>
      <c r="AK67" s="81"/>
      <c r="AL67" s="81"/>
      <c r="AM67" s="81"/>
      <c r="AN67" s="81"/>
    </row>
    <row r="68" spans="1:40" ht="14.25" customHeight="1">
      <c r="A68" s="82">
        <v>20801</v>
      </c>
      <c r="B68" s="83" t="s">
        <v>15</v>
      </c>
      <c r="C68" s="83" t="s">
        <v>102</v>
      </c>
      <c r="D68" s="83" t="s">
        <v>103</v>
      </c>
      <c r="E68" s="103">
        <v>72</v>
      </c>
      <c r="F68" s="104">
        <v>1903</v>
      </c>
      <c r="G68" s="84">
        <f>E68/$R$3</f>
        <v>4.1739130434782612E-2</v>
      </c>
      <c r="H68" s="85">
        <f>$S$18*G68</f>
        <v>12.63072</v>
      </c>
      <c r="I68" s="84">
        <f>F68/$S$3</f>
        <v>3.5071876151861407E-2</v>
      </c>
      <c r="J68" s="86">
        <f>I68*$U$18</f>
        <v>179.88365278289714</v>
      </c>
      <c r="K68" s="86">
        <f t="shared" si="14"/>
        <v>70.216052457218581</v>
      </c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  <c r="AD68" s="81"/>
      <c r="AE68" s="81"/>
      <c r="AF68" s="81"/>
      <c r="AG68" s="81"/>
      <c r="AH68" s="81"/>
      <c r="AI68" s="81"/>
      <c r="AJ68" s="81"/>
      <c r="AK68" s="81"/>
      <c r="AL68" s="81"/>
      <c r="AM68" s="81"/>
      <c r="AN68" s="81"/>
    </row>
    <row r="69" spans="1:40" ht="14.25" customHeight="1">
      <c r="A69" s="82">
        <v>20802</v>
      </c>
      <c r="B69" s="83" t="s">
        <v>15</v>
      </c>
      <c r="C69" s="83" t="s">
        <v>102</v>
      </c>
      <c r="D69" s="83" t="s">
        <v>104</v>
      </c>
      <c r="E69" s="103">
        <v>5</v>
      </c>
      <c r="F69" s="104">
        <v>110</v>
      </c>
      <c r="G69" s="84">
        <f t="shared" ref="G69:G82" si="15">E69/$R$3</f>
        <v>2.8985507246376812E-3</v>
      </c>
      <c r="H69" s="85">
        <f t="shared" si="9"/>
        <v>0.87713333333333332</v>
      </c>
      <c r="I69" s="84">
        <f t="shared" ref="I69:I82" si="16">F69/$S$3</f>
        <v>2.027276078142278E-3</v>
      </c>
      <c r="J69" s="86">
        <f t="shared" si="11"/>
        <v>10.397899004791745</v>
      </c>
      <c r="K69" s="86">
        <f t="shared" si="14"/>
        <v>84.356785243741754</v>
      </c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  <c r="AD69" s="81"/>
      <c r="AE69" s="81"/>
      <c r="AF69" s="81"/>
      <c r="AG69" s="81"/>
      <c r="AH69" s="81"/>
      <c r="AI69" s="81"/>
      <c r="AJ69" s="81"/>
      <c r="AK69" s="81"/>
      <c r="AL69" s="81"/>
      <c r="AM69" s="81"/>
      <c r="AN69" s="81"/>
    </row>
    <row r="70" spans="1:40" ht="14.25" customHeight="1">
      <c r="A70" s="82">
        <v>20803</v>
      </c>
      <c r="B70" s="83" t="s">
        <v>15</v>
      </c>
      <c r="C70" s="83" t="s">
        <v>102</v>
      </c>
      <c r="D70" s="83" t="s">
        <v>105</v>
      </c>
      <c r="E70" s="103">
        <v>11</v>
      </c>
      <c r="F70" s="104">
        <v>235</v>
      </c>
      <c r="G70" s="84">
        <f t="shared" si="15"/>
        <v>6.3768115942028983E-3</v>
      </c>
      <c r="H70" s="85">
        <f t="shared" si="9"/>
        <v>1.9296933333333333</v>
      </c>
      <c r="I70" s="84">
        <f t="shared" si="16"/>
        <v>4.3309988942130482E-3</v>
      </c>
      <c r="J70" s="86">
        <f t="shared" si="11"/>
        <v>22.213693328418724</v>
      </c>
      <c r="K70" s="86">
        <f t="shared" si="14"/>
        <v>86.869540548874497</v>
      </c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  <c r="AD70" s="81"/>
      <c r="AE70" s="81"/>
      <c r="AF70" s="81"/>
      <c r="AG70" s="81"/>
      <c r="AH70" s="81"/>
      <c r="AI70" s="81"/>
      <c r="AJ70" s="81"/>
      <c r="AK70" s="81"/>
      <c r="AL70" s="81"/>
      <c r="AM70" s="81"/>
      <c r="AN70" s="81"/>
    </row>
    <row r="71" spans="1:40" ht="14.25" customHeight="1">
      <c r="A71" s="82">
        <v>20804</v>
      </c>
      <c r="B71" s="83" t="s">
        <v>15</v>
      </c>
      <c r="C71" s="83" t="s">
        <v>102</v>
      </c>
      <c r="D71" s="83" t="s">
        <v>106</v>
      </c>
      <c r="E71" s="103">
        <v>7</v>
      </c>
      <c r="F71" s="104">
        <v>149</v>
      </c>
      <c r="G71" s="84">
        <f t="shared" si="15"/>
        <v>4.0579710144927538E-3</v>
      </c>
      <c r="H71" s="85">
        <f t="shared" si="9"/>
        <v>1.2279866666666668</v>
      </c>
      <c r="I71" s="84">
        <f t="shared" si="16"/>
        <v>2.7460375967563581E-3</v>
      </c>
      <c r="J71" s="86">
        <f t="shared" si="11"/>
        <v>14.084426833763361</v>
      </c>
      <c r="K71" s="86">
        <f t="shared" si="14"/>
        <v>87.187549849236461</v>
      </c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  <c r="AD71" s="81"/>
      <c r="AE71" s="81"/>
      <c r="AF71" s="81"/>
      <c r="AG71" s="81"/>
      <c r="AH71" s="81"/>
      <c r="AI71" s="81"/>
      <c r="AJ71" s="81"/>
      <c r="AK71" s="81"/>
      <c r="AL71" s="81"/>
      <c r="AM71" s="81"/>
      <c r="AN71" s="81"/>
    </row>
    <row r="72" spans="1:40" ht="14.25" customHeight="1">
      <c r="A72" s="82">
        <v>20805</v>
      </c>
      <c r="B72" s="83" t="s">
        <v>15</v>
      </c>
      <c r="C72" s="83" t="s">
        <v>102</v>
      </c>
      <c r="D72" s="83" t="s">
        <v>107</v>
      </c>
      <c r="E72" s="103">
        <v>1</v>
      </c>
      <c r="F72" s="104">
        <v>76</v>
      </c>
      <c r="G72" s="84">
        <f t="shared" si="15"/>
        <v>5.7971014492753622E-4</v>
      </c>
      <c r="H72" s="85">
        <f t="shared" si="9"/>
        <v>0.17542666666666665</v>
      </c>
      <c r="I72" s="84">
        <f t="shared" si="16"/>
        <v>1.4006634721710283E-3</v>
      </c>
      <c r="J72" s="86">
        <f t="shared" si="11"/>
        <v>7.1840029487652046</v>
      </c>
      <c r="K72" s="86">
        <f t="shared" si="14"/>
        <v>24.419069412662086</v>
      </c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  <c r="AD72" s="81"/>
      <c r="AE72" s="81"/>
      <c r="AF72" s="81"/>
      <c r="AG72" s="81"/>
      <c r="AH72" s="81"/>
      <c r="AI72" s="81"/>
      <c r="AJ72" s="81"/>
      <c r="AK72" s="81"/>
      <c r="AL72" s="81"/>
      <c r="AM72" s="81"/>
      <c r="AN72" s="81"/>
    </row>
    <row r="73" spans="1:40" ht="14.25" customHeight="1">
      <c r="A73" s="82">
        <v>20806</v>
      </c>
      <c r="B73" s="83" t="s">
        <v>15</v>
      </c>
      <c r="C73" s="83" t="s">
        <v>102</v>
      </c>
      <c r="D73" s="83" t="s">
        <v>108</v>
      </c>
      <c r="E73" s="103">
        <v>9</v>
      </c>
      <c r="F73" s="104">
        <v>230</v>
      </c>
      <c r="G73" s="84">
        <f t="shared" si="15"/>
        <v>5.2173913043478265E-3</v>
      </c>
      <c r="H73" s="85">
        <f t="shared" si="9"/>
        <v>1.57884</v>
      </c>
      <c r="I73" s="84">
        <f t="shared" si="16"/>
        <v>4.2388499815702177E-3</v>
      </c>
      <c r="J73" s="86">
        <f t="shared" si="11"/>
        <v>21.741061555473646</v>
      </c>
      <c r="K73" s="86">
        <f t="shared" si="14"/>
        <v>72.620189035916823</v>
      </c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  <c r="AD73" s="81"/>
      <c r="AE73" s="81"/>
      <c r="AF73" s="81"/>
      <c r="AG73" s="81"/>
      <c r="AH73" s="81"/>
      <c r="AI73" s="81"/>
      <c r="AJ73" s="81"/>
      <c r="AK73" s="81"/>
      <c r="AL73" s="81"/>
      <c r="AM73" s="81"/>
      <c r="AN73" s="81"/>
    </row>
    <row r="74" spans="1:40" ht="14.25" customHeight="1">
      <c r="A74" s="82">
        <v>20807</v>
      </c>
      <c r="B74" s="83" t="s">
        <v>15</v>
      </c>
      <c r="C74" s="83" t="s">
        <v>102</v>
      </c>
      <c r="D74" s="83" t="s">
        <v>109</v>
      </c>
      <c r="E74" s="103">
        <v>1</v>
      </c>
      <c r="F74" s="104">
        <v>87</v>
      </c>
      <c r="G74" s="84">
        <f t="shared" si="15"/>
        <v>5.7971014492753622E-4</v>
      </c>
      <c r="H74" s="85">
        <f t="shared" si="9"/>
        <v>0.17542666666666665</v>
      </c>
      <c r="I74" s="84">
        <f t="shared" si="16"/>
        <v>1.6033910799852561E-3</v>
      </c>
      <c r="J74" s="86">
        <f t="shared" si="11"/>
        <v>8.2237928492443775</v>
      </c>
      <c r="K74" s="86">
        <f t="shared" si="14"/>
        <v>21.331600866233551</v>
      </c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  <c r="AD74" s="81"/>
      <c r="AE74" s="81"/>
      <c r="AF74" s="81"/>
      <c r="AG74" s="81"/>
      <c r="AH74" s="81"/>
      <c r="AI74" s="81"/>
      <c r="AJ74" s="81"/>
      <c r="AK74" s="81"/>
      <c r="AL74" s="81"/>
      <c r="AM74" s="81"/>
      <c r="AN74" s="81"/>
    </row>
    <row r="75" spans="1:40" ht="14.25" customHeight="1">
      <c r="A75" s="82">
        <v>20901</v>
      </c>
      <c r="B75" s="83" t="s">
        <v>15</v>
      </c>
      <c r="C75" s="83" t="s">
        <v>110</v>
      </c>
      <c r="D75" s="83" t="s">
        <v>111</v>
      </c>
      <c r="E75" s="103">
        <v>9</v>
      </c>
      <c r="F75" s="104">
        <v>204</v>
      </c>
      <c r="G75" s="84">
        <f t="shared" si="15"/>
        <v>5.2173913043478265E-3</v>
      </c>
      <c r="H75" s="85">
        <f t="shared" si="9"/>
        <v>1.57884</v>
      </c>
      <c r="I75" s="84">
        <f t="shared" si="16"/>
        <v>3.7596756358274971E-3</v>
      </c>
      <c r="J75" s="86">
        <f t="shared" si="11"/>
        <v>19.283376336159233</v>
      </c>
      <c r="K75" s="86">
        <f t="shared" si="14"/>
        <v>81.875703324808185</v>
      </c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  <c r="AD75" s="81"/>
      <c r="AE75" s="81"/>
      <c r="AF75" s="81"/>
      <c r="AG75" s="81"/>
      <c r="AH75" s="81"/>
      <c r="AI75" s="81"/>
      <c r="AJ75" s="81"/>
      <c r="AK75" s="81"/>
      <c r="AL75" s="81"/>
      <c r="AM75" s="81"/>
      <c r="AN75" s="81"/>
    </row>
    <row r="76" spans="1:40" ht="14.25" customHeight="1">
      <c r="A76" s="82">
        <v>20902</v>
      </c>
      <c r="B76" s="83" t="s">
        <v>15</v>
      </c>
      <c r="C76" s="83" t="s">
        <v>110</v>
      </c>
      <c r="D76" s="83" t="s">
        <v>112</v>
      </c>
      <c r="E76" s="103">
        <v>8</v>
      </c>
      <c r="F76" s="104">
        <v>230</v>
      </c>
      <c r="G76" s="84">
        <f t="shared" si="15"/>
        <v>4.6376811594202897E-3</v>
      </c>
      <c r="H76" s="85">
        <f t="shared" si="9"/>
        <v>1.4034133333333332</v>
      </c>
      <c r="I76" s="84">
        <f t="shared" si="16"/>
        <v>4.2388499815702177E-3</v>
      </c>
      <c r="J76" s="86">
        <f t="shared" si="11"/>
        <v>21.741061555473646</v>
      </c>
      <c r="K76" s="86">
        <f t="shared" si="14"/>
        <v>64.551279143037164</v>
      </c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  <c r="AD76" s="81"/>
      <c r="AE76" s="81"/>
      <c r="AF76" s="81"/>
      <c r="AG76" s="81"/>
      <c r="AH76" s="81"/>
      <c r="AI76" s="81"/>
      <c r="AJ76" s="81"/>
      <c r="AK76" s="81"/>
      <c r="AL76" s="81"/>
      <c r="AM76" s="81"/>
      <c r="AN76" s="81"/>
    </row>
    <row r="77" spans="1:40" ht="14.25" customHeight="1">
      <c r="A77" s="82">
        <v>20903</v>
      </c>
      <c r="B77" s="83" t="s">
        <v>15</v>
      </c>
      <c r="C77" s="83" t="s">
        <v>110</v>
      </c>
      <c r="D77" s="83" t="s">
        <v>113</v>
      </c>
      <c r="E77" s="103">
        <v>7</v>
      </c>
      <c r="F77" s="104">
        <v>138</v>
      </c>
      <c r="G77" s="84">
        <f t="shared" si="15"/>
        <v>4.0579710144927538E-3</v>
      </c>
      <c r="H77" s="85">
        <f t="shared" si="9"/>
        <v>1.2279866666666668</v>
      </c>
      <c r="I77" s="84">
        <f t="shared" si="16"/>
        <v>2.5433099889421306E-3</v>
      </c>
      <c r="J77" s="86">
        <f t="shared" si="11"/>
        <v>13.044636933284188</v>
      </c>
      <c r="K77" s="86">
        <f t="shared" si="14"/>
        <v>94.137282083595878</v>
      </c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  <c r="AD77" s="81"/>
      <c r="AE77" s="81"/>
      <c r="AF77" s="81"/>
      <c r="AG77" s="81"/>
      <c r="AH77" s="81"/>
      <c r="AI77" s="81"/>
      <c r="AJ77" s="81"/>
      <c r="AK77" s="81"/>
      <c r="AL77" s="81"/>
      <c r="AM77" s="81"/>
      <c r="AN77" s="81"/>
    </row>
    <row r="78" spans="1:40" ht="14.25" customHeight="1">
      <c r="A78" s="82">
        <v>20904</v>
      </c>
      <c r="B78" s="83" t="s">
        <v>15</v>
      </c>
      <c r="C78" s="83" t="s">
        <v>110</v>
      </c>
      <c r="D78" s="83" t="s">
        <v>114</v>
      </c>
      <c r="E78" s="103">
        <v>4</v>
      </c>
      <c r="F78" s="104">
        <v>88</v>
      </c>
      <c r="G78" s="84">
        <f t="shared" si="15"/>
        <v>2.3188405797101449E-3</v>
      </c>
      <c r="H78" s="85">
        <f t="shared" si="9"/>
        <v>0.70170666666666659</v>
      </c>
      <c r="I78" s="84">
        <f t="shared" si="16"/>
        <v>1.6218208625138222E-3</v>
      </c>
      <c r="J78" s="86">
        <f t="shared" si="11"/>
        <v>8.3183192038333935</v>
      </c>
      <c r="K78" s="86">
        <f t="shared" si="14"/>
        <v>84.356785243741768</v>
      </c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  <c r="AD78" s="81"/>
      <c r="AE78" s="81"/>
      <c r="AF78" s="81"/>
      <c r="AG78" s="81"/>
      <c r="AH78" s="81"/>
      <c r="AI78" s="81"/>
      <c r="AJ78" s="81"/>
      <c r="AK78" s="81"/>
      <c r="AL78" s="81"/>
      <c r="AM78" s="81"/>
      <c r="AN78" s="81"/>
    </row>
    <row r="79" spans="1:40" ht="14.25" customHeight="1">
      <c r="A79" s="82">
        <v>20905</v>
      </c>
      <c r="B79" s="83" t="s">
        <v>15</v>
      </c>
      <c r="C79" s="83" t="s">
        <v>110</v>
      </c>
      <c r="D79" s="83" t="s">
        <v>115</v>
      </c>
      <c r="E79" s="103">
        <v>17</v>
      </c>
      <c r="F79" s="104">
        <v>245</v>
      </c>
      <c r="G79" s="84">
        <f t="shared" si="15"/>
        <v>9.8550724637681154E-3</v>
      </c>
      <c r="H79" s="85">
        <f t="shared" si="9"/>
        <v>2.982253333333333</v>
      </c>
      <c r="I79" s="84">
        <f t="shared" si="16"/>
        <v>4.51529671949871E-3</v>
      </c>
      <c r="J79" s="86">
        <f t="shared" si="11"/>
        <v>23.158956874308885</v>
      </c>
      <c r="K79" s="86">
        <f t="shared" si="14"/>
        <v>128.77321502514047</v>
      </c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  <c r="AD79" s="81"/>
      <c r="AE79" s="81"/>
      <c r="AF79" s="81"/>
      <c r="AG79" s="81"/>
      <c r="AH79" s="81"/>
      <c r="AI79" s="81"/>
      <c r="AJ79" s="81"/>
      <c r="AK79" s="81"/>
      <c r="AL79" s="81"/>
      <c r="AM79" s="81"/>
      <c r="AN79" s="81"/>
    </row>
    <row r="80" spans="1:40" ht="14.25" customHeight="1">
      <c r="A80" s="82">
        <v>21001</v>
      </c>
      <c r="B80" s="83" t="s">
        <v>15</v>
      </c>
      <c r="C80" s="83" t="s">
        <v>116</v>
      </c>
      <c r="D80" s="83" t="s">
        <v>116</v>
      </c>
      <c r="E80" s="103">
        <v>14</v>
      </c>
      <c r="F80" s="104">
        <v>324</v>
      </c>
      <c r="G80" s="84">
        <f t="shared" si="15"/>
        <v>8.1159420289855077E-3</v>
      </c>
      <c r="H80" s="85">
        <f t="shared" si="9"/>
        <v>2.4559733333333336</v>
      </c>
      <c r="I80" s="84">
        <f t="shared" si="16"/>
        <v>5.9712495392554368E-3</v>
      </c>
      <c r="J80" s="86">
        <f t="shared" si="11"/>
        <v>30.626538886841136</v>
      </c>
      <c r="K80" s="86">
        <f t="shared" si="14"/>
        <v>80.191018071211303</v>
      </c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  <c r="AD80" s="81"/>
      <c r="AE80" s="81"/>
      <c r="AF80" s="81"/>
      <c r="AG80" s="81"/>
      <c r="AH80" s="81"/>
      <c r="AI80" s="81"/>
      <c r="AJ80" s="81"/>
      <c r="AK80" s="81"/>
      <c r="AL80" s="81"/>
      <c r="AM80" s="81"/>
      <c r="AN80" s="81"/>
    </row>
    <row r="81" spans="1:40" ht="14.25" customHeight="1">
      <c r="A81" s="82">
        <v>21002</v>
      </c>
      <c r="B81" s="83" t="s">
        <v>15</v>
      </c>
      <c r="C81" s="83" t="s">
        <v>116</v>
      </c>
      <c r="D81" s="83" t="s">
        <v>117</v>
      </c>
      <c r="E81" s="103">
        <v>10</v>
      </c>
      <c r="F81" s="104">
        <v>182</v>
      </c>
      <c r="G81" s="84">
        <f t="shared" si="15"/>
        <v>5.7971014492753624E-3</v>
      </c>
      <c r="H81" s="85">
        <f t="shared" si="9"/>
        <v>1.7542666666666666</v>
      </c>
      <c r="I81" s="84">
        <f t="shared" si="16"/>
        <v>3.3542204201990416E-3</v>
      </c>
      <c r="J81" s="86">
        <f t="shared" si="11"/>
        <v>17.203796535200883</v>
      </c>
      <c r="K81" s="86">
        <f t="shared" si="14"/>
        <v>101.96974040452302</v>
      </c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  <c r="AD81" s="81"/>
      <c r="AE81" s="81"/>
      <c r="AF81" s="81"/>
      <c r="AG81" s="81"/>
      <c r="AH81" s="81"/>
      <c r="AI81" s="81"/>
      <c r="AJ81" s="81"/>
      <c r="AK81" s="81"/>
      <c r="AL81" s="81"/>
      <c r="AM81" s="81"/>
      <c r="AN81" s="81"/>
    </row>
    <row r="82" spans="1:40" ht="14.25" customHeight="1">
      <c r="A82" s="82">
        <v>21003</v>
      </c>
      <c r="B82" s="83" t="s">
        <v>15</v>
      </c>
      <c r="C82" s="83" t="s">
        <v>116</v>
      </c>
      <c r="D82" s="83" t="s">
        <v>118</v>
      </c>
      <c r="E82" s="103">
        <v>12</v>
      </c>
      <c r="F82" s="104">
        <v>222</v>
      </c>
      <c r="G82" s="84">
        <f t="shared" si="15"/>
        <v>6.956521739130435E-3</v>
      </c>
      <c r="H82" s="85">
        <f t="shared" si="9"/>
        <v>2.1051199999999999</v>
      </c>
      <c r="I82" s="84">
        <f t="shared" si="16"/>
        <v>4.0914117213416883E-3</v>
      </c>
      <c r="J82" s="86">
        <f t="shared" si="11"/>
        <v>20.984850718761518</v>
      </c>
      <c r="K82" s="86">
        <f t="shared" si="14"/>
        <v>100.31617704661183</v>
      </c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  <c r="AD82" s="81"/>
      <c r="AE82" s="81"/>
      <c r="AF82" s="81"/>
      <c r="AG82" s="81"/>
      <c r="AH82" s="81"/>
      <c r="AI82" s="81"/>
      <c r="AJ82" s="81"/>
      <c r="AK82" s="81"/>
      <c r="AL82" s="81"/>
      <c r="AM82" s="81"/>
      <c r="AN82" s="81"/>
    </row>
    <row r="83" spans="1:40" ht="14.25" customHeight="1">
      <c r="A83" s="82">
        <v>21004</v>
      </c>
      <c r="B83" s="83" t="s">
        <v>15</v>
      </c>
      <c r="C83" s="83" t="s">
        <v>116</v>
      </c>
      <c r="D83" s="83" t="s">
        <v>119</v>
      </c>
      <c r="E83" s="103">
        <v>21</v>
      </c>
      <c r="F83" s="104">
        <v>462</v>
      </c>
      <c r="G83" s="84">
        <f>E83/$R$3</f>
        <v>1.2173913043478261E-2</v>
      </c>
      <c r="H83" s="85">
        <f>$S$18*G83</f>
        <v>3.6839599999999999</v>
      </c>
      <c r="I83" s="84">
        <f>F83/$S$3</f>
        <v>8.514559528197567E-3</v>
      </c>
      <c r="J83" s="86">
        <f>I83*$U$18</f>
        <v>43.67117582012532</v>
      </c>
      <c r="K83" s="86">
        <f t="shared" si="14"/>
        <v>84.356785243741768</v>
      </c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  <c r="AD83" s="81"/>
      <c r="AE83" s="81"/>
      <c r="AF83" s="81"/>
      <c r="AG83" s="81"/>
      <c r="AH83" s="81"/>
      <c r="AI83" s="81"/>
      <c r="AJ83" s="81"/>
      <c r="AK83" s="81"/>
      <c r="AL83" s="81"/>
      <c r="AM83" s="81"/>
      <c r="AN83" s="81"/>
    </row>
    <row r="84" spans="1:40" ht="14.25" customHeight="1">
      <c r="A84" s="82">
        <v>21005</v>
      </c>
      <c r="B84" s="83" t="s">
        <v>15</v>
      </c>
      <c r="C84" s="83" t="s">
        <v>116</v>
      </c>
      <c r="D84" s="83" t="s">
        <v>120</v>
      </c>
      <c r="E84" s="103">
        <v>4</v>
      </c>
      <c r="F84" s="104">
        <v>149</v>
      </c>
      <c r="G84" s="84">
        <f t="shared" ref="G84:G95" si="17">E84/$R$3</f>
        <v>2.3188405797101449E-3</v>
      </c>
      <c r="H84" s="85">
        <f t="shared" si="9"/>
        <v>0.70170666666666659</v>
      </c>
      <c r="I84" s="84">
        <f t="shared" ref="I84:I95" si="18">F84/$S$3</f>
        <v>2.7460375967563581E-3</v>
      </c>
      <c r="J84" s="86">
        <f t="shared" si="11"/>
        <v>14.084426833763361</v>
      </c>
      <c r="K84" s="86">
        <f t="shared" si="14"/>
        <v>49.821457056706542</v>
      </c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  <c r="AD84" s="81"/>
      <c r="AE84" s="81"/>
      <c r="AF84" s="81"/>
      <c r="AG84" s="81"/>
      <c r="AH84" s="81"/>
      <c r="AI84" s="81"/>
      <c r="AJ84" s="81"/>
      <c r="AK84" s="81"/>
      <c r="AL84" s="81"/>
      <c r="AM84" s="81"/>
      <c r="AN84" s="81"/>
    </row>
    <row r="85" spans="1:40" ht="14.25" customHeight="1">
      <c r="A85" s="82">
        <v>21006</v>
      </c>
      <c r="B85" s="83" t="s">
        <v>15</v>
      </c>
      <c r="C85" s="83" t="s">
        <v>116</v>
      </c>
      <c r="D85" s="83" t="s">
        <v>121</v>
      </c>
      <c r="E85" s="103">
        <v>1</v>
      </c>
      <c r="F85" s="104">
        <v>82</v>
      </c>
      <c r="G85" s="84">
        <f t="shared" si="17"/>
        <v>5.7971014492753622E-4</v>
      </c>
      <c r="H85" s="85">
        <f t="shared" si="9"/>
        <v>0.17542666666666665</v>
      </c>
      <c r="I85" s="84">
        <f t="shared" si="18"/>
        <v>1.5112421673424254E-3</v>
      </c>
      <c r="J85" s="86">
        <f t="shared" si="11"/>
        <v>7.7511610762993</v>
      </c>
      <c r="K85" s="86">
        <f t="shared" si="14"/>
        <v>22.632308236125837</v>
      </c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  <c r="AD85" s="81"/>
      <c r="AE85" s="81"/>
      <c r="AF85" s="81"/>
      <c r="AG85" s="81"/>
      <c r="AH85" s="81"/>
      <c r="AI85" s="81"/>
      <c r="AJ85" s="81"/>
      <c r="AK85" s="81"/>
      <c r="AL85" s="81"/>
      <c r="AM85" s="81"/>
      <c r="AN85" s="81"/>
    </row>
    <row r="86" spans="1:40" ht="14.25" customHeight="1">
      <c r="A86" s="82">
        <v>21101</v>
      </c>
      <c r="B86" s="83" t="s">
        <v>15</v>
      </c>
      <c r="C86" s="83" t="s">
        <v>122</v>
      </c>
      <c r="D86" s="83" t="s">
        <v>123</v>
      </c>
      <c r="E86" s="103">
        <v>12</v>
      </c>
      <c r="F86" s="104">
        <v>352</v>
      </c>
      <c r="G86" s="84">
        <f t="shared" si="17"/>
        <v>6.956521739130435E-3</v>
      </c>
      <c r="H86" s="85">
        <f t="shared" si="9"/>
        <v>2.1051199999999999</v>
      </c>
      <c r="I86" s="84">
        <f t="shared" si="18"/>
        <v>6.487283450055289E-3</v>
      </c>
      <c r="J86" s="86">
        <f t="shared" si="11"/>
        <v>33.273276815333574</v>
      </c>
      <c r="K86" s="86">
        <f t="shared" si="14"/>
        <v>63.267588932806333</v>
      </c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  <c r="AD86" s="81"/>
      <c r="AE86" s="81"/>
      <c r="AF86" s="81"/>
      <c r="AG86" s="81"/>
      <c r="AH86" s="81"/>
      <c r="AI86" s="81"/>
      <c r="AJ86" s="81"/>
      <c r="AK86" s="81"/>
      <c r="AL86" s="81"/>
      <c r="AM86" s="81"/>
      <c r="AN86" s="81"/>
    </row>
    <row r="87" spans="1:40" ht="14.25" customHeight="1">
      <c r="A87" s="82">
        <v>21102</v>
      </c>
      <c r="B87" s="83" t="s">
        <v>15</v>
      </c>
      <c r="C87" s="83" t="s">
        <v>122</v>
      </c>
      <c r="D87" s="83" t="s">
        <v>124</v>
      </c>
      <c r="E87" s="103">
        <v>10</v>
      </c>
      <c r="F87" s="104">
        <v>374</v>
      </c>
      <c r="G87" s="84">
        <f t="shared" si="17"/>
        <v>5.7971014492753624E-3</v>
      </c>
      <c r="H87" s="85">
        <f t="shared" si="9"/>
        <v>1.7542666666666666</v>
      </c>
      <c r="I87" s="84">
        <f t="shared" si="18"/>
        <v>6.8927386656837449E-3</v>
      </c>
      <c r="J87" s="86">
        <f t="shared" si="11"/>
        <v>35.35285661629193</v>
      </c>
      <c r="K87" s="86">
        <f t="shared" si="14"/>
        <v>49.621638378671619</v>
      </c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  <c r="AD87" s="81"/>
      <c r="AE87" s="81"/>
      <c r="AF87" s="81"/>
      <c r="AG87" s="81"/>
      <c r="AH87" s="81"/>
      <c r="AI87" s="81"/>
      <c r="AJ87" s="81"/>
      <c r="AK87" s="81"/>
      <c r="AL87" s="81"/>
      <c r="AM87" s="81"/>
      <c r="AN87" s="81"/>
    </row>
    <row r="88" spans="1:40" ht="14.25" customHeight="1">
      <c r="A88" s="82">
        <v>21103</v>
      </c>
      <c r="B88" s="83" t="s">
        <v>15</v>
      </c>
      <c r="C88" s="83" t="s">
        <v>122</v>
      </c>
      <c r="D88" s="83" t="s">
        <v>125</v>
      </c>
      <c r="E88" s="103">
        <v>5</v>
      </c>
      <c r="F88" s="104">
        <v>146</v>
      </c>
      <c r="G88" s="84">
        <f t="shared" si="17"/>
        <v>2.8985507246376812E-3</v>
      </c>
      <c r="H88" s="85">
        <f t="shared" si="9"/>
        <v>0.87713333333333332</v>
      </c>
      <c r="I88" s="84">
        <f t="shared" si="18"/>
        <v>2.69074824917066E-3</v>
      </c>
      <c r="J88" s="86">
        <f t="shared" si="11"/>
        <v>13.800847769996315</v>
      </c>
      <c r="K88" s="86">
        <f t="shared" si="14"/>
        <v>63.556482032956119</v>
      </c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  <c r="AD88" s="81"/>
      <c r="AE88" s="81"/>
      <c r="AF88" s="81"/>
      <c r="AG88" s="81"/>
      <c r="AH88" s="81"/>
      <c r="AI88" s="81"/>
      <c r="AJ88" s="81"/>
      <c r="AK88" s="81"/>
      <c r="AL88" s="81"/>
      <c r="AM88" s="81"/>
      <c r="AN88" s="81"/>
    </row>
    <row r="89" spans="1:40" ht="14.25" customHeight="1">
      <c r="A89" s="82">
        <v>21104</v>
      </c>
      <c r="B89" s="83" t="s">
        <v>15</v>
      </c>
      <c r="C89" s="83" t="s">
        <v>122</v>
      </c>
      <c r="D89" s="83" t="s">
        <v>126</v>
      </c>
      <c r="E89" s="103">
        <v>17</v>
      </c>
      <c r="F89" s="104">
        <v>649</v>
      </c>
      <c r="G89" s="84">
        <f t="shared" si="17"/>
        <v>9.8550724637681154E-3</v>
      </c>
      <c r="H89" s="85">
        <f t="shared" si="9"/>
        <v>2.982253333333333</v>
      </c>
      <c r="I89" s="84">
        <f t="shared" si="18"/>
        <v>1.196092886103944E-2</v>
      </c>
      <c r="J89" s="86">
        <f t="shared" si="11"/>
        <v>61.347604128271293</v>
      </c>
      <c r="K89" s="86">
        <f t="shared" si="14"/>
        <v>48.612384716732535</v>
      </c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  <c r="AD89" s="81"/>
      <c r="AE89" s="81"/>
      <c r="AF89" s="81"/>
      <c r="AG89" s="81"/>
      <c r="AH89" s="81"/>
      <c r="AI89" s="81"/>
      <c r="AJ89" s="81"/>
      <c r="AK89" s="81"/>
      <c r="AL89" s="81"/>
      <c r="AM89" s="81"/>
      <c r="AN89" s="81"/>
    </row>
    <row r="90" spans="1:40" ht="14.25" customHeight="1">
      <c r="A90" s="82">
        <v>21105</v>
      </c>
      <c r="B90" s="83" t="s">
        <v>15</v>
      </c>
      <c r="C90" s="83" t="s">
        <v>122</v>
      </c>
      <c r="D90" s="83" t="s">
        <v>127</v>
      </c>
      <c r="E90" s="103">
        <v>42</v>
      </c>
      <c r="F90" s="104">
        <v>1166</v>
      </c>
      <c r="G90" s="84">
        <f t="shared" si="17"/>
        <v>2.4347826086956521E-2</v>
      </c>
      <c r="H90" s="85">
        <f t="shared" si="9"/>
        <v>7.3679199999999998</v>
      </c>
      <c r="I90" s="84">
        <f t="shared" si="18"/>
        <v>2.1489126428308147E-2</v>
      </c>
      <c r="J90" s="86">
        <f t="shared" si="11"/>
        <v>110.21772945079249</v>
      </c>
      <c r="K90" s="86">
        <f t="shared" si="14"/>
        <v>66.848773212021769</v>
      </c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  <c r="AD90" s="81"/>
      <c r="AE90" s="81"/>
      <c r="AF90" s="81"/>
      <c r="AG90" s="81"/>
      <c r="AH90" s="81"/>
      <c r="AI90" s="81"/>
      <c r="AJ90" s="81"/>
      <c r="AK90" s="81"/>
      <c r="AL90" s="81"/>
      <c r="AM90" s="81"/>
      <c r="AN90" s="81"/>
    </row>
    <row r="91" spans="1:40" ht="14.25" customHeight="1">
      <c r="A91" s="82">
        <v>21201</v>
      </c>
      <c r="B91" s="83" t="s">
        <v>15</v>
      </c>
      <c r="C91" s="83" t="s">
        <v>128</v>
      </c>
      <c r="D91" s="83" t="s">
        <v>129</v>
      </c>
      <c r="E91" s="103">
        <v>34</v>
      </c>
      <c r="F91" s="104">
        <v>587</v>
      </c>
      <c r="G91" s="84">
        <f t="shared" si="17"/>
        <v>1.9710144927536231E-2</v>
      </c>
      <c r="H91" s="85">
        <f t="shared" si="9"/>
        <v>5.964506666666666</v>
      </c>
      <c r="I91" s="84">
        <f t="shared" si="18"/>
        <v>1.0818282344268338E-2</v>
      </c>
      <c r="J91" s="86">
        <f t="shared" si="11"/>
        <v>55.486970143752309</v>
      </c>
      <c r="K91" s="86">
        <f t="shared" si="14"/>
        <v>107.4938251487544</v>
      </c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  <c r="AD91" s="81"/>
      <c r="AE91" s="81"/>
      <c r="AF91" s="81"/>
      <c r="AG91" s="81"/>
      <c r="AH91" s="81"/>
      <c r="AI91" s="81"/>
      <c r="AJ91" s="81"/>
      <c r="AK91" s="81"/>
      <c r="AL91" s="81"/>
      <c r="AM91" s="81"/>
      <c r="AN91" s="81"/>
    </row>
    <row r="92" spans="1:40" ht="14.25" customHeight="1">
      <c r="A92" s="82">
        <v>21202</v>
      </c>
      <c r="B92" s="83" t="s">
        <v>15</v>
      </c>
      <c r="C92" s="83" t="s">
        <v>128</v>
      </c>
      <c r="D92" s="83" t="s">
        <v>130</v>
      </c>
      <c r="E92" s="103">
        <v>18</v>
      </c>
      <c r="F92" s="104">
        <v>453</v>
      </c>
      <c r="G92" s="84">
        <f t="shared" si="17"/>
        <v>1.0434782608695653E-2</v>
      </c>
      <c r="H92" s="85">
        <f t="shared" si="9"/>
        <v>3.15768</v>
      </c>
      <c r="I92" s="84">
        <f t="shared" si="18"/>
        <v>8.3486914854404726E-3</v>
      </c>
      <c r="J92" s="86">
        <f t="shared" si="11"/>
        <v>42.820438628824185</v>
      </c>
      <c r="K92" s="86">
        <f t="shared" si="14"/>
        <v>73.742355312410012</v>
      </c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  <c r="AD92" s="81"/>
      <c r="AE92" s="81"/>
      <c r="AF92" s="81"/>
      <c r="AG92" s="81"/>
      <c r="AH92" s="81"/>
      <c r="AI92" s="81"/>
      <c r="AJ92" s="81"/>
      <c r="AK92" s="81"/>
      <c r="AL92" s="81"/>
      <c r="AM92" s="81"/>
      <c r="AN92" s="81"/>
    </row>
    <row r="93" spans="1:40" ht="14.25" customHeight="1">
      <c r="A93" s="82">
        <v>21203</v>
      </c>
      <c r="B93" s="83" t="s">
        <v>15</v>
      </c>
      <c r="C93" s="83" t="s">
        <v>128</v>
      </c>
      <c r="D93" s="83" t="s">
        <v>131</v>
      </c>
      <c r="E93" s="103">
        <v>6</v>
      </c>
      <c r="F93" s="104">
        <v>298</v>
      </c>
      <c r="G93" s="84">
        <f t="shared" si="17"/>
        <v>3.4782608695652175E-3</v>
      </c>
      <c r="H93" s="85">
        <f t="shared" si="9"/>
        <v>1.0525599999999999</v>
      </c>
      <c r="I93" s="84">
        <f t="shared" si="18"/>
        <v>5.4920751935127162E-3</v>
      </c>
      <c r="J93" s="86">
        <f t="shared" si="11"/>
        <v>28.168853667526722</v>
      </c>
      <c r="K93" s="86">
        <f t="shared" si="14"/>
        <v>37.366092792529912</v>
      </c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  <c r="AD93" s="81"/>
      <c r="AE93" s="81"/>
      <c r="AF93" s="81"/>
      <c r="AG93" s="81"/>
      <c r="AH93" s="81"/>
      <c r="AI93" s="81"/>
      <c r="AJ93" s="81"/>
      <c r="AK93" s="81"/>
      <c r="AL93" s="81"/>
      <c r="AM93" s="81"/>
      <c r="AN93" s="81"/>
    </row>
    <row r="94" spans="1:40" ht="14.25" customHeight="1">
      <c r="A94" s="82">
        <v>21204</v>
      </c>
      <c r="B94" s="83" t="s">
        <v>15</v>
      </c>
      <c r="C94" s="83" t="s">
        <v>128</v>
      </c>
      <c r="D94" s="83" t="s">
        <v>132</v>
      </c>
      <c r="E94" s="103">
        <v>7</v>
      </c>
      <c r="F94" s="104">
        <v>90</v>
      </c>
      <c r="G94" s="84">
        <f t="shared" si="17"/>
        <v>4.0579710144927538E-3</v>
      </c>
      <c r="H94" s="85">
        <f t="shared" si="9"/>
        <v>1.2279866666666668</v>
      </c>
      <c r="I94" s="84">
        <f t="shared" si="18"/>
        <v>1.6586804275709546E-3</v>
      </c>
      <c r="J94" s="86">
        <f t="shared" si="11"/>
        <v>8.5073719130114256</v>
      </c>
      <c r="K94" s="86">
        <f t="shared" si="14"/>
        <v>144.34383252818037</v>
      </c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  <c r="AD94" s="81"/>
      <c r="AE94" s="81"/>
      <c r="AF94" s="81"/>
      <c r="AG94" s="81"/>
      <c r="AH94" s="81"/>
      <c r="AI94" s="81"/>
      <c r="AJ94" s="81"/>
      <c r="AK94" s="81"/>
      <c r="AL94" s="81"/>
      <c r="AM94" s="81"/>
      <c r="AN94" s="81"/>
    </row>
    <row r="95" spans="1:40" ht="14.25" customHeight="1">
      <c r="A95" s="82">
        <v>21301</v>
      </c>
      <c r="B95" s="83" t="s">
        <v>15</v>
      </c>
      <c r="C95" s="83" t="s">
        <v>133</v>
      </c>
      <c r="D95" s="83" t="s">
        <v>134</v>
      </c>
      <c r="E95" s="103">
        <v>28</v>
      </c>
      <c r="F95" s="104">
        <v>595</v>
      </c>
      <c r="G95" s="84">
        <f t="shared" si="17"/>
        <v>1.6231884057971015E-2</v>
      </c>
      <c r="H95" s="85">
        <f t="shared" si="9"/>
        <v>4.9119466666666671</v>
      </c>
      <c r="I95" s="84">
        <f t="shared" si="18"/>
        <v>1.0965720604496867E-2</v>
      </c>
      <c r="J95" s="86">
        <f t="shared" si="11"/>
        <v>56.24318098046443</v>
      </c>
      <c r="K95" s="86">
        <f t="shared" si="14"/>
        <v>87.334083546462068</v>
      </c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  <c r="AD95" s="81"/>
      <c r="AE95" s="81"/>
      <c r="AF95" s="81"/>
      <c r="AG95" s="81"/>
      <c r="AH95" s="81"/>
      <c r="AI95" s="81"/>
      <c r="AJ95" s="81"/>
      <c r="AK95" s="81"/>
      <c r="AL95" s="81"/>
      <c r="AM95" s="81"/>
      <c r="AN95" s="81"/>
    </row>
    <row r="96" spans="1:40" ht="14.25" customHeight="1">
      <c r="A96" s="82">
        <v>21302</v>
      </c>
      <c r="B96" s="83" t="s">
        <v>15</v>
      </c>
      <c r="C96" s="83" t="s">
        <v>133</v>
      </c>
      <c r="D96" s="83" t="s">
        <v>135</v>
      </c>
      <c r="E96" s="103">
        <v>6</v>
      </c>
      <c r="F96" s="104">
        <v>158</v>
      </c>
      <c r="G96" s="84">
        <f>E96/$R$3</f>
        <v>3.4782608695652175E-3</v>
      </c>
      <c r="H96" s="85">
        <f>$S$18*G96</f>
        <v>1.0525599999999999</v>
      </c>
      <c r="I96" s="84">
        <f>F96/$S$3</f>
        <v>2.9119056395134537E-3</v>
      </c>
      <c r="J96" s="86">
        <f>I96*$U$18</f>
        <v>14.935164025064504</v>
      </c>
      <c r="K96" s="86">
        <f t="shared" si="14"/>
        <v>70.47528893780958</v>
      </c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  <c r="AD96" s="81"/>
      <c r="AE96" s="81"/>
      <c r="AF96" s="81"/>
      <c r="AG96" s="81"/>
      <c r="AH96" s="81"/>
      <c r="AI96" s="81"/>
      <c r="AJ96" s="81"/>
      <c r="AK96" s="81"/>
      <c r="AL96" s="81"/>
      <c r="AM96" s="81"/>
      <c r="AN96" s="81"/>
    </row>
    <row r="97" spans="1:40" ht="14.25" customHeight="1">
      <c r="A97" s="82">
        <v>21303</v>
      </c>
      <c r="B97" s="83" t="s">
        <v>15</v>
      </c>
      <c r="C97" s="83" t="s">
        <v>133</v>
      </c>
      <c r="D97" s="83" t="s">
        <v>136</v>
      </c>
      <c r="E97" s="103">
        <v>3</v>
      </c>
      <c r="F97" s="104">
        <v>178</v>
      </c>
      <c r="G97" s="84">
        <f t="shared" ref="G97:G109" si="19">E97/$R$3</f>
        <v>1.7391304347826088E-3</v>
      </c>
      <c r="H97" s="85">
        <f t="shared" ref="H97:H109" si="20">$S$18*G97</f>
        <v>0.52627999999999997</v>
      </c>
      <c r="I97" s="84">
        <f t="shared" ref="I97:I109" si="21">F97/$S$3</f>
        <v>3.2805012900847768E-3</v>
      </c>
      <c r="J97" s="86">
        <f t="shared" ref="J97:J109" si="22">I97*$U$18</f>
        <v>16.825691116844819</v>
      </c>
      <c r="K97" s="86">
        <f t="shared" si="14"/>
        <v>31.27835857352223</v>
      </c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  <c r="AD97" s="81"/>
      <c r="AE97" s="81"/>
      <c r="AF97" s="81"/>
      <c r="AG97" s="81"/>
      <c r="AH97" s="81"/>
      <c r="AI97" s="81"/>
      <c r="AJ97" s="81"/>
      <c r="AK97" s="81"/>
      <c r="AL97" s="81"/>
      <c r="AM97" s="81"/>
      <c r="AN97" s="81"/>
    </row>
    <row r="98" spans="1:40" ht="14.25" customHeight="1">
      <c r="A98" s="82">
        <v>21304</v>
      </c>
      <c r="B98" s="83" t="s">
        <v>15</v>
      </c>
      <c r="C98" s="83" t="s">
        <v>133</v>
      </c>
      <c r="D98" s="83" t="s">
        <v>137</v>
      </c>
      <c r="E98" s="103">
        <v>4</v>
      </c>
      <c r="F98" s="104">
        <v>222</v>
      </c>
      <c r="G98" s="84">
        <f t="shared" si="19"/>
        <v>2.3188405797101449E-3</v>
      </c>
      <c r="H98" s="85">
        <f t="shared" si="20"/>
        <v>0.70170666666666659</v>
      </c>
      <c r="I98" s="84">
        <f t="shared" si="21"/>
        <v>4.0914117213416883E-3</v>
      </c>
      <c r="J98" s="86">
        <f t="shared" si="22"/>
        <v>20.984850718761518</v>
      </c>
      <c r="K98" s="86">
        <f t="shared" si="14"/>
        <v>33.438725682203938</v>
      </c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  <c r="AD98" s="81"/>
      <c r="AE98" s="81"/>
      <c r="AF98" s="81"/>
      <c r="AG98" s="81"/>
      <c r="AH98" s="81"/>
      <c r="AI98" s="81"/>
      <c r="AJ98" s="81"/>
      <c r="AK98" s="81"/>
      <c r="AL98" s="81"/>
      <c r="AM98" s="81"/>
      <c r="AN98" s="81"/>
    </row>
    <row r="99" spans="1:40" ht="14.25" customHeight="1">
      <c r="A99" s="82">
        <v>21305</v>
      </c>
      <c r="B99" s="83" t="s">
        <v>15</v>
      </c>
      <c r="C99" s="83" t="s">
        <v>133</v>
      </c>
      <c r="D99" s="83" t="s">
        <v>138</v>
      </c>
      <c r="E99" s="103">
        <v>6</v>
      </c>
      <c r="F99" s="104">
        <v>470</v>
      </c>
      <c r="G99" s="84">
        <f t="shared" si="19"/>
        <v>3.4782608695652175E-3</v>
      </c>
      <c r="H99" s="85">
        <f t="shared" si="20"/>
        <v>1.0525599999999999</v>
      </c>
      <c r="I99" s="84">
        <f t="shared" si="21"/>
        <v>8.6619977884260964E-3</v>
      </c>
      <c r="J99" s="86">
        <f t="shared" si="22"/>
        <v>44.427386656837449</v>
      </c>
      <c r="K99" s="86">
        <f t="shared" si="14"/>
        <v>23.691692876965771</v>
      </c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  <c r="AD99" s="81"/>
      <c r="AE99" s="81"/>
      <c r="AF99" s="81"/>
      <c r="AG99" s="81"/>
      <c r="AH99" s="81"/>
      <c r="AI99" s="81"/>
      <c r="AJ99" s="81"/>
      <c r="AK99" s="81"/>
      <c r="AL99" s="81"/>
      <c r="AM99" s="81"/>
      <c r="AN99" s="81"/>
    </row>
    <row r="100" spans="1:40" ht="14.25" customHeight="1">
      <c r="A100" s="82">
        <v>21306</v>
      </c>
      <c r="B100" s="83" t="s">
        <v>15</v>
      </c>
      <c r="C100" s="83" t="s">
        <v>133</v>
      </c>
      <c r="D100" s="83" t="s">
        <v>139</v>
      </c>
      <c r="E100" s="103">
        <v>2</v>
      </c>
      <c r="F100" s="104">
        <v>236</v>
      </c>
      <c r="G100" s="84">
        <f t="shared" si="19"/>
        <v>1.1594202898550724E-3</v>
      </c>
      <c r="H100" s="85">
        <f t="shared" si="20"/>
        <v>0.35085333333333329</v>
      </c>
      <c r="I100" s="84">
        <f t="shared" si="21"/>
        <v>4.3494286767416148E-3</v>
      </c>
      <c r="J100" s="86">
        <f t="shared" si="22"/>
        <v>22.308219683007742</v>
      </c>
      <c r="K100" s="86">
        <f t="shared" si="14"/>
        <v>15.727536231884056</v>
      </c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  <c r="AI100" s="81"/>
      <c r="AJ100" s="81"/>
      <c r="AK100" s="81"/>
      <c r="AL100" s="81"/>
      <c r="AM100" s="81"/>
      <c r="AN100" s="81"/>
    </row>
    <row r="101" spans="1:40" ht="14.25" customHeight="1">
      <c r="A101" s="82">
        <v>21307</v>
      </c>
      <c r="B101" s="83" t="s">
        <v>15</v>
      </c>
      <c r="C101" s="83" t="s">
        <v>133</v>
      </c>
      <c r="D101" s="83" t="s">
        <v>140</v>
      </c>
      <c r="E101" s="103">
        <v>0</v>
      </c>
      <c r="F101" s="104">
        <v>89</v>
      </c>
      <c r="G101" s="84">
        <f t="shared" si="19"/>
        <v>0</v>
      </c>
      <c r="H101" s="85">
        <f t="shared" si="20"/>
        <v>0</v>
      </c>
      <c r="I101" s="84">
        <f t="shared" si="21"/>
        <v>1.6402506450423884E-3</v>
      </c>
      <c r="J101" s="86">
        <f t="shared" si="22"/>
        <v>8.4128455584224096</v>
      </c>
      <c r="K101" s="86">
        <f t="shared" si="14"/>
        <v>0</v>
      </c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81"/>
      <c r="AK101" s="81"/>
      <c r="AL101" s="81"/>
      <c r="AM101" s="81"/>
      <c r="AN101" s="81"/>
    </row>
    <row r="102" spans="1:40" ht="14.25" customHeight="1">
      <c r="A102" s="82">
        <v>21401</v>
      </c>
      <c r="B102" s="83" t="s">
        <v>15</v>
      </c>
      <c r="C102" s="83" t="s">
        <v>141</v>
      </c>
      <c r="D102" s="83" t="s">
        <v>142</v>
      </c>
      <c r="E102" s="103">
        <v>5</v>
      </c>
      <c r="F102" s="104">
        <v>372</v>
      </c>
      <c r="G102" s="84">
        <f t="shared" si="19"/>
        <v>2.8985507246376812E-3</v>
      </c>
      <c r="H102" s="85">
        <f t="shared" si="20"/>
        <v>0.87713333333333332</v>
      </c>
      <c r="I102" s="84">
        <f t="shared" si="21"/>
        <v>6.8558791006266126E-3</v>
      </c>
      <c r="J102" s="86">
        <f t="shared" si="22"/>
        <v>35.163803907113895</v>
      </c>
      <c r="K102" s="86">
        <f t="shared" si="14"/>
        <v>24.944210690353749</v>
      </c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  <c r="AI102" s="81"/>
      <c r="AJ102" s="81"/>
      <c r="AK102" s="81"/>
      <c r="AL102" s="81"/>
      <c r="AM102" s="81"/>
      <c r="AN102" s="81"/>
    </row>
    <row r="103" spans="1:40" ht="14.25" customHeight="1">
      <c r="A103" s="82">
        <v>21402</v>
      </c>
      <c r="B103" s="83" t="s">
        <v>15</v>
      </c>
      <c r="C103" s="83" t="s">
        <v>141</v>
      </c>
      <c r="D103" s="83" t="s">
        <v>143</v>
      </c>
      <c r="E103" s="103">
        <v>10</v>
      </c>
      <c r="F103" s="104">
        <v>367</v>
      </c>
      <c r="G103" s="84">
        <f t="shared" si="19"/>
        <v>5.7971014492753624E-3</v>
      </c>
      <c r="H103" s="85">
        <f t="shared" si="20"/>
        <v>1.7542666666666666</v>
      </c>
      <c r="I103" s="84">
        <f t="shared" si="21"/>
        <v>6.7637301879837821E-3</v>
      </c>
      <c r="J103" s="86">
        <f t="shared" si="22"/>
        <v>34.691172134168816</v>
      </c>
      <c r="K103" s="86">
        <f t="shared" si="14"/>
        <v>50.568100146112229</v>
      </c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  <c r="AI103" s="81"/>
      <c r="AJ103" s="81"/>
      <c r="AK103" s="81"/>
      <c r="AL103" s="81"/>
      <c r="AM103" s="81"/>
      <c r="AN103" s="81"/>
    </row>
    <row r="104" spans="1:40" ht="14.25" customHeight="1">
      <c r="A104" s="82">
        <v>21501</v>
      </c>
      <c r="B104" s="83" t="s">
        <v>15</v>
      </c>
      <c r="C104" s="83" t="s">
        <v>144</v>
      </c>
      <c r="D104" s="83" t="s">
        <v>145</v>
      </c>
      <c r="E104" s="103">
        <v>2</v>
      </c>
      <c r="F104" s="104">
        <v>284</v>
      </c>
      <c r="G104" s="84">
        <f t="shared" si="19"/>
        <v>1.1594202898550724E-3</v>
      </c>
      <c r="H104" s="85">
        <f t="shared" si="20"/>
        <v>0.35085333333333329</v>
      </c>
      <c r="I104" s="84">
        <f t="shared" si="21"/>
        <v>5.2340582381127905E-3</v>
      </c>
      <c r="J104" s="86">
        <f t="shared" si="22"/>
        <v>26.845484703280501</v>
      </c>
      <c r="K104" s="86">
        <f t="shared" si="14"/>
        <v>13.069361094100836</v>
      </c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  <c r="AI104" s="81"/>
      <c r="AJ104" s="81"/>
      <c r="AK104" s="81"/>
      <c r="AL104" s="81"/>
      <c r="AM104" s="81"/>
      <c r="AN104" s="81"/>
    </row>
    <row r="105" spans="1:40" ht="14.25" customHeight="1">
      <c r="A105" s="82">
        <v>21502</v>
      </c>
      <c r="B105" s="83" t="s">
        <v>15</v>
      </c>
      <c r="C105" s="83" t="s">
        <v>144</v>
      </c>
      <c r="D105" s="83" t="s">
        <v>146</v>
      </c>
      <c r="E105" s="103">
        <v>2</v>
      </c>
      <c r="F105" s="104">
        <v>249</v>
      </c>
      <c r="G105" s="84">
        <f t="shared" si="19"/>
        <v>1.1594202898550724E-3</v>
      </c>
      <c r="H105" s="85">
        <f t="shared" si="20"/>
        <v>0.35085333333333329</v>
      </c>
      <c r="I105" s="84">
        <f t="shared" si="21"/>
        <v>4.5890158496129747E-3</v>
      </c>
      <c r="J105" s="86">
        <f t="shared" si="22"/>
        <v>23.537062292664949</v>
      </c>
      <c r="K105" s="86">
        <f t="shared" si="14"/>
        <v>14.90641988242826</v>
      </c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1"/>
      <c r="AJ105" s="81"/>
      <c r="AK105" s="81"/>
      <c r="AL105" s="81"/>
      <c r="AM105" s="81"/>
      <c r="AN105" s="81"/>
    </row>
    <row r="106" spans="1:40" ht="14.25" customHeight="1">
      <c r="A106" s="82">
        <v>21601</v>
      </c>
      <c r="B106" s="83" t="s">
        <v>15</v>
      </c>
      <c r="C106" s="83" t="s">
        <v>147</v>
      </c>
      <c r="D106" s="83" t="s">
        <v>148</v>
      </c>
      <c r="E106" s="103">
        <v>6</v>
      </c>
      <c r="F106" s="104">
        <v>293</v>
      </c>
      <c r="G106" s="84">
        <f t="shared" si="19"/>
        <v>3.4782608695652175E-3</v>
      </c>
      <c r="H106" s="85">
        <f t="shared" si="20"/>
        <v>1.0525599999999999</v>
      </c>
      <c r="I106" s="84">
        <f t="shared" si="21"/>
        <v>5.3999262808698857E-3</v>
      </c>
      <c r="J106" s="86">
        <f t="shared" si="22"/>
        <v>27.696221894581644</v>
      </c>
      <c r="K106" s="86">
        <f t="shared" si="14"/>
        <v>38.003739427214718</v>
      </c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  <c r="AI106" s="81"/>
      <c r="AJ106" s="81"/>
      <c r="AK106" s="81"/>
      <c r="AL106" s="81"/>
      <c r="AM106" s="81"/>
      <c r="AN106" s="81"/>
    </row>
    <row r="107" spans="1:40" ht="14.25" customHeight="1">
      <c r="A107" s="82">
        <v>21602</v>
      </c>
      <c r="B107" s="83" t="s">
        <v>15</v>
      </c>
      <c r="C107" s="83" t="s">
        <v>147</v>
      </c>
      <c r="D107" s="83" t="s">
        <v>149</v>
      </c>
      <c r="E107" s="103">
        <v>1</v>
      </c>
      <c r="F107" s="104">
        <v>70</v>
      </c>
      <c r="G107" s="84">
        <f t="shared" si="19"/>
        <v>5.7971014492753622E-4</v>
      </c>
      <c r="H107" s="85">
        <f t="shared" si="20"/>
        <v>0.17542666666666665</v>
      </c>
      <c r="I107" s="84">
        <f t="shared" si="21"/>
        <v>1.2900847769996315E-3</v>
      </c>
      <c r="J107" s="86">
        <f t="shared" si="22"/>
        <v>6.6168448212311102</v>
      </c>
      <c r="K107" s="86">
        <f t="shared" si="14"/>
        <v>26.512132505175977</v>
      </c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81"/>
      <c r="AK107" s="81"/>
      <c r="AL107" s="81"/>
      <c r="AM107" s="81"/>
      <c r="AN107" s="81"/>
    </row>
    <row r="108" spans="1:40" ht="14.25" customHeight="1">
      <c r="A108" s="82">
        <v>21701</v>
      </c>
      <c r="B108" s="83" t="s">
        <v>15</v>
      </c>
      <c r="C108" s="83" t="s">
        <v>150</v>
      </c>
      <c r="D108" s="83" t="s">
        <v>151</v>
      </c>
      <c r="E108" s="103">
        <v>5</v>
      </c>
      <c r="F108" s="104">
        <v>262</v>
      </c>
      <c r="G108" s="84">
        <f t="shared" si="19"/>
        <v>2.8985507246376812E-3</v>
      </c>
      <c r="H108" s="85">
        <f t="shared" si="20"/>
        <v>0.87713333333333332</v>
      </c>
      <c r="I108" s="84">
        <f t="shared" si="21"/>
        <v>4.8286030224843346E-3</v>
      </c>
      <c r="J108" s="86">
        <f t="shared" si="22"/>
        <v>24.765904902322152</v>
      </c>
      <c r="K108" s="86">
        <f t="shared" si="14"/>
        <v>35.416970903861049</v>
      </c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  <c r="AI108" s="81"/>
      <c r="AJ108" s="81"/>
      <c r="AK108" s="81"/>
      <c r="AL108" s="81"/>
      <c r="AM108" s="81"/>
      <c r="AN108" s="81"/>
    </row>
    <row r="109" spans="1:40" ht="14.25" customHeight="1">
      <c r="A109" s="82">
        <v>21702</v>
      </c>
      <c r="B109" s="83" t="s">
        <v>15</v>
      </c>
      <c r="C109" s="83" t="s">
        <v>150</v>
      </c>
      <c r="D109" s="83" t="s">
        <v>152</v>
      </c>
      <c r="E109" s="103">
        <v>0</v>
      </c>
      <c r="F109" s="104">
        <v>68</v>
      </c>
      <c r="G109" s="84">
        <f t="shared" si="19"/>
        <v>0</v>
      </c>
      <c r="H109" s="85">
        <f t="shared" si="20"/>
        <v>0</v>
      </c>
      <c r="I109" s="84">
        <f t="shared" si="21"/>
        <v>1.2532252119424991E-3</v>
      </c>
      <c r="J109" s="86">
        <f t="shared" si="22"/>
        <v>6.4277921120530781</v>
      </c>
      <c r="K109" s="86">
        <f t="shared" si="14"/>
        <v>0</v>
      </c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  <c r="AI109" s="81"/>
      <c r="AJ109" s="81"/>
      <c r="AK109" s="81"/>
      <c r="AL109" s="81"/>
      <c r="AM109" s="81"/>
      <c r="AN109" s="81"/>
    </row>
    <row r="110" spans="1:40" ht="14.25" customHeight="1">
      <c r="A110" s="82">
        <v>21703</v>
      </c>
      <c r="B110" s="83" t="s">
        <v>15</v>
      </c>
      <c r="C110" s="83" t="s">
        <v>150</v>
      </c>
      <c r="D110" s="83" t="s">
        <v>153</v>
      </c>
      <c r="E110" s="103">
        <v>0</v>
      </c>
      <c r="F110" s="104">
        <v>59</v>
      </c>
      <c r="G110" s="84">
        <f>E110/$R$3</f>
        <v>0</v>
      </c>
      <c r="H110" s="85">
        <f>$S$18*G110</f>
        <v>0</v>
      </c>
      <c r="I110" s="84">
        <f>F110/$S$3</f>
        <v>1.0873571691854037E-3</v>
      </c>
      <c r="J110" s="86">
        <f>I110*$U$18</f>
        <v>5.5770549207519355</v>
      </c>
      <c r="K110" s="86">
        <f t="shared" si="14"/>
        <v>0</v>
      </c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  <c r="AI110" s="81"/>
      <c r="AJ110" s="81"/>
      <c r="AK110" s="81"/>
      <c r="AL110" s="81"/>
      <c r="AM110" s="81"/>
      <c r="AN110" s="81"/>
    </row>
    <row r="111" spans="1:40" ht="14.25" customHeight="1">
      <c r="A111" s="82">
        <v>21801</v>
      </c>
      <c r="B111" s="83" t="s">
        <v>15</v>
      </c>
      <c r="C111" s="83" t="s">
        <v>154</v>
      </c>
      <c r="D111" s="83" t="s">
        <v>155</v>
      </c>
      <c r="E111" s="103">
        <v>1</v>
      </c>
      <c r="F111" s="104">
        <v>156</v>
      </c>
      <c r="G111" s="84">
        <f t="shared" ref="G111:G117" si="23">E111/$R$3</f>
        <v>5.7971014492753622E-4</v>
      </c>
      <c r="H111" s="85">
        <f t="shared" ref="H111:H117" si="24">$S$18*G111</f>
        <v>0.17542666666666665</v>
      </c>
      <c r="I111" s="84">
        <f t="shared" ref="I111:I117" si="25">F111/$S$3</f>
        <v>2.8750460744563213E-3</v>
      </c>
      <c r="J111" s="86">
        <f t="shared" ref="J111:J117" si="26">I111*$U$18</f>
        <v>14.746111315886472</v>
      </c>
      <c r="K111" s="86">
        <f t="shared" si="14"/>
        <v>11.896469713861018</v>
      </c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  <c r="AI111" s="81"/>
      <c r="AJ111" s="81"/>
      <c r="AK111" s="81"/>
      <c r="AL111" s="81"/>
      <c r="AM111" s="81"/>
      <c r="AN111" s="81"/>
    </row>
    <row r="112" spans="1:40" ht="14.25" customHeight="1">
      <c r="A112" s="82">
        <v>21802</v>
      </c>
      <c r="B112" s="83" t="s">
        <v>15</v>
      </c>
      <c r="C112" s="83" t="s">
        <v>156</v>
      </c>
      <c r="D112" s="83" t="s">
        <v>157</v>
      </c>
      <c r="E112" s="103">
        <v>1</v>
      </c>
      <c r="F112" s="104">
        <v>118</v>
      </c>
      <c r="G112" s="84">
        <f t="shared" si="23"/>
        <v>5.7971014492753622E-4</v>
      </c>
      <c r="H112" s="85">
        <f t="shared" si="24"/>
        <v>0.17542666666666665</v>
      </c>
      <c r="I112" s="84">
        <f t="shared" si="25"/>
        <v>2.1747143383708074E-3</v>
      </c>
      <c r="J112" s="86">
        <f t="shared" si="26"/>
        <v>11.154109841503871</v>
      </c>
      <c r="K112" s="86">
        <f t="shared" si="14"/>
        <v>15.727536231884056</v>
      </c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  <c r="AI112" s="81"/>
      <c r="AJ112" s="81"/>
      <c r="AK112" s="81"/>
      <c r="AL112" s="81"/>
      <c r="AM112" s="81"/>
      <c r="AN112" s="81"/>
    </row>
    <row r="113" spans="1:40" ht="14.25" customHeight="1">
      <c r="A113" s="82">
        <v>21803</v>
      </c>
      <c r="B113" s="83" t="s">
        <v>15</v>
      </c>
      <c r="C113" s="83" t="s">
        <v>156</v>
      </c>
      <c r="D113" s="83" t="s">
        <v>158</v>
      </c>
      <c r="E113" s="103">
        <v>0</v>
      </c>
      <c r="F113" s="104">
        <v>27</v>
      </c>
      <c r="G113" s="84">
        <f t="shared" si="23"/>
        <v>0</v>
      </c>
      <c r="H113" s="85">
        <f t="shared" si="24"/>
        <v>0</v>
      </c>
      <c r="I113" s="84">
        <f t="shared" si="25"/>
        <v>4.976041282712864E-4</v>
      </c>
      <c r="J113" s="86">
        <f t="shared" si="26"/>
        <v>2.5522115739034281</v>
      </c>
      <c r="K113" s="86">
        <f t="shared" si="14"/>
        <v>0</v>
      </c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  <c r="AI113" s="81"/>
      <c r="AJ113" s="81"/>
      <c r="AK113" s="81"/>
      <c r="AL113" s="81"/>
      <c r="AM113" s="81"/>
      <c r="AN113" s="81"/>
    </row>
    <row r="114" spans="1:40" ht="14.25" customHeight="1">
      <c r="A114" s="82">
        <v>21901</v>
      </c>
      <c r="B114" s="83" t="s">
        <v>15</v>
      </c>
      <c r="C114" s="83" t="s">
        <v>159</v>
      </c>
      <c r="D114" s="83" t="s">
        <v>160</v>
      </c>
      <c r="E114" s="103">
        <v>0</v>
      </c>
      <c r="F114" s="104">
        <v>62</v>
      </c>
      <c r="G114" s="84">
        <f t="shared" si="23"/>
        <v>0</v>
      </c>
      <c r="H114" s="85">
        <f t="shared" si="24"/>
        <v>0</v>
      </c>
      <c r="I114" s="84">
        <f t="shared" si="25"/>
        <v>1.142646516771102E-3</v>
      </c>
      <c r="J114" s="86">
        <f t="shared" si="26"/>
        <v>5.8606339845189819</v>
      </c>
      <c r="K114" s="86">
        <f t="shared" si="14"/>
        <v>0</v>
      </c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  <c r="AI114" s="81"/>
      <c r="AJ114" s="81"/>
      <c r="AK114" s="81"/>
      <c r="AL114" s="81"/>
      <c r="AM114" s="81"/>
      <c r="AN114" s="81"/>
    </row>
    <row r="115" spans="1:40" ht="14.25" customHeight="1">
      <c r="A115" s="82">
        <v>21902</v>
      </c>
      <c r="B115" s="83" t="s">
        <v>15</v>
      </c>
      <c r="C115" s="83" t="s">
        <v>159</v>
      </c>
      <c r="D115" s="83" t="s">
        <v>161</v>
      </c>
      <c r="E115" s="103">
        <v>0</v>
      </c>
      <c r="F115" s="104">
        <v>56</v>
      </c>
      <c r="G115" s="84">
        <f t="shared" si="23"/>
        <v>0</v>
      </c>
      <c r="H115" s="85">
        <f t="shared" si="24"/>
        <v>0</v>
      </c>
      <c r="I115" s="84">
        <f t="shared" si="25"/>
        <v>1.0320678215997052E-3</v>
      </c>
      <c r="J115" s="86">
        <f t="shared" si="26"/>
        <v>5.2934758569848874</v>
      </c>
      <c r="K115" s="86">
        <f t="shared" si="14"/>
        <v>0</v>
      </c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  <c r="AI115" s="81"/>
      <c r="AJ115" s="81"/>
      <c r="AK115" s="81"/>
      <c r="AL115" s="81"/>
      <c r="AM115" s="81"/>
      <c r="AN115" s="81"/>
    </row>
    <row r="116" spans="1:40" ht="14.25" customHeight="1">
      <c r="A116" s="82">
        <v>22001</v>
      </c>
      <c r="B116" s="83" t="s">
        <v>15</v>
      </c>
      <c r="C116" s="83" t="s">
        <v>162</v>
      </c>
      <c r="D116" s="83" t="s">
        <v>162</v>
      </c>
      <c r="E116" s="103">
        <v>20</v>
      </c>
      <c r="F116" s="104">
        <v>1065</v>
      </c>
      <c r="G116" s="84">
        <f t="shared" si="23"/>
        <v>1.1594202898550725E-2</v>
      </c>
      <c r="H116" s="85">
        <f t="shared" si="24"/>
        <v>3.5085333333333333</v>
      </c>
      <c r="I116" s="84">
        <f t="shared" si="25"/>
        <v>1.9627718392922964E-2</v>
      </c>
      <c r="J116" s="86">
        <f t="shared" si="26"/>
        <v>100.67056763730189</v>
      </c>
      <c r="K116" s="86">
        <f t="shared" si="14"/>
        <v>34.851629584268899</v>
      </c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  <c r="AI116" s="81"/>
      <c r="AJ116" s="81"/>
      <c r="AK116" s="81"/>
      <c r="AL116" s="81"/>
      <c r="AM116" s="81"/>
      <c r="AN116" s="81"/>
    </row>
    <row r="117" spans="1:40" ht="14.25" customHeight="1">
      <c r="A117" s="82">
        <v>22002</v>
      </c>
      <c r="B117" s="83" t="s">
        <v>15</v>
      </c>
      <c r="C117" s="83" t="s">
        <v>162</v>
      </c>
      <c r="D117" s="83" t="s">
        <v>163</v>
      </c>
      <c r="E117" s="103">
        <v>13</v>
      </c>
      <c r="F117" s="104">
        <v>296</v>
      </c>
      <c r="G117" s="84">
        <f t="shared" si="23"/>
        <v>7.5362318840579709E-3</v>
      </c>
      <c r="H117" s="85">
        <f t="shared" si="24"/>
        <v>2.2805466666666665</v>
      </c>
      <c r="I117" s="84">
        <f t="shared" si="25"/>
        <v>5.4552156284555838E-3</v>
      </c>
      <c r="J117" s="86">
        <f t="shared" si="26"/>
        <v>27.97980095834869</v>
      </c>
      <c r="K117" s="86">
        <f t="shared" si="14"/>
        <v>81.506893850372109</v>
      </c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  <c r="AI117" s="81"/>
      <c r="AJ117" s="81"/>
      <c r="AK117" s="81"/>
      <c r="AL117" s="81"/>
      <c r="AM117" s="81"/>
      <c r="AN117" s="81"/>
    </row>
    <row r="118" spans="1:40" ht="14.25" customHeight="1">
      <c r="A118" s="82">
        <v>30101</v>
      </c>
      <c r="B118" s="83" t="s">
        <v>17</v>
      </c>
      <c r="C118" s="83" t="s">
        <v>164</v>
      </c>
      <c r="D118" s="83" t="s">
        <v>17</v>
      </c>
      <c r="E118" s="103">
        <v>288</v>
      </c>
      <c r="F118" s="104">
        <v>12726</v>
      </c>
      <c r="G118" s="84">
        <f>E118/$R$4</f>
        <v>0.31613611416026344</v>
      </c>
      <c r="H118" s="85">
        <f>$S$19*G118</f>
        <v>55.51887596048298</v>
      </c>
      <c r="I118" s="84">
        <f>F118/$S$4</f>
        <v>0.33671120518587117</v>
      </c>
      <c r="J118" s="86">
        <f>I118*$U$19</f>
        <v>1037.407223177669</v>
      </c>
      <c r="K118" s="86">
        <f t="shared" si="14"/>
        <v>53.516955270875997</v>
      </c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  <c r="AI118" s="81"/>
      <c r="AJ118" s="81"/>
      <c r="AK118" s="81"/>
      <c r="AL118" s="81"/>
      <c r="AM118" s="81"/>
      <c r="AN118" s="81"/>
    </row>
    <row r="119" spans="1:40" ht="14.25" customHeight="1">
      <c r="A119" s="82">
        <v>30201</v>
      </c>
      <c r="B119" s="83" t="s">
        <v>17</v>
      </c>
      <c r="C119" s="83" t="s">
        <v>165</v>
      </c>
      <c r="D119" s="83" t="s">
        <v>166</v>
      </c>
      <c r="E119" s="103">
        <v>14</v>
      </c>
      <c r="F119" s="104">
        <v>486</v>
      </c>
      <c r="G119" s="84">
        <f t="shared" ref="G119:G146" si="27">E119/$R$4</f>
        <v>1.5367727771679473E-2</v>
      </c>
      <c r="H119" s="85">
        <f t="shared" ref="H119:H165" si="28">$S$19*G119</f>
        <v>2.6988342480790339</v>
      </c>
      <c r="I119" s="84">
        <f t="shared" ref="I119:I146" si="29">F119/$S$4</f>
        <v>1.2858843762402435E-2</v>
      </c>
      <c r="J119" s="86">
        <f t="shared" ref="J119:J165" si="30">I119*$U$19</f>
        <v>39.618097631961902</v>
      </c>
      <c r="K119" s="86">
        <f t="shared" si="14"/>
        <v>68.121247848653624</v>
      </c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  <c r="AI119" s="81"/>
      <c r="AJ119" s="81"/>
      <c r="AK119" s="81"/>
      <c r="AL119" s="81"/>
      <c r="AM119" s="81"/>
      <c r="AN119" s="81"/>
    </row>
    <row r="120" spans="1:40" ht="14.25" customHeight="1">
      <c r="A120" s="82">
        <v>30202</v>
      </c>
      <c r="B120" s="83" t="s">
        <v>17</v>
      </c>
      <c r="C120" s="83" t="s">
        <v>165</v>
      </c>
      <c r="D120" s="83" t="s">
        <v>167</v>
      </c>
      <c r="E120" s="103">
        <v>0</v>
      </c>
      <c r="F120" s="104">
        <v>111</v>
      </c>
      <c r="G120" s="84">
        <f t="shared" si="27"/>
        <v>0</v>
      </c>
      <c r="H120" s="85">
        <f t="shared" si="28"/>
        <v>0</v>
      </c>
      <c r="I120" s="84">
        <f t="shared" si="29"/>
        <v>2.9368964148696916E-3</v>
      </c>
      <c r="J120" s="86">
        <f t="shared" si="30"/>
        <v>9.0485778542135193</v>
      </c>
      <c r="K120" s="86">
        <f t="shared" si="14"/>
        <v>0</v>
      </c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  <c r="AI120" s="81"/>
      <c r="AJ120" s="81"/>
      <c r="AK120" s="81"/>
      <c r="AL120" s="81"/>
      <c r="AM120" s="81"/>
      <c r="AN120" s="81"/>
    </row>
    <row r="121" spans="1:40" ht="14.25" customHeight="1">
      <c r="A121" s="82">
        <v>30203</v>
      </c>
      <c r="B121" s="83" t="s">
        <v>17</v>
      </c>
      <c r="C121" s="83" t="s">
        <v>165</v>
      </c>
      <c r="D121" s="83" t="s">
        <v>168</v>
      </c>
      <c r="E121" s="103">
        <v>3</v>
      </c>
      <c r="F121" s="104">
        <v>133</v>
      </c>
      <c r="G121" s="84">
        <f t="shared" si="27"/>
        <v>3.2930845225027441E-3</v>
      </c>
      <c r="H121" s="85">
        <f t="shared" si="28"/>
        <v>0.57832162458836434</v>
      </c>
      <c r="I121" s="84">
        <f t="shared" si="29"/>
        <v>3.5189839925916125E-3</v>
      </c>
      <c r="J121" s="86">
        <f t="shared" si="30"/>
        <v>10.841989681174757</v>
      </c>
      <c r="K121" s="86">
        <f t="shared" si="14"/>
        <v>53.340912654853376</v>
      </c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  <c r="AI121" s="81"/>
      <c r="AJ121" s="81"/>
      <c r="AK121" s="81"/>
      <c r="AL121" s="81"/>
      <c r="AM121" s="81"/>
      <c r="AN121" s="81"/>
    </row>
    <row r="122" spans="1:40" ht="14.25" customHeight="1">
      <c r="A122" s="82">
        <v>30301</v>
      </c>
      <c r="B122" s="83" t="s">
        <v>17</v>
      </c>
      <c r="C122" s="83" t="s">
        <v>169</v>
      </c>
      <c r="D122" s="83" t="s">
        <v>170</v>
      </c>
      <c r="E122" s="103">
        <v>41</v>
      </c>
      <c r="F122" s="104">
        <v>585</v>
      </c>
      <c r="G122" s="84">
        <f t="shared" si="27"/>
        <v>4.5005488474204172E-2</v>
      </c>
      <c r="H122" s="85">
        <f t="shared" si="28"/>
        <v>7.903728869374314</v>
      </c>
      <c r="I122" s="84">
        <f t="shared" si="29"/>
        <v>1.5478237862151079E-2</v>
      </c>
      <c r="J122" s="86">
        <f t="shared" si="30"/>
        <v>47.68845085328747</v>
      </c>
      <c r="K122" s="86">
        <f t="shared" si="14"/>
        <v>165.7367502603507</v>
      </c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  <c r="AI122" s="81"/>
      <c r="AJ122" s="81"/>
      <c r="AK122" s="81"/>
      <c r="AL122" s="81"/>
      <c r="AM122" s="81"/>
      <c r="AN122" s="81"/>
    </row>
    <row r="123" spans="1:40" ht="14.25" customHeight="1">
      <c r="A123" s="82">
        <v>30302</v>
      </c>
      <c r="B123" s="83" t="s">
        <v>17</v>
      </c>
      <c r="C123" s="83" t="s">
        <v>169</v>
      </c>
      <c r="D123" s="83" t="s">
        <v>171</v>
      </c>
      <c r="E123" s="103">
        <v>18</v>
      </c>
      <c r="F123" s="104">
        <v>309</v>
      </c>
      <c r="G123" s="84">
        <f t="shared" si="27"/>
        <v>1.9758507135016465E-2</v>
      </c>
      <c r="H123" s="85">
        <f t="shared" si="28"/>
        <v>3.4699297475301862</v>
      </c>
      <c r="I123" s="84">
        <f t="shared" si="29"/>
        <v>8.1756846143669799E-3</v>
      </c>
      <c r="J123" s="86">
        <f t="shared" si="30"/>
        <v>25.189284296864667</v>
      </c>
      <c r="K123" s="86">
        <f t="shared" si="14"/>
        <v>137.75420161350482</v>
      </c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  <c r="AI123" s="81"/>
      <c r="AJ123" s="81"/>
      <c r="AK123" s="81"/>
      <c r="AL123" s="81"/>
      <c r="AM123" s="81"/>
      <c r="AN123" s="81"/>
    </row>
    <row r="124" spans="1:40" ht="14.25" customHeight="1">
      <c r="A124" s="82">
        <v>30303</v>
      </c>
      <c r="B124" s="83" t="s">
        <v>17</v>
      </c>
      <c r="C124" s="83" t="s">
        <v>169</v>
      </c>
      <c r="D124" s="83" t="s">
        <v>172</v>
      </c>
      <c r="E124" s="103">
        <v>29</v>
      </c>
      <c r="F124" s="104">
        <v>513</v>
      </c>
      <c r="G124" s="84">
        <f t="shared" si="27"/>
        <v>3.1833150384193196E-2</v>
      </c>
      <c r="H124" s="85">
        <f t="shared" si="28"/>
        <v>5.5904423710208562</v>
      </c>
      <c r="I124" s="84">
        <f t="shared" si="29"/>
        <v>1.3573223971424792E-2</v>
      </c>
      <c r="J124" s="86">
        <f t="shared" si="30"/>
        <v>41.819103055959786</v>
      </c>
      <c r="K124" s="86">
        <f t="shared" si="14"/>
        <v>133.68154653006462</v>
      </c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  <c r="AI124" s="81"/>
      <c r="AJ124" s="81"/>
      <c r="AK124" s="81"/>
      <c r="AL124" s="81"/>
      <c r="AM124" s="81"/>
      <c r="AN124" s="81"/>
    </row>
    <row r="125" spans="1:40" ht="14.25" customHeight="1">
      <c r="A125" s="82">
        <v>30401</v>
      </c>
      <c r="B125" s="83" t="s">
        <v>17</v>
      </c>
      <c r="C125" s="83" t="s">
        <v>173</v>
      </c>
      <c r="D125" s="83" t="s">
        <v>174</v>
      </c>
      <c r="E125" s="103">
        <v>8</v>
      </c>
      <c r="F125" s="104">
        <v>162</v>
      </c>
      <c r="G125" s="84">
        <f t="shared" si="27"/>
        <v>8.7815587266739849E-3</v>
      </c>
      <c r="H125" s="85">
        <f t="shared" si="28"/>
        <v>1.542190998902305</v>
      </c>
      <c r="I125" s="84">
        <f t="shared" si="29"/>
        <v>4.2862812541341446E-3</v>
      </c>
      <c r="J125" s="86">
        <f t="shared" si="30"/>
        <v>13.2060325439873</v>
      </c>
      <c r="K125" s="86">
        <f t="shared" si="14"/>
        <v>116.77928202626335</v>
      </c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  <c r="AI125" s="81"/>
      <c r="AJ125" s="81"/>
      <c r="AK125" s="81"/>
      <c r="AL125" s="81"/>
      <c r="AM125" s="81"/>
      <c r="AN125" s="81"/>
    </row>
    <row r="126" spans="1:40" ht="14.25" customHeight="1">
      <c r="A126" s="82">
        <v>30402</v>
      </c>
      <c r="B126" s="83" t="s">
        <v>17</v>
      </c>
      <c r="C126" s="83" t="s">
        <v>173</v>
      </c>
      <c r="D126" s="83" t="s">
        <v>175</v>
      </c>
      <c r="E126" s="103">
        <v>3</v>
      </c>
      <c r="F126" s="104">
        <v>137</v>
      </c>
      <c r="G126" s="84">
        <f t="shared" si="27"/>
        <v>3.2930845225027441E-3</v>
      </c>
      <c r="H126" s="85">
        <f t="shared" si="28"/>
        <v>0.57832162458836434</v>
      </c>
      <c r="I126" s="84">
        <f t="shared" si="29"/>
        <v>3.6248180976319621E-3</v>
      </c>
      <c r="J126" s="86">
        <f t="shared" si="30"/>
        <v>11.168064558804076</v>
      </c>
      <c r="K126" s="86">
        <f t="shared" si="14"/>
        <v>51.783513745222606</v>
      </c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  <c r="AI126" s="81"/>
      <c r="AJ126" s="81"/>
      <c r="AK126" s="81"/>
      <c r="AL126" s="81"/>
      <c r="AM126" s="81"/>
      <c r="AN126" s="81"/>
    </row>
    <row r="127" spans="1:40" ht="14.25" customHeight="1">
      <c r="A127" s="82">
        <v>30403</v>
      </c>
      <c r="B127" s="83" t="s">
        <v>17</v>
      </c>
      <c r="C127" s="83" t="s">
        <v>173</v>
      </c>
      <c r="D127" s="83" t="s">
        <v>176</v>
      </c>
      <c r="E127" s="103">
        <v>26</v>
      </c>
      <c r="F127" s="104">
        <v>361</v>
      </c>
      <c r="G127" s="84">
        <f t="shared" si="27"/>
        <v>2.8540065861690452E-2</v>
      </c>
      <c r="H127" s="85">
        <f t="shared" si="28"/>
        <v>5.0121207464324922</v>
      </c>
      <c r="I127" s="84">
        <f t="shared" si="29"/>
        <v>9.5515279798915192E-3</v>
      </c>
      <c r="J127" s="86">
        <f t="shared" si="30"/>
        <v>29.42825770604577</v>
      </c>
      <c r="K127" s="86">
        <f t="shared" si="14"/>
        <v>170.31659830146171</v>
      </c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  <c r="AI127" s="81"/>
      <c r="AJ127" s="81"/>
      <c r="AK127" s="81"/>
      <c r="AL127" s="81"/>
      <c r="AM127" s="81"/>
      <c r="AN127" s="81"/>
    </row>
    <row r="128" spans="1:40" ht="14.25" customHeight="1">
      <c r="A128" s="82">
        <v>30404</v>
      </c>
      <c r="B128" s="83" t="s">
        <v>17</v>
      </c>
      <c r="C128" s="83" t="s">
        <v>173</v>
      </c>
      <c r="D128" s="83" t="s">
        <v>177</v>
      </c>
      <c r="E128" s="103">
        <v>0</v>
      </c>
      <c r="F128" s="104">
        <v>93</v>
      </c>
      <c r="G128" s="84">
        <f t="shared" si="27"/>
        <v>0</v>
      </c>
      <c r="H128" s="85">
        <f t="shared" si="28"/>
        <v>0</v>
      </c>
      <c r="I128" s="84">
        <f t="shared" si="29"/>
        <v>2.4606429421881199E-3</v>
      </c>
      <c r="J128" s="86">
        <f t="shared" si="30"/>
        <v>7.5812409048815974</v>
      </c>
      <c r="K128" s="86">
        <f t="shared" si="14"/>
        <v>0</v>
      </c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  <c r="AI128" s="81"/>
      <c r="AJ128" s="81"/>
      <c r="AK128" s="81"/>
      <c r="AL128" s="81"/>
      <c r="AM128" s="81"/>
      <c r="AN128" s="81"/>
    </row>
    <row r="129" spans="1:40" ht="14.25" customHeight="1">
      <c r="A129" s="82">
        <v>30501</v>
      </c>
      <c r="B129" s="83" t="s">
        <v>17</v>
      </c>
      <c r="C129" s="83" t="s">
        <v>178</v>
      </c>
      <c r="D129" s="83" t="s">
        <v>178</v>
      </c>
      <c r="E129" s="103">
        <v>12</v>
      </c>
      <c r="F129" s="104">
        <v>139</v>
      </c>
      <c r="G129" s="84">
        <f t="shared" si="27"/>
        <v>1.3172338090010977E-2</v>
      </c>
      <c r="H129" s="85">
        <f t="shared" si="28"/>
        <v>2.3132864983534573</v>
      </c>
      <c r="I129" s="84">
        <f t="shared" si="29"/>
        <v>3.6777351501521365E-3</v>
      </c>
      <c r="J129" s="86">
        <f t="shared" si="30"/>
        <v>11.331101997618733</v>
      </c>
      <c r="K129" s="86">
        <f t="shared" si="14"/>
        <v>204.15370886605749</v>
      </c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  <c r="AI129" s="81"/>
      <c r="AJ129" s="81"/>
      <c r="AK129" s="81"/>
      <c r="AL129" s="81"/>
      <c r="AM129" s="81"/>
      <c r="AN129" s="81"/>
    </row>
    <row r="130" spans="1:40" ht="14.25" customHeight="1">
      <c r="A130" s="82">
        <v>30502</v>
      </c>
      <c r="B130" s="83" t="s">
        <v>17</v>
      </c>
      <c r="C130" s="83" t="s">
        <v>178</v>
      </c>
      <c r="D130" s="83" t="s">
        <v>179</v>
      </c>
      <c r="E130" s="103">
        <v>4</v>
      </c>
      <c r="F130" s="104">
        <v>182</v>
      </c>
      <c r="G130" s="84">
        <f t="shared" si="27"/>
        <v>4.3907793633369925E-3</v>
      </c>
      <c r="H130" s="85">
        <f t="shared" si="28"/>
        <v>0.77109549945115252</v>
      </c>
      <c r="I130" s="84">
        <f t="shared" si="29"/>
        <v>4.8154517793358911E-3</v>
      </c>
      <c r="J130" s="86">
        <f t="shared" si="30"/>
        <v>14.83640693213388</v>
      </c>
      <c r="K130" s="86">
        <f t="shared" si="14"/>
        <v>51.973196945754573</v>
      </c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  <c r="AI130" s="81"/>
      <c r="AJ130" s="81"/>
      <c r="AK130" s="81"/>
      <c r="AL130" s="81"/>
      <c r="AM130" s="81"/>
      <c r="AN130" s="81"/>
    </row>
    <row r="131" spans="1:40" ht="14.25" customHeight="1">
      <c r="A131" s="82">
        <v>30601</v>
      </c>
      <c r="B131" s="83" t="s">
        <v>17</v>
      </c>
      <c r="C131" s="83" t="s">
        <v>180</v>
      </c>
      <c r="D131" s="83" t="s">
        <v>180</v>
      </c>
      <c r="E131" s="103">
        <v>18</v>
      </c>
      <c r="F131" s="104">
        <v>364</v>
      </c>
      <c r="G131" s="84">
        <f t="shared" si="27"/>
        <v>1.9758507135016465E-2</v>
      </c>
      <c r="H131" s="85">
        <f t="shared" si="28"/>
        <v>3.4699297475301862</v>
      </c>
      <c r="I131" s="84">
        <f t="shared" si="29"/>
        <v>9.6309035586717821E-3</v>
      </c>
      <c r="J131" s="86">
        <f t="shared" si="30"/>
        <v>29.672813864267759</v>
      </c>
      <c r="K131" s="86">
        <f t="shared" ref="K131:K165" si="31">1000*H131/J131</f>
        <v>116.93969312794779</v>
      </c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  <c r="AI131" s="81"/>
      <c r="AJ131" s="81"/>
      <c r="AK131" s="81"/>
      <c r="AL131" s="81"/>
      <c r="AM131" s="81"/>
      <c r="AN131" s="81"/>
    </row>
    <row r="132" spans="1:40" ht="14.25" customHeight="1">
      <c r="A132" s="82">
        <v>30602</v>
      </c>
      <c r="B132" s="83" t="s">
        <v>17</v>
      </c>
      <c r="C132" s="83" t="s">
        <v>180</v>
      </c>
      <c r="D132" s="83" t="s">
        <v>181</v>
      </c>
      <c r="E132" s="103">
        <v>10</v>
      </c>
      <c r="F132" s="104">
        <v>197</v>
      </c>
      <c r="G132" s="84">
        <f t="shared" si="27"/>
        <v>1.0976948408342482E-2</v>
      </c>
      <c r="H132" s="85">
        <f t="shared" si="28"/>
        <v>1.9277387486278814</v>
      </c>
      <c r="I132" s="84">
        <f t="shared" si="29"/>
        <v>5.2123296732372003E-3</v>
      </c>
      <c r="J132" s="86">
        <f t="shared" si="30"/>
        <v>16.059187723243813</v>
      </c>
      <c r="K132" s="86">
        <f t="shared" si="31"/>
        <v>120.03961731126059</v>
      </c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  <c r="AI132" s="81"/>
      <c r="AJ132" s="81"/>
      <c r="AK132" s="81"/>
      <c r="AL132" s="81"/>
      <c r="AM132" s="81"/>
      <c r="AN132" s="81"/>
    </row>
    <row r="133" spans="1:40" ht="14.25" customHeight="1">
      <c r="A133" s="82">
        <v>30701</v>
      </c>
      <c r="B133" s="83" t="s">
        <v>17</v>
      </c>
      <c r="C133" s="83" t="s">
        <v>182</v>
      </c>
      <c r="D133" s="83" t="s">
        <v>182</v>
      </c>
      <c r="E133" s="103">
        <v>6</v>
      </c>
      <c r="F133" s="104">
        <v>439</v>
      </c>
      <c r="G133" s="84">
        <f t="shared" si="27"/>
        <v>6.5861690450054883E-3</v>
      </c>
      <c r="H133" s="85">
        <f t="shared" si="28"/>
        <v>1.1566432491767287</v>
      </c>
      <c r="I133" s="84">
        <f t="shared" si="29"/>
        <v>1.161529302817833E-2</v>
      </c>
      <c r="J133" s="86">
        <f t="shared" si="30"/>
        <v>35.786717819817433</v>
      </c>
      <c r="K133" s="86">
        <f t="shared" si="31"/>
        <v>32.320461881984052</v>
      </c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  <c r="AI133" s="81"/>
      <c r="AJ133" s="81"/>
      <c r="AK133" s="81"/>
      <c r="AL133" s="81"/>
      <c r="AM133" s="81"/>
      <c r="AN133" s="81"/>
    </row>
    <row r="134" spans="1:40" ht="14.25" customHeight="1">
      <c r="A134" s="82">
        <v>30702</v>
      </c>
      <c r="B134" s="83" t="s">
        <v>17</v>
      </c>
      <c r="C134" s="83" t="s">
        <v>182</v>
      </c>
      <c r="D134" s="83" t="s">
        <v>183</v>
      </c>
      <c r="E134" s="103">
        <v>3</v>
      </c>
      <c r="F134" s="104">
        <v>126</v>
      </c>
      <c r="G134" s="84">
        <f t="shared" si="27"/>
        <v>3.2930845225027441E-3</v>
      </c>
      <c r="H134" s="85">
        <f t="shared" si="28"/>
        <v>0.57832162458836434</v>
      </c>
      <c r="I134" s="84">
        <f t="shared" si="29"/>
        <v>3.3337743087710012E-3</v>
      </c>
      <c r="J134" s="86">
        <f t="shared" si="30"/>
        <v>10.271358645323454</v>
      </c>
      <c r="K134" s="86">
        <f t="shared" si="31"/>
        <v>56.304296691234121</v>
      </c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  <c r="AI134" s="81"/>
      <c r="AJ134" s="81"/>
      <c r="AK134" s="81"/>
      <c r="AL134" s="81"/>
      <c r="AM134" s="81"/>
      <c r="AN134" s="81"/>
    </row>
    <row r="135" spans="1:40" ht="14.25" customHeight="1">
      <c r="A135" s="82">
        <v>30703</v>
      </c>
      <c r="B135" s="83" t="s">
        <v>17</v>
      </c>
      <c r="C135" s="83" t="s">
        <v>182</v>
      </c>
      <c r="D135" s="83" t="s">
        <v>184</v>
      </c>
      <c r="E135" s="103">
        <v>8</v>
      </c>
      <c r="F135" s="104">
        <v>101</v>
      </c>
      <c r="G135" s="84">
        <f t="shared" si="27"/>
        <v>8.7815587266739849E-3</v>
      </c>
      <c r="H135" s="85">
        <f t="shared" si="28"/>
        <v>1.542190998902305</v>
      </c>
      <c r="I135" s="84">
        <f t="shared" si="29"/>
        <v>2.6723111522688188E-3</v>
      </c>
      <c r="J135" s="86">
        <f t="shared" si="30"/>
        <v>8.2333906601402305</v>
      </c>
      <c r="K135" s="86">
        <f t="shared" si="31"/>
        <v>187.30934344806596</v>
      </c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  <c r="AI135" s="81"/>
      <c r="AJ135" s="81"/>
      <c r="AK135" s="81"/>
      <c r="AL135" s="81"/>
      <c r="AM135" s="81"/>
      <c r="AN135" s="81"/>
    </row>
    <row r="136" spans="1:40" ht="14.25" customHeight="1">
      <c r="A136" s="82">
        <v>30801</v>
      </c>
      <c r="B136" s="83" t="s">
        <v>17</v>
      </c>
      <c r="C136" s="83" t="s">
        <v>185</v>
      </c>
      <c r="D136" s="83" t="s">
        <v>186</v>
      </c>
      <c r="E136" s="103">
        <v>8</v>
      </c>
      <c r="F136" s="104">
        <v>400</v>
      </c>
      <c r="G136" s="84">
        <f t="shared" si="27"/>
        <v>8.7815587266739849E-3</v>
      </c>
      <c r="H136" s="85">
        <f t="shared" si="28"/>
        <v>1.542190998902305</v>
      </c>
      <c r="I136" s="84">
        <f t="shared" si="29"/>
        <v>1.0583410504034925E-2</v>
      </c>
      <c r="J136" s="86">
        <f t="shared" si="30"/>
        <v>32.607487762931605</v>
      </c>
      <c r="K136" s="86">
        <f t="shared" si="31"/>
        <v>47.295609220636656</v>
      </c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1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  <c r="AI136" s="81"/>
      <c r="AJ136" s="81"/>
      <c r="AK136" s="81"/>
      <c r="AL136" s="81"/>
      <c r="AM136" s="81"/>
      <c r="AN136" s="81"/>
    </row>
    <row r="137" spans="1:40" ht="14.25" customHeight="1">
      <c r="A137" s="82">
        <v>30802</v>
      </c>
      <c r="B137" s="83" t="s">
        <v>17</v>
      </c>
      <c r="C137" s="83" t="s">
        <v>185</v>
      </c>
      <c r="D137" s="83" t="s">
        <v>187</v>
      </c>
      <c r="E137" s="103">
        <v>3</v>
      </c>
      <c r="F137" s="104">
        <v>109</v>
      </c>
      <c r="G137" s="84">
        <f t="shared" si="27"/>
        <v>3.2930845225027441E-3</v>
      </c>
      <c r="H137" s="85">
        <f t="shared" si="28"/>
        <v>0.57832162458836434</v>
      </c>
      <c r="I137" s="84">
        <f t="shared" si="29"/>
        <v>2.8839793623495172E-3</v>
      </c>
      <c r="J137" s="86">
        <f t="shared" si="30"/>
        <v>8.8855404153988626</v>
      </c>
      <c r="K137" s="86">
        <f t="shared" si="31"/>
        <v>65.085700762344018</v>
      </c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1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  <c r="AI137" s="81"/>
      <c r="AJ137" s="81"/>
      <c r="AK137" s="81"/>
      <c r="AL137" s="81"/>
      <c r="AM137" s="81"/>
      <c r="AN137" s="81"/>
    </row>
    <row r="138" spans="1:40" ht="14.25" customHeight="1">
      <c r="A138" s="82">
        <v>30803</v>
      </c>
      <c r="B138" s="83" t="s">
        <v>17</v>
      </c>
      <c r="C138" s="83" t="s">
        <v>185</v>
      </c>
      <c r="D138" s="83" t="s">
        <v>188</v>
      </c>
      <c r="E138" s="103">
        <v>4</v>
      </c>
      <c r="F138" s="104">
        <v>97</v>
      </c>
      <c r="G138" s="84">
        <f t="shared" si="27"/>
        <v>4.3907793633369925E-3</v>
      </c>
      <c r="H138" s="85">
        <f t="shared" si="28"/>
        <v>0.77109549945115252</v>
      </c>
      <c r="I138" s="84">
        <f t="shared" si="29"/>
        <v>2.5664770472284696E-3</v>
      </c>
      <c r="J138" s="86">
        <f t="shared" si="30"/>
        <v>7.9073157825109144</v>
      </c>
      <c r="K138" s="86">
        <f t="shared" si="31"/>
        <v>97.516720042549807</v>
      </c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  <c r="AI138" s="81"/>
      <c r="AJ138" s="81"/>
      <c r="AK138" s="81"/>
      <c r="AL138" s="81"/>
      <c r="AM138" s="81"/>
      <c r="AN138" s="81"/>
    </row>
    <row r="139" spans="1:40" ht="14.25" customHeight="1">
      <c r="A139" s="82">
        <v>30901</v>
      </c>
      <c r="B139" s="83" t="s">
        <v>17</v>
      </c>
      <c r="C139" s="83" t="s">
        <v>189</v>
      </c>
      <c r="D139" s="83" t="s">
        <v>189</v>
      </c>
      <c r="E139" s="103">
        <v>26</v>
      </c>
      <c r="F139" s="104">
        <v>2893</v>
      </c>
      <c r="G139" s="84">
        <f t="shared" si="27"/>
        <v>2.8540065861690452E-2</v>
      </c>
      <c r="H139" s="85">
        <f t="shared" si="28"/>
        <v>5.0121207464324922</v>
      </c>
      <c r="I139" s="84">
        <f t="shared" si="29"/>
        <v>7.6544516470432603E-2</v>
      </c>
      <c r="J139" s="86">
        <f t="shared" si="30"/>
        <v>235.83365524540284</v>
      </c>
      <c r="K139" s="86">
        <f t="shared" si="31"/>
        <v>21.252779808789377</v>
      </c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  <c r="AI139" s="81"/>
      <c r="AJ139" s="81"/>
      <c r="AK139" s="81"/>
      <c r="AL139" s="81"/>
      <c r="AM139" s="81"/>
      <c r="AN139" s="81"/>
    </row>
    <row r="140" spans="1:40" ht="14.25" customHeight="1">
      <c r="A140" s="82">
        <v>30902</v>
      </c>
      <c r="B140" s="83" t="s">
        <v>17</v>
      </c>
      <c r="C140" s="83" t="s">
        <v>189</v>
      </c>
      <c r="D140" s="83" t="s">
        <v>190</v>
      </c>
      <c r="E140" s="103">
        <v>17</v>
      </c>
      <c r="F140" s="104">
        <v>951</v>
      </c>
      <c r="G140" s="84">
        <f t="shared" si="27"/>
        <v>1.8660812294182216E-2</v>
      </c>
      <c r="H140" s="85">
        <f t="shared" si="28"/>
        <v>3.2771558726673979</v>
      </c>
      <c r="I140" s="84">
        <f t="shared" si="29"/>
        <v>2.5162058473343036E-2</v>
      </c>
      <c r="J140" s="86">
        <f t="shared" si="30"/>
        <v>77.524302156369899</v>
      </c>
      <c r="K140" s="86">
        <f t="shared" si="31"/>
        <v>42.272626537898162</v>
      </c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  <c r="AI140" s="81"/>
      <c r="AJ140" s="81"/>
      <c r="AK140" s="81"/>
      <c r="AL140" s="81"/>
      <c r="AM140" s="81"/>
      <c r="AN140" s="81"/>
    </row>
    <row r="141" spans="1:40" ht="14.25" customHeight="1">
      <c r="A141" s="82">
        <v>30903</v>
      </c>
      <c r="B141" s="83" t="s">
        <v>17</v>
      </c>
      <c r="C141" s="83" t="s">
        <v>189</v>
      </c>
      <c r="D141" s="83" t="s">
        <v>191</v>
      </c>
      <c r="E141" s="103">
        <v>10</v>
      </c>
      <c r="F141" s="104">
        <v>1114</v>
      </c>
      <c r="G141" s="84">
        <f t="shared" si="27"/>
        <v>1.0976948408342482E-2</v>
      </c>
      <c r="H141" s="85">
        <f t="shared" si="28"/>
        <v>1.9277387486278814</v>
      </c>
      <c r="I141" s="84">
        <f t="shared" si="29"/>
        <v>2.9474798253737267E-2</v>
      </c>
      <c r="J141" s="86">
        <f t="shared" si="30"/>
        <v>90.811853419764518</v>
      </c>
      <c r="K141" s="86">
        <f t="shared" si="31"/>
        <v>21.227831786641232</v>
      </c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  <c r="AI141" s="81"/>
      <c r="AJ141" s="81"/>
      <c r="AK141" s="81"/>
      <c r="AL141" s="81"/>
      <c r="AM141" s="81"/>
      <c r="AN141" s="81"/>
    </row>
    <row r="142" spans="1:40" ht="14.25" customHeight="1">
      <c r="A142" s="82">
        <v>30904</v>
      </c>
      <c r="B142" s="83" t="s">
        <v>17</v>
      </c>
      <c r="C142" s="83" t="s">
        <v>189</v>
      </c>
      <c r="D142" s="83" t="s">
        <v>192</v>
      </c>
      <c r="E142" s="103">
        <v>16</v>
      </c>
      <c r="F142" s="104">
        <v>1181</v>
      </c>
      <c r="G142" s="84">
        <f t="shared" si="27"/>
        <v>1.756311745334797E-2</v>
      </c>
      <c r="H142" s="85">
        <f t="shared" si="28"/>
        <v>3.0843819978046101</v>
      </c>
      <c r="I142" s="84">
        <f t="shared" si="29"/>
        <v>3.1247519513163118E-2</v>
      </c>
      <c r="J142" s="86">
        <f t="shared" si="30"/>
        <v>96.273607620055571</v>
      </c>
      <c r="K142" s="86">
        <f t="shared" si="31"/>
        <v>32.037669243445656</v>
      </c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  <c r="AI142" s="81"/>
      <c r="AJ142" s="81"/>
      <c r="AK142" s="81"/>
      <c r="AL142" s="81"/>
      <c r="AM142" s="81"/>
      <c r="AN142" s="81"/>
    </row>
    <row r="143" spans="1:40" ht="14.25" customHeight="1">
      <c r="A143" s="82">
        <v>30905</v>
      </c>
      <c r="B143" s="83" t="s">
        <v>17</v>
      </c>
      <c r="C143" s="83" t="s">
        <v>189</v>
      </c>
      <c r="D143" s="83" t="s">
        <v>193</v>
      </c>
      <c r="E143" s="103">
        <v>9</v>
      </c>
      <c r="F143" s="104">
        <v>1005</v>
      </c>
      <c r="G143" s="84">
        <f t="shared" si="27"/>
        <v>9.8792535675082324E-3</v>
      </c>
      <c r="H143" s="85">
        <f t="shared" si="28"/>
        <v>1.7349648737650931</v>
      </c>
      <c r="I143" s="84">
        <f t="shared" si="29"/>
        <v>2.6590818891387751E-2</v>
      </c>
      <c r="J143" s="86">
        <f t="shared" si="30"/>
        <v>81.926313004365653</v>
      </c>
      <c r="K143" s="86">
        <f t="shared" si="31"/>
        <v>21.17713845700149</v>
      </c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  <c r="AI143" s="81"/>
      <c r="AJ143" s="81"/>
      <c r="AK143" s="81"/>
      <c r="AL143" s="81"/>
      <c r="AM143" s="81"/>
      <c r="AN143" s="81"/>
    </row>
    <row r="144" spans="1:40" ht="14.25" customHeight="1">
      <c r="A144" s="82">
        <v>31001</v>
      </c>
      <c r="B144" s="83" t="s">
        <v>17</v>
      </c>
      <c r="C144" s="83" t="s">
        <v>194</v>
      </c>
      <c r="D144" s="83" t="s">
        <v>195</v>
      </c>
      <c r="E144" s="103">
        <v>82</v>
      </c>
      <c r="F144" s="104">
        <v>3503</v>
      </c>
      <c r="G144" s="84">
        <f t="shared" si="27"/>
        <v>9.0010976948408344E-2</v>
      </c>
      <c r="H144" s="85">
        <f t="shared" si="28"/>
        <v>15.807457738748628</v>
      </c>
      <c r="I144" s="84">
        <f t="shared" si="29"/>
        <v>9.2684217489085854E-2</v>
      </c>
      <c r="J144" s="86">
        <f t="shared" si="30"/>
        <v>285.56007408387353</v>
      </c>
      <c r="K144" s="86">
        <f t="shared" si="31"/>
        <v>55.355979961350364</v>
      </c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1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  <c r="AI144" s="81"/>
      <c r="AJ144" s="81"/>
      <c r="AK144" s="81"/>
      <c r="AL144" s="81"/>
      <c r="AM144" s="81"/>
      <c r="AN144" s="81"/>
    </row>
    <row r="145" spans="1:40" ht="14.25" customHeight="1">
      <c r="A145" s="82">
        <v>31002</v>
      </c>
      <c r="B145" s="83" t="s">
        <v>17</v>
      </c>
      <c r="C145" s="83" t="s">
        <v>194</v>
      </c>
      <c r="D145" s="83" t="s">
        <v>196</v>
      </c>
      <c r="E145" s="103">
        <v>16</v>
      </c>
      <c r="F145" s="104">
        <v>478</v>
      </c>
      <c r="G145" s="84">
        <f t="shared" si="27"/>
        <v>1.756311745334797E-2</v>
      </c>
      <c r="H145" s="85">
        <f t="shared" si="28"/>
        <v>3.0843819978046101</v>
      </c>
      <c r="I145" s="84">
        <f t="shared" si="29"/>
        <v>1.2647175552321735E-2</v>
      </c>
      <c r="J145" s="86">
        <f t="shared" si="30"/>
        <v>38.965947876703268</v>
      </c>
      <c r="K145" s="86">
        <f t="shared" si="31"/>
        <v>79.155831331609463</v>
      </c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  <c r="AI145" s="81"/>
      <c r="AJ145" s="81"/>
      <c r="AK145" s="81"/>
      <c r="AL145" s="81"/>
      <c r="AM145" s="81"/>
      <c r="AN145" s="81"/>
    </row>
    <row r="146" spans="1:40" ht="14.25" customHeight="1">
      <c r="A146" s="82">
        <v>31003</v>
      </c>
      <c r="B146" s="83" t="s">
        <v>17</v>
      </c>
      <c r="C146" s="83" t="s">
        <v>194</v>
      </c>
      <c r="D146" s="83" t="s">
        <v>197</v>
      </c>
      <c r="E146" s="103">
        <v>62</v>
      </c>
      <c r="F146" s="104">
        <v>1843</v>
      </c>
      <c r="G146" s="84">
        <f t="shared" si="27"/>
        <v>6.8057080131723374E-2</v>
      </c>
      <c r="H146" s="85">
        <f t="shared" si="28"/>
        <v>11.951980241492864</v>
      </c>
      <c r="I146" s="84">
        <f t="shared" si="29"/>
        <v>4.8763063897340919E-2</v>
      </c>
      <c r="J146" s="86">
        <f t="shared" si="30"/>
        <v>150.23899986770738</v>
      </c>
      <c r="K146" s="86">
        <f t="shared" si="31"/>
        <v>79.553113718922205</v>
      </c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1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  <c r="AI146" s="81"/>
      <c r="AJ146" s="81"/>
      <c r="AK146" s="81"/>
      <c r="AL146" s="81"/>
      <c r="AM146" s="81"/>
      <c r="AN146" s="81"/>
    </row>
    <row r="147" spans="1:40" ht="14.25" customHeight="1">
      <c r="A147" s="82">
        <v>31101</v>
      </c>
      <c r="B147" s="83" t="s">
        <v>17</v>
      </c>
      <c r="C147" s="83" t="s">
        <v>198</v>
      </c>
      <c r="D147" s="83" t="s">
        <v>198</v>
      </c>
      <c r="E147" s="103">
        <v>27</v>
      </c>
      <c r="F147" s="104">
        <v>546</v>
      </c>
      <c r="G147" s="84">
        <f>E147/$R$4</f>
        <v>2.9637760702524697E-2</v>
      </c>
      <c r="H147" s="85">
        <f>$S$19*G147</f>
        <v>5.2048946212952796</v>
      </c>
      <c r="I147" s="84">
        <f>F147/$S$4</f>
        <v>1.4446355338007673E-2</v>
      </c>
      <c r="J147" s="86">
        <f>I147*$U$19</f>
        <v>44.509220796401642</v>
      </c>
      <c r="K147" s="86">
        <f t="shared" si="31"/>
        <v>116.93969312794778</v>
      </c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  <c r="AI147" s="81"/>
      <c r="AJ147" s="81"/>
      <c r="AK147" s="81"/>
      <c r="AL147" s="81"/>
      <c r="AM147" s="81"/>
      <c r="AN147" s="81"/>
    </row>
    <row r="148" spans="1:40" ht="14.25" customHeight="1">
      <c r="A148" s="82">
        <v>31201</v>
      </c>
      <c r="B148" s="83" t="s">
        <v>17</v>
      </c>
      <c r="C148" s="83" t="s">
        <v>199</v>
      </c>
      <c r="D148" s="83" t="s">
        <v>200</v>
      </c>
      <c r="E148" s="103">
        <v>14</v>
      </c>
      <c r="F148" s="104">
        <v>336</v>
      </c>
      <c r="G148" s="84">
        <f t="shared" ref="G148:G155" si="32">E148/$R$4</f>
        <v>1.5367727771679473E-2</v>
      </c>
      <c r="H148" s="85">
        <f t="shared" si="28"/>
        <v>2.6988342480790339</v>
      </c>
      <c r="I148" s="84">
        <f t="shared" ref="I148:I155" si="33">F148/$S$4</f>
        <v>8.8900648233893372E-3</v>
      </c>
      <c r="J148" s="86">
        <f t="shared" si="30"/>
        <v>27.390289720862548</v>
      </c>
      <c r="K148" s="86">
        <f t="shared" si="31"/>
        <v>98.532519209659711</v>
      </c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1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  <c r="AI148" s="81"/>
      <c r="AJ148" s="81"/>
      <c r="AK148" s="81"/>
      <c r="AL148" s="81"/>
      <c r="AM148" s="81"/>
      <c r="AN148" s="81"/>
    </row>
    <row r="149" spans="1:40" ht="14.25" customHeight="1">
      <c r="A149" s="82">
        <v>31202</v>
      </c>
      <c r="B149" s="83" t="s">
        <v>17</v>
      </c>
      <c r="C149" s="83" t="s">
        <v>199</v>
      </c>
      <c r="D149" s="83" t="s">
        <v>201</v>
      </c>
      <c r="E149" s="103">
        <v>9</v>
      </c>
      <c r="F149" s="104">
        <v>270</v>
      </c>
      <c r="G149" s="84">
        <f t="shared" si="32"/>
        <v>9.8792535675082324E-3</v>
      </c>
      <c r="H149" s="85">
        <f t="shared" si="28"/>
        <v>1.7349648737650931</v>
      </c>
      <c r="I149" s="84">
        <f t="shared" si="33"/>
        <v>7.1438020902235746E-3</v>
      </c>
      <c r="J149" s="86">
        <f t="shared" si="30"/>
        <v>22.010054239978832</v>
      </c>
      <c r="K149" s="86">
        <f t="shared" si="31"/>
        <v>78.826015367727777</v>
      </c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  <c r="AI149" s="81"/>
      <c r="AJ149" s="81"/>
      <c r="AK149" s="81"/>
      <c r="AL149" s="81"/>
      <c r="AM149" s="81"/>
      <c r="AN149" s="81"/>
    </row>
    <row r="150" spans="1:40" ht="14.25" customHeight="1">
      <c r="A150" s="82">
        <v>31203</v>
      </c>
      <c r="B150" s="83" t="s">
        <v>17</v>
      </c>
      <c r="C150" s="83" t="s">
        <v>199</v>
      </c>
      <c r="D150" s="83" t="s">
        <v>202</v>
      </c>
      <c r="E150" s="103">
        <v>5</v>
      </c>
      <c r="F150" s="104">
        <v>219</v>
      </c>
      <c r="G150" s="84">
        <f t="shared" si="32"/>
        <v>5.4884742041712408E-3</v>
      </c>
      <c r="H150" s="85">
        <f t="shared" si="28"/>
        <v>0.96386937431394071</v>
      </c>
      <c r="I150" s="84">
        <f t="shared" si="33"/>
        <v>5.7944172509591212E-3</v>
      </c>
      <c r="J150" s="86">
        <f t="shared" si="30"/>
        <v>17.852599550205053</v>
      </c>
      <c r="K150" s="86">
        <f t="shared" si="31"/>
        <v>53.990421484745049</v>
      </c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  <c r="AI150" s="81"/>
      <c r="AJ150" s="81"/>
      <c r="AK150" s="81"/>
      <c r="AL150" s="81"/>
      <c r="AM150" s="81"/>
      <c r="AN150" s="81"/>
    </row>
    <row r="151" spans="1:40" ht="14.25" customHeight="1">
      <c r="A151" s="82">
        <v>31204</v>
      </c>
      <c r="B151" s="83" t="s">
        <v>17</v>
      </c>
      <c r="C151" s="83" t="s">
        <v>199</v>
      </c>
      <c r="D151" s="83" t="s">
        <v>203</v>
      </c>
      <c r="E151" s="103">
        <v>19</v>
      </c>
      <c r="F151" s="104">
        <v>583</v>
      </c>
      <c r="G151" s="84">
        <f t="shared" si="32"/>
        <v>2.0856201975850714E-2</v>
      </c>
      <c r="H151" s="85">
        <f t="shared" si="28"/>
        <v>3.6627036223929745</v>
      </c>
      <c r="I151" s="84">
        <f t="shared" si="33"/>
        <v>1.5425320809630903E-2</v>
      </c>
      <c r="J151" s="86">
        <f t="shared" si="30"/>
        <v>47.525413414472816</v>
      </c>
      <c r="K151" s="86">
        <f t="shared" si="31"/>
        <v>77.06831691184361</v>
      </c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  <c r="AI151" s="81"/>
      <c r="AJ151" s="81"/>
      <c r="AK151" s="81"/>
      <c r="AL151" s="81"/>
      <c r="AM151" s="81"/>
      <c r="AN151" s="81"/>
    </row>
    <row r="152" spans="1:40" ht="14.25" customHeight="1">
      <c r="A152" s="82">
        <v>31205</v>
      </c>
      <c r="B152" s="83" t="s">
        <v>17</v>
      </c>
      <c r="C152" s="83" t="s">
        <v>199</v>
      </c>
      <c r="D152" s="83" t="s">
        <v>204</v>
      </c>
      <c r="E152" s="103">
        <v>25</v>
      </c>
      <c r="F152" s="104">
        <v>1232</v>
      </c>
      <c r="G152" s="84">
        <f t="shared" si="32"/>
        <v>2.7442371020856202E-2</v>
      </c>
      <c r="H152" s="85">
        <f t="shared" si="28"/>
        <v>4.819346871569703</v>
      </c>
      <c r="I152" s="84">
        <f t="shared" si="33"/>
        <v>3.2596904352427569E-2</v>
      </c>
      <c r="J152" s="86">
        <f t="shared" si="30"/>
        <v>100.43106230982934</v>
      </c>
      <c r="K152" s="86">
        <f t="shared" si="31"/>
        <v>47.986616498210893</v>
      </c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1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  <c r="AI152" s="81"/>
      <c r="AJ152" s="81"/>
      <c r="AK152" s="81"/>
      <c r="AL152" s="81"/>
      <c r="AM152" s="81"/>
      <c r="AN152" s="81"/>
    </row>
    <row r="153" spans="1:40" ht="14.25" customHeight="1">
      <c r="A153" s="82">
        <v>31206</v>
      </c>
      <c r="B153" s="83" t="s">
        <v>17</v>
      </c>
      <c r="C153" s="83" t="s">
        <v>199</v>
      </c>
      <c r="D153" s="83" t="s">
        <v>205</v>
      </c>
      <c r="E153" s="103">
        <v>12</v>
      </c>
      <c r="F153" s="104">
        <v>826</v>
      </c>
      <c r="G153" s="84">
        <f t="shared" si="32"/>
        <v>1.3172338090010977E-2</v>
      </c>
      <c r="H153" s="85">
        <f t="shared" si="28"/>
        <v>2.3132864983534573</v>
      </c>
      <c r="I153" s="84">
        <f t="shared" si="33"/>
        <v>2.1854742690832121E-2</v>
      </c>
      <c r="J153" s="86">
        <f t="shared" si="30"/>
        <v>67.334462230453767</v>
      </c>
      <c r="K153" s="86">
        <f t="shared" si="31"/>
        <v>34.355164082786914</v>
      </c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  <c r="AI153" s="81"/>
      <c r="AJ153" s="81"/>
      <c r="AK153" s="81"/>
      <c r="AL153" s="81"/>
      <c r="AM153" s="81"/>
      <c r="AN153" s="81"/>
    </row>
    <row r="154" spans="1:40" ht="14.25" customHeight="1">
      <c r="A154" s="82">
        <v>31301</v>
      </c>
      <c r="B154" s="83" t="s">
        <v>17</v>
      </c>
      <c r="C154" s="83" t="s">
        <v>206</v>
      </c>
      <c r="D154" s="83" t="s">
        <v>206</v>
      </c>
      <c r="E154" s="103">
        <v>8</v>
      </c>
      <c r="F154" s="104">
        <v>483</v>
      </c>
      <c r="G154" s="84">
        <f t="shared" si="32"/>
        <v>8.7815587266739849E-3</v>
      </c>
      <c r="H154" s="85">
        <f t="shared" si="28"/>
        <v>1.542190998902305</v>
      </c>
      <c r="I154" s="84">
        <f t="shared" si="33"/>
        <v>1.2779468183622172E-2</v>
      </c>
      <c r="J154" s="86">
        <f t="shared" si="30"/>
        <v>39.373541473739913</v>
      </c>
      <c r="K154" s="86">
        <f t="shared" si="31"/>
        <v>39.16820639390199</v>
      </c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1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  <c r="AI154" s="81"/>
      <c r="AJ154" s="81"/>
      <c r="AK154" s="81"/>
      <c r="AL154" s="81"/>
      <c r="AM154" s="81"/>
      <c r="AN154" s="81"/>
    </row>
    <row r="155" spans="1:40" ht="14.25" customHeight="1">
      <c r="A155" s="82">
        <v>31302</v>
      </c>
      <c r="B155" s="83" t="s">
        <v>17</v>
      </c>
      <c r="C155" s="83" t="s">
        <v>206</v>
      </c>
      <c r="D155" s="83" t="s">
        <v>207</v>
      </c>
      <c r="E155" s="103">
        <v>2</v>
      </c>
      <c r="F155" s="104">
        <v>108</v>
      </c>
      <c r="G155" s="84">
        <f t="shared" si="32"/>
        <v>2.1953896816684962E-3</v>
      </c>
      <c r="H155" s="85">
        <f t="shared" si="28"/>
        <v>0.38554774972557626</v>
      </c>
      <c r="I155" s="84">
        <f t="shared" si="33"/>
        <v>2.85752083608943E-3</v>
      </c>
      <c r="J155" s="86">
        <f t="shared" si="30"/>
        <v>8.8040216959915334</v>
      </c>
      <c r="K155" s="86">
        <f t="shared" si="31"/>
        <v>43.792230759848756</v>
      </c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1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  <c r="AI155" s="81"/>
      <c r="AJ155" s="81"/>
      <c r="AK155" s="81"/>
      <c r="AL155" s="81"/>
      <c r="AM155" s="81"/>
      <c r="AN155" s="81"/>
    </row>
    <row r="156" spans="1:40" ht="14.25" customHeight="1">
      <c r="A156" s="82">
        <v>31303</v>
      </c>
      <c r="B156" s="83" t="s">
        <v>17</v>
      </c>
      <c r="C156" s="83" t="s">
        <v>206</v>
      </c>
      <c r="D156" s="83" t="s">
        <v>208</v>
      </c>
      <c r="E156" s="103">
        <v>1</v>
      </c>
      <c r="F156" s="104">
        <v>82</v>
      </c>
      <c r="G156" s="84">
        <f>E156/$R$4</f>
        <v>1.0976948408342481E-3</v>
      </c>
      <c r="H156" s="85">
        <f>$S$19*G156</f>
        <v>0.19277387486278813</v>
      </c>
      <c r="I156" s="84">
        <f>F156/$S$4</f>
        <v>2.1695991533271595E-3</v>
      </c>
      <c r="J156" s="86">
        <f>I156*$U$19</f>
        <v>6.6845349914009784</v>
      </c>
      <c r="K156" s="86">
        <f t="shared" si="31"/>
        <v>28.838786110144305</v>
      </c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1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  <c r="AI156" s="81"/>
      <c r="AJ156" s="81"/>
      <c r="AK156" s="81"/>
      <c r="AL156" s="81"/>
      <c r="AM156" s="81"/>
      <c r="AN156" s="81"/>
    </row>
    <row r="157" spans="1:40" ht="14.25" customHeight="1">
      <c r="A157" s="98">
        <v>31304</v>
      </c>
      <c r="B157" s="83" t="s">
        <v>17</v>
      </c>
      <c r="C157" s="83" t="s">
        <v>206</v>
      </c>
      <c r="D157" s="83" t="s">
        <v>209</v>
      </c>
      <c r="E157" s="103">
        <v>4</v>
      </c>
      <c r="F157" s="104">
        <v>209</v>
      </c>
      <c r="G157" s="84">
        <f t="shared" ref="G157:G165" si="34">E157/$R$4</f>
        <v>4.3907793633369925E-3</v>
      </c>
      <c r="H157" s="85">
        <f t="shared" si="28"/>
        <v>0.77109549945115252</v>
      </c>
      <c r="I157" s="84">
        <f t="shared" ref="I157:I165" si="35">F157/$S$4</f>
        <v>5.5298319883582484E-3</v>
      </c>
      <c r="J157" s="86">
        <f t="shared" si="30"/>
        <v>17.037412356131764</v>
      </c>
      <c r="K157" s="86">
        <f t="shared" si="31"/>
        <v>45.258956191996802</v>
      </c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  <c r="AI157" s="81"/>
      <c r="AJ157" s="81"/>
      <c r="AK157" s="81"/>
      <c r="AL157" s="81"/>
      <c r="AM157" s="81"/>
      <c r="AN157" s="81"/>
    </row>
    <row r="158" spans="1:40" ht="14.25" customHeight="1">
      <c r="A158" s="82">
        <v>31401</v>
      </c>
      <c r="B158" s="83" t="s">
        <v>17</v>
      </c>
      <c r="C158" s="83" t="s">
        <v>210</v>
      </c>
      <c r="D158" s="83" t="s">
        <v>210</v>
      </c>
      <c r="E158" s="103">
        <v>7</v>
      </c>
      <c r="F158" s="104">
        <v>536</v>
      </c>
      <c r="G158" s="84">
        <f t="shared" si="34"/>
        <v>7.6838638858397366E-3</v>
      </c>
      <c r="H158" s="85">
        <f t="shared" si="28"/>
        <v>1.349417124039517</v>
      </c>
      <c r="I158" s="84">
        <f t="shared" si="35"/>
        <v>1.41817700754068E-2</v>
      </c>
      <c r="J158" s="86">
        <f t="shared" si="30"/>
        <v>43.694033602328354</v>
      </c>
      <c r="K158" s="86">
        <f t="shared" si="31"/>
        <v>30.883326916460504</v>
      </c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  <c r="AI158" s="81"/>
      <c r="AJ158" s="81"/>
      <c r="AK158" s="81"/>
      <c r="AL158" s="81"/>
      <c r="AM158" s="81"/>
      <c r="AN158" s="81"/>
    </row>
    <row r="159" spans="1:40" ht="14.25" customHeight="1">
      <c r="A159" s="82">
        <v>31402</v>
      </c>
      <c r="B159" s="83" t="s">
        <v>17</v>
      </c>
      <c r="C159" s="83" t="s">
        <v>210</v>
      </c>
      <c r="D159" s="83" t="s">
        <v>211</v>
      </c>
      <c r="E159" s="103">
        <v>0</v>
      </c>
      <c r="F159" s="104">
        <v>174</v>
      </c>
      <c r="G159" s="84">
        <f t="shared" si="34"/>
        <v>0</v>
      </c>
      <c r="H159" s="85">
        <f t="shared" si="28"/>
        <v>0</v>
      </c>
      <c r="I159" s="84">
        <f t="shared" si="35"/>
        <v>4.6037835692551926E-3</v>
      </c>
      <c r="J159" s="86">
        <f t="shared" si="30"/>
        <v>14.184257176875249</v>
      </c>
      <c r="K159" s="86">
        <f t="shared" si="31"/>
        <v>0</v>
      </c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  <c r="AI159" s="81"/>
      <c r="AJ159" s="81"/>
      <c r="AK159" s="81"/>
      <c r="AL159" s="81"/>
      <c r="AM159" s="81"/>
      <c r="AN159" s="81"/>
    </row>
    <row r="160" spans="1:40" ht="14.25" customHeight="1">
      <c r="A160" s="82">
        <v>31403</v>
      </c>
      <c r="B160" s="83" t="s">
        <v>17</v>
      </c>
      <c r="C160" s="83" t="s">
        <v>210</v>
      </c>
      <c r="D160" s="83" t="s">
        <v>212</v>
      </c>
      <c r="E160" s="103">
        <v>6</v>
      </c>
      <c r="F160" s="104">
        <v>217</v>
      </c>
      <c r="G160" s="84">
        <f t="shared" si="34"/>
        <v>6.5861690450054883E-3</v>
      </c>
      <c r="H160" s="85">
        <f t="shared" si="28"/>
        <v>1.1566432491767287</v>
      </c>
      <c r="I160" s="84">
        <f t="shared" si="35"/>
        <v>5.7415001984389468E-3</v>
      </c>
      <c r="J160" s="86">
        <f t="shared" si="30"/>
        <v>17.689562111390394</v>
      </c>
      <c r="K160" s="86">
        <f t="shared" si="31"/>
        <v>65.385634867239617</v>
      </c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1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  <c r="AI160" s="81"/>
      <c r="AJ160" s="81"/>
      <c r="AK160" s="81"/>
      <c r="AL160" s="81"/>
      <c r="AM160" s="81"/>
      <c r="AN160" s="81"/>
    </row>
    <row r="161" spans="1:40" ht="14.25" customHeight="1">
      <c r="A161" s="82">
        <v>31404</v>
      </c>
      <c r="B161" s="83" t="s">
        <v>17</v>
      </c>
      <c r="C161" s="83" t="s">
        <v>210</v>
      </c>
      <c r="D161" s="83" t="s">
        <v>213</v>
      </c>
      <c r="E161" s="103">
        <v>1</v>
      </c>
      <c r="F161" s="104">
        <v>23</v>
      </c>
      <c r="G161" s="84">
        <f t="shared" si="34"/>
        <v>1.0976948408342481E-3</v>
      </c>
      <c r="H161" s="85">
        <f t="shared" si="28"/>
        <v>0.19277387486278813</v>
      </c>
      <c r="I161" s="84">
        <f t="shared" si="35"/>
        <v>6.0854610398200818E-4</v>
      </c>
      <c r="J161" s="86">
        <f t="shared" si="30"/>
        <v>1.8749305463685673</v>
      </c>
      <c r="K161" s="86">
        <f t="shared" si="31"/>
        <v>102.81654178399273</v>
      </c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  <c r="AI161" s="81"/>
      <c r="AJ161" s="81"/>
      <c r="AK161" s="81"/>
      <c r="AL161" s="81"/>
      <c r="AM161" s="81"/>
      <c r="AN161" s="81"/>
    </row>
    <row r="162" spans="1:40" ht="14.25" customHeight="1">
      <c r="A162" s="82">
        <v>31405</v>
      </c>
      <c r="B162" s="83" t="s">
        <v>17</v>
      </c>
      <c r="C162" s="83" t="s">
        <v>210</v>
      </c>
      <c r="D162" s="83" t="s">
        <v>214</v>
      </c>
      <c r="E162" s="103">
        <v>0</v>
      </c>
      <c r="F162" s="104">
        <v>49</v>
      </c>
      <c r="G162" s="84">
        <f t="shared" si="34"/>
        <v>0</v>
      </c>
      <c r="H162" s="85">
        <f t="shared" si="28"/>
        <v>0</v>
      </c>
      <c r="I162" s="84">
        <f t="shared" si="35"/>
        <v>1.2964677867442784E-3</v>
      </c>
      <c r="J162" s="86">
        <f t="shared" si="30"/>
        <v>3.9944172509591218</v>
      </c>
      <c r="K162" s="86">
        <f t="shared" si="31"/>
        <v>0</v>
      </c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1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  <c r="AI162" s="81"/>
      <c r="AJ162" s="81"/>
      <c r="AK162" s="81"/>
      <c r="AL162" s="81"/>
      <c r="AM162" s="81"/>
      <c r="AN162" s="81"/>
    </row>
    <row r="163" spans="1:40" ht="14.25" customHeight="1">
      <c r="A163" s="82">
        <v>31501</v>
      </c>
      <c r="B163" s="83" t="s">
        <v>17</v>
      </c>
      <c r="C163" s="83" t="s">
        <v>215</v>
      </c>
      <c r="D163" s="83" t="s">
        <v>215</v>
      </c>
      <c r="E163" s="103">
        <v>8</v>
      </c>
      <c r="F163" s="104">
        <v>135</v>
      </c>
      <c r="G163" s="84">
        <f t="shared" si="34"/>
        <v>8.7815587266739849E-3</v>
      </c>
      <c r="H163" s="85">
        <f t="shared" si="28"/>
        <v>1.542190998902305</v>
      </c>
      <c r="I163" s="84">
        <f t="shared" si="35"/>
        <v>3.5719010451117873E-3</v>
      </c>
      <c r="J163" s="86">
        <f t="shared" si="30"/>
        <v>11.005027119989416</v>
      </c>
      <c r="K163" s="86">
        <f t="shared" si="31"/>
        <v>140.13513843151603</v>
      </c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  <c r="AI163" s="81"/>
      <c r="AJ163" s="81"/>
      <c r="AK163" s="81"/>
      <c r="AL163" s="81"/>
      <c r="AM163" s="81"/>
      <c r="AN163" s="81"/>
    </row>
    <row r="164" spans="1:40" ht="14.25" customHeight="1">
      <c r="A164" s="82">
        <v>31601</v>
      </c>
      <c r="B164" s="83" t="s">
        <v>17</v>
      </c>
      <c r="C164" s="83" t="s">
        <v>216</v>
      </c>
      <c r="D164" s="83" t="s">
        <v>216</v>
      </c>
      <c r="E164" s="103">
        <v>14</v>
      </c>
      <c r="F164" s="104">
        <v>469</v>
      </c>
      <c r="G164" s="84">
        <f t="shared" si="34"/>
        <v>1.5367727771679473E-2</v>
      </c>
      <c r="H164" s="85">
        <f t="shared" si="28"/>
        <v>2.6988342480790339</v>
      </c>
      <c r="I164" s="84">
        <f t="shared" si="35"/>
        <v>1.240904881598095E-2</v>
      </c>
      <c r="J164" s="86">
        <f t="shared" si="30"/>
        <v>38.232279402037307</v>
      </c>
      <c r="K164" s="86">
        <f t="shared" si="31"/>
        <v>70.590461523338291</v>
      </c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1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  <c r="AI164" s="81"/>
      <c r="AJ164" s="81"/>
      <c r="AK164" s="81"/>
      <c r="AL164" s="81"/>
      <c r="AM164" s="81"/>
      <c r="AN164" s="81"/>
    </row>
    <row r="165" spans="1:40" ht="14.25" customHeight="1">
      <c r="A165" s="82">
        <v>31602</v>
      </c>
      <c r="B165" s="83" t="s">
        <v>17</v>
      </c>
      <c r="C165" s="83" t="s">
        <v>216</v>
      </c>
      <c r="D165" s="83" t="s">
        <v>217</v>
      </c>
      <c r="E165" s="103">
        <v>5</v>
      </c>
      <c r="F165" s="104">
        <v>560</v>
      </c>
      <c r="G165" s="84">
        <f t="shared" si="34"/>
        <v>5.4884742041712408E-3</v>
      </c>
      <c r="H165" s="85">
        <f t="shared" si="28"/>
        <v>0.96386937431394071</v>
      </c>
      <c r="I165" s="84">
        <f t="shared" si="35"/>
        <v>1.4816774705648895E-2</v>
      </c>
      <c r="J165" s="86">
        <f t="shared" si="30"/>
        <v>45.650482868104248</v>
      </c>
      <c r="K165" s="86">
        <f t="shared" si="31"/>
        <v>21.114111259212795</v>
      </c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  <c r="AI165" s="81"/>
      <c r="AJ165" s="81"/>
      <c r="AK165" s="81"/>
      <c r="AL165" s="81"/>
      <c r="AM165" s="81"/>
      <c r="AN165" s="81"/>
    </row>
    <row r="166" spans="1:40" ht="14.25" customHeight="1">
      <c r="A166" s="82">
        <v>40101</v>
      </c>
      <c r="B166" s="83" t="s">
        <v>20</v>
      </c>
      <c r="C166" s="83" t="s">
        <v>164</v>
      </c>
      <c r="D166" s="83" t="s">
        <v>20</v>
      </c>
      <c r="E166" s="103">
        <v>29</v>
      </c>
      <c r="F166" s="104">
        <v>5654</v>
      </c>
      <c r="G166" s="84">
        <f>E166/$R$5</f>
        <v>0.13875598086124402</v>
      </c>
      <c r="H166" s="85">
        <f>$S$20*G166</f>
        <v>6.6307320574162683</v>
      </c>
      <c r="I166" s="84">
        <f>F166/$S$5</f>
        <v>0.56135822081016684</v>
      </c>
      <c r="J166" s="86">
        <f>I166*$U$20</f>
        <v>525.99265289912637</v>
      </c>
      <c r="K166" s="86">
        <f>1000*H166/J166</f>
        <v>12.606130562602925</v>
      </c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  <c r="AI166" s="81"/>
      <c r="AJ166" s="81"/>
      <c r="AK166" s="81"/>
      <c r="AL166" s="81"/>
      <c r="AM166" s="81"/>
      <c r="AN166" s="81"/>
    </row>
    <row r="167" spans="1:40" ht="14.25" customHeight="1">
      <c r="A167" s="82">
        <v>40102</v>
      </c>
      <c r="B167" s="83" t="s">
        <v>20</v>
      </c>
      <c r="C167" s="83" t="s">
        <v>164</v>
      </c>
      <c r="D167" s="83" t="s">
        <v>218</v>
      </c>
      <c r="E167" s="103">
        <v>25</v>
      </c>
      <c r="F167" s="104">
        <v>458</v>
      </c>
      <c r="G167" s="84">
        <f t="shared" ref="G167:G186" si="36">E167/$R$5</f>
        <v>0.11961722488038277</v>
      </c>
      <c r="H167" s="85">
        <f t="shared" ref="H167:H200" si="37">$S$20*G167</f>
        <v>5.7161483253588514</v>
      </c>
      <c r="I167" s="84">
        <f t="shared" ref="I167:I186" si="38">F167/$S$5</f>
        <v>4.5472597299444001E-2</v>
      </c>
      <c r="J167" s="86">
        <f t="shared" ref="J167:J200" si="39">I167*$U$20</f>
        <v>42.607823669579027</v>
      </c>
      <c r="K167" s="86">
        <f t="shared" ref="K167:K186" si="40">1000*H167/J167</f>
        <v>134.1572470278515</v>
      </c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  <c r="AI167" s="81"/>
      <c r="AJ167" s="81"/>
      <c r="AK167" s="81"/>
      <c r="AL167" s="81"/>
      <c r="AM167" s="81"/>
      <c r="AN167" s="81"/>
    </row>
    <row r="168" spans="1:40" ht="14.25" customHeight="1">
      <c r="A168" s="82">
        <v>40103</v>
      </c>
      <c r="B168" s="83" t="s">
        <v>20</v>
      </c>
      <c r="C168" s="83" t="s">
        <v>164</v>
      </c>
      <c r="D168" s="83" t="s">
        <v>219</v>
      </c>
      <c r="E168" s="103">
        <v>4</v>
      </c>
      <c r="F168" s="104">
        <v>147</v>
      </c>
      <c r="G168" s="84">
        <f t="shared" si="36"/>
        <v>1.9138755980861243E-2</v>
      </c>
      <c r="H168" s="85">
        <f t="shared" si="37"/>
        <v>0.91458373205741617</v>
      </c>
      <c r="I168" s="84">
        <f t="shared" si="38"/>
        <v>1.4594916600476569E-2</v>
      </c>
      <c r="J168" s="86">
        <f t="shared" si="39"/>
        <v>13.675436854646545</v>
      </c>
      <c r="K168" s="86">
        <f t="shared" si="40"/>
        <v>66.87784396055072</v>
      </c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1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  <c r="AI168" s="81"/>
      <c r="AJ168" s="81"/>
      <c r="AK168" s="81"/>
      <c r="AL168" s="81"/>
      <c r="AM168" s="81"/>
      <c r="AN168" s="81"/>
    </row>
    <row r="169" spans="1:40" ht="14.25" customHeight="1">
      <c r="A169" s="82">
        <v>40104</v>
      </c>
      <c r="B169" s="83" t="s">
        <v>20</v>
      </c>
      <c r="C169" s="83" t="s">
        <v>164</v>
      </c>
      <c r="D169" s="83" t="s">
        <v>220</v>
      </c>
      <c r="E169" s="103">
        <v>16</v>
      </c>
      <c r="F169" s="104">
        <v>265</v>
      </c>
      <c r="G169" s="84">
        <f t="shared" si="36"/>
        <v>7.6555023923444973E-2</v>
      </c>
      <c r="H169" s="85">
        <f t="shared" si="37"/>
        <v>3.6583349282296647</v>
      </c>
      <c r="I169" s="84">
        <f t="shared" si="38"/>
        <v>2.6310563939634629E-2</v>
      </c>
      <c r="J169" s="86">
        <f t="shared" si="39"/>
        <v>24.652998411437647</v>
      </c>
      <c r="K169" s="86">
        <f t="shared" si="40"/>
        <v>148.39310282567482</v>
      </c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  <c r="AI169" s="81"/>
      <c r="AJ169" s="81"/>
      <c r="AK169" s="81"/>
      <c r="AL169" s="81"/>
      <c r="AM169" s="81"/>
      <c r="AN169" s="81"/>
    </row>
    <row r="170" spans="1:40" ht="14.25" customHeight="1">
      <c r="A170" s="82">
        <v>40201</v>
      </c>
      <c r="B170" s="83" t="s">
        <v>20</v>
      </c>
      <c r="C170" s="83" t="s">
        <v>221</v>
      </c>
      <c r="D170" s="83" t="s">
        <v>222</v>
      </c>
      <c r="E170" s="103">
        <v>43</v>
      </c>
      <c r="F170" s="104">
        <v>684</v>
      </c>
      <c r="G170" s="84">
        <f t="shared" si="36"/>
        <v>0.20574162679425836</v>
      </c>
      <c r="H170" s="85">
        <f t="shared" si="37"/>
        <v>9.8317751196172249</v>
      </c>
      <c r="I170" s="84">
        <f t="shared" si="38"/>
        <v>6.7911040508339945E-2</v>
      </c>
      <c r="J170" s="86">
        <f t="shared" si="39"/>
        <v>63.632644956314529</v>
      </c>
      <c r="K170" s="86">
        <f t="shared" si="40"/>
        <v>154.50835222026359</v>
      </c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1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  <c r="AI170" s="81"/>
      <c r="AJ170" s="81"/>
      <c r="AK170" s="81"/>
      <c r="AL170" s="81"/>
      <c r="AM170" s="81"/>
      <c r="AN170" s="81"/>
    </row>
    <row r="171" spans="1:40" ht="14.25" customHeight="1">
      <c r="A171" s="82">
        <v>40202</v>
      </c>
      <c r="B171" s="83" t="s">
        <v>20</v>
      </c>
      <c r="C171" s="83" t="s">
        <v>221</v>
      </c>
      <c r="D171" s="83" t="s">
        <v>223</v>
      </c>
      <c r="E171" s="103">
        <v>5</v>
      </c>
      <c r="F171" s="104">
        <v>81</v>
      </c>
      <c r="G171" s="84">
        <f t="shared" si="36"/>
        <v>2.3923444976076555E-2</v>
      </c>
      <c r="H171" s="85">
        <f t="shared" si="37"/>
        <v>1.1432296650717704</v>
      </c>
      <c r="I171" s="84">
        <f t="shared" si="38"/>
        <v>8.0420969023034146E-3</v>
      </c>
      <c r="J171" s="86">
        <f t="shared" si="39"/>
        <v>7.5354447974582994</v>
      </c>
      <c r="K171" s="86">
        <f t="shared" si="40"/>
        <v>151.71362750310121</v>
      </c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  <c r="AI171" s="81"/>
      <c r="AJ171" s="81"/>
      <c r="AK171" s="81"/>
      <c r="AL171" s="81"/>
      <c r="AM171" s="81"/>
      <c r="AN171" s="81"/>
    </row>
    <row r="172" spans="1:40" ht="14.25" customHeight="1">
      <c r="A172" s="82">
        <v>40301</v>
      </c>
      <c r="B172" s="83" t="s">
        <v>20</v>
      </c>
      <c r="C172" s="83" t="s">
        <v>224</v>
      </c>
      <c r="D172" s="83" t="s">
        <v>225</v>
      </c>
      <c r="E172" s="103">
        <v>2</v>
      </c>
      <c r="F172" s="104">
        <v>163</v>
      </c>
      <c r="G172" s="84">
        <f t="shared" si="36"/>
        <v>9.5693779904306216E-3</v>
      </c>
      <c r="H172" s="85">
        <f t="shared" si="37"/>
        <v>0.45729186602870808</v>
      </c>
      <c r="I172" s="84">
        <f t="shared" si="38"/>
        <v>1.6183478951548848E-2</v>
      </c>
      <c r="J172" s="86">
        <f t="shared" si="39"/>
        <v>15.16391977760127</v>
      </c>
      <c r="K172" s="86">
        <f t="shared" si="40"/>
        <v>30.156573810432381</v>
      </c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1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  <c r="AI172" s="81"/>
      <c r="AJ172" s="81"/>
      <c r="AK172" s="81"/>
      <c r="AL172" s="81"/>
      <c r="AM172" s="81"/>
      <c r="AN172" s="81"/>
    </row>
    <row r="173" spans="1:40" ht="14.25" customHeight="1">
      <c r="A173" s="82">
        <v>40302</v>
      </c>
      <c r="B173" s="83" t="s">
        <v>20</v>
      </c>
      <c r="C173" s="83" t="s">
        <v>224</v>
      </c>
      <c r="D173" s="83" t="s">
        <v>226</v>
      </c>
      <c r="E173" s="103">
        <v>1</v>
      </c>
      <c r="F173" s="104">
        <v>30</v>
      </c>
      <c r="G173" s="84">
        <f t="shared" si="36"/>
        <v>4.7846889952153108E-3</v>
      </c>
      <c r="H173" s="85">
        <f t="shared" si="37"/>
        <v>0.22864593301435404</v>
      </c>
      <c r="I173" s="84">
        <f t="shared" si="38"/>
        <v>2.9785544082605244E-3</v>
      </c>
      <c r="J173" s="86">
        <f t="shared" si="39"/>
        <v>2.7909054805401112</v>
      </c>
      <c r="K173" s="86">
        <f t="shared" si="40"/>
        <v>81.925358851674631</v>
      </c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  <c r="AI173" s="81"/>
      <c r="AJ173" s="81"/>
      <c r="AK173" s="81"/>
      <c r="AL173" s="81"/>
      <c r="AM173" s="81"/>
      <c r="AN173" s="81"/>
    </row>
    <row r="174" spans="1:40" ht="14.25" customHeight="1">
      <c r="A174" s="82">
        <v>40401</v>
      </c>
      <c r="B174" s="83" t="s">
        <v>20</v>
      </c>
      <c r="C174" s="83" t="s">
        <v>227</v>
      </c>
      <c r="D174" s="83" t="s">
        <v>228</v>
      </c>
      <c r="E174" s="103">
        <v>5</v>
      </c>
      <c r="F174" s="104">
        <v>78</v>
      </c>
      <c r="G174" s="84">
        <f t="shared" si="36"/>
        <v>2.3923444976076555E-2</v>
      </c>
      <c r="H174" s="85">
        <f t="shared" si="37"/>
        <v>1.1432296650717704</v>
      </c>
      <c r="I174" s="84">
        <f t="shared" si="38"/>
        <v>7.7442414614773631E-3</v>
      </c>
      <c r="J174" s="86">
        <f t="shared" si="39"/>
        <v>7.2563542494042892</v>
      </c>
      <c r="K174" s="86">
        <f t="shared" si="40"/>
        <v>157.54876702245124</v>
      </c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  <c r="AI174" s="81"/>
      <c r="AJ174" s="81"/>
      <c r="AK174" s="81"/>
      <c r="AL174" s="81"/>
      <c r="AM174" s="81"/>
      <c r="AN174" s="81"/>
    </row>
    <row r="175" spans="1:40" ht="14.25" customHeight="1">
      <c r="A175" s="82">
        <v>40402</v>
      </c>
      <c r="B175" s="83" t="s">
        <v>20</v>
      </c>
      <c r="C175" s="83" t="s">
        <v>227</v>
      </c>
      <c r="D175" s="83" t="s">
        <v>229</v>
      </c>
      <c r="E175" s="103">
        <v>7</v>
      </c>
      <c r="F175" s="104">
        <v>96</v>
      </c>
      <c r="G175" s="84">
        <f t="shared" si="36"/>
        <v>3.3492822966507178E-2</v>
      </c>
      <c r="H175" s="85">
        <f t="shared" si="37"/>
        <v>1.6005215311004786</v>
      </c>
      <c r="I175" s="84">
        <f t="shared" si="38"/>
        <v>9.5313741064336783E-3</v>
      </c>
      <c r="J175" s="86">
        <f t="shared" si="39"/>
        <v>8.9308975377283559</v>
      </c>
      <c r="K175" s="86">
        <f t="shared" si="40"/>
        <v>179.21172248803828</v>
      </c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  <c r="AI175" s="81"/>
      <c r="AJ175" s="81"/>
      <c r="AK175" s="81"/>
      <c r="AL175" s="81"/>
      <c r="AM175" s="81"/>
      <c r="AN175" s="81"/>
    </row>
    <row r="176" spans="1:40" ht="14.25" customHeight="1">
      <c r="A176" s="82">
        <v>40501</v>
      </c>
      <c r="B176" s="83" t="s">
        <v>20</v>
      </c>
      <c r="C176" s="83" t="s">
        <v>230</v>
      </c>
      <c r="D176" s="83" t="s">
        <v>231</v>
      </c>
      <c r="E176" s="103">
        <v>0</v>
      </c>
      <c r="F176" s="104">
        <v>11</v>
      </c>
      <c r="G176" s="84">
        <f t="shared" si="36"/>
        <v>0</v>
      </c>
      <c r="H176" s="85">
        <f t="shared" si="37"/>
        <v>0</v>
      </c>
      <c r="I176" s="84">
        <f t="shared" si="38"/>
        <v>1.0921366163621922E-3</v>
      </c>
      <c r="J176" s="86">
        <f t="shared" si="39"/>
        <v>1.023332009531374</v>
      </c>
      <c r="K176" s="86">
        <f t="shared" si="40"/>
        <v>0</v>
      </c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1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  <c r="AI176" s="81"/>
      <c r="AJ176" s="81"/>
      <c r="AK176" s="81"/>
      <c r="AL176" s="81"/>
      <c r="AM176" s="81"/>
      <c r="AN176" s="81"/>
    </row>
    <row r="177" spans="1:40" ht="14.25" customHeight="1">
      <c r="A177" s="82">
        <v>40502</v>
      </c>
      <c r="B177" s="83" t="s">
        <v>20</v>
      </c>
      <c r="C177" s="83" t="s">
        <v>230</v>
      </c>
      <c r="D177" s="83" t="s">
        <v>232</v>
      </c>
      <c r="E177" s="103">
        <v>2</v>
      </c>
      <c r="F177" s="104">
        <v>78</v>
      </c>
      <c r="G177" s="84">
        <f t="shared" si="36"/>
        <v>9.5693779904306216E-3</v>
      </c>
      <c r="H177" s="85">
        <f t="shared" si="37"/>
        <v>0.45729186602870808</v>
      </c>
      <c r="I177" s="84">
        <f t="shared" si="38"/>
        <v>7.7442414614773631E-3</v>
      </c>
      <c r="J177" s="86">
        <f t="shared" si="39"/>
        <v>7.2563542494042892</v>
      </c>
      <c r="K177" s="86">
        <f t="shared" si="40"/>
        <v>63.019506808980481</v>
      </c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1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  <c r="AI177" s="81"/>
      <c r="AJ177" s="81"/>
      <c r="AK177" s="81"/>
      <c r="AL177" s="81"/>
      <c r="AM177" s="81"/>
      <c r="AN177" s="81"/>
    </row>
    <row r="178" spans="1:40" ht="14.25" customHeight="1">
      <c r="A178" s="82">
        <v>40503</v>
      </c>
      <c r="B178" s="83" t="s">
        <v>20</v>
      </c>
      <c r="C178" s="83" t="s">
        <v>230</v>
      </c>
      <c r="D178" s="83" t="s">
        <v>233</v>
      </c>
      <c r="E178" s="103">
        <v>2</v>
      </c>
      <c r="F178" s="104">
        <v>34</v>
      </c>
      <c r="G178" s="84">
        <f t="shared" si="36"/>
        <v>9.5693779904306216E-3</v>
      </c>
      <c r="H178" s="85">
        <f t="shared" si="37"/>
        <v>0.45729186602870808</v>
      </c>
      <c r="I178" s="84">
        <f t="shared" si="38"/>
        <v>3.3756949960285941E-3</v>
      </c>
      <c r="J178" s="86">
        <f t="shared" si="39"/>
        <v>3.1630262112787926</v>
      </c>
      <c r="K178" s="86">
        <f t="shared" si="40"/>
        <v>144.57416267942583</v>
      </c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1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  <c r="AI178" s="81"/>
      <c r="AJ178" s="81"/>
      <c r="AK178" s="81"/>
      <c r="AL178" s="81"/>
      <c r="AM178" s="81"/>
      <c r="AN178" s="81"/>
    </row>
    <row r="179" spans="1:40" ht="14.25" customHeight="1">
      <c r="A179" s="82">
        <v>40504</v>
      </c>
      <c r="B179" s="83" t="s">
        <v>20</v>
      </c>
      <c r="C179" s="83" t="s">
        <v>230</v>
      </c>
      <c r="D179" s="83" t="s">
        <v>234</v>
      </c>
      <c r="E179" s="103"/>
      <c r="F179" s="104">
        <v>8</v>
      </c>
      <c r="G179" s="84">
        <f t="shared" si="36"/>
        <v>0</v>
      </c>
      <c r="H179" s="85">
        <f t="shared" si="37"/>
        <v>0</v>
      </c>
      <c r="I179" s="84">
        <f t="shared" si="38"/>
        <v>7.9428117553613975E-4</v>
      </c>
      <c r="J179" s="86">
        <f t="shared" si="39"/>
        <v>0.74424146147736292</v>
      </c>
      <c r="K179" s="86">
        <f t="shared" si="40"/>
        <v>0</v>
      </c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  <c r="AI179" s="81"/>
      <c r="AJ179" s="81"/>
      <c r="AK179" s="81"/>
      <c r="AL179" s="81"/>
      <c r="AM179" s="81"/>
      <c r="AN179" s="81"/>
    </row>
    <row r="180" spans="1:40" ht="14.25" customHeight="1">
      <c r="A180" s="82">
        <v>40505</v>
      </c>
      <c r="B180" s="83" t="s">
        <v>20</v>
      </c>
      <c r="C180" s="83" t="s">
        <v>230</v>
      </c>
      <c r="D180" s="83" t="s">
        <v>235</v>
      </c>
      <c r="E180" s="103">
        <v>0</v>
      </c>
      <c r="F180" s="104">
        <v>60</v>
      </c>
      <c r="G180" s="84">
        <f t="shared" si="36"/>
        <v>0</v>
      </c>
      <c r="H180" s="85">
        <f t="shared" si="37"/>
        <v>0</v>
      </c>
      <c r="I180" s="84">
        <f t="shared" si="38"/>
        <v>5.9571088165210487E-3</v>
      </c>
      <c r="J180" s="86">
        <f t="shared" si="39"/>
        <v>5.5818109610802225</v>
      </c>
      <c r="K180" s="86">
        <f t="shared" si="40"/>
        <v>0</v>
      </c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1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  <c r="AI180" s="81"/>
      <c r="AJ180" s="81"/>
      <c r="AK180" s="81"/>
      <c r="AL180" s="81"/>
      <c r="AM180" s="81"/>
      <c r="AN180" s="81"/>
    </row>
    <row r="181" spans="1:40" ht="14.25" customHeight="1">
      <c r="A181" s="82">
        <v>40601</v>
      </c>
      <c r="B181" s="83" t="s">
        <v>20</v>
      </c>
      <c r="C181" s="83" t="s">
        <v>236</v>
      </c>
      <c r="D181" s="83" t="s">
        <v>236</v>
      </c>
      <c r="E181" s="103">
        <v>10</v>
      </c>
      <c r="F181" s="104">
        <v>119</v>
      </c>
      <c r="G181" s="84">
        <f t="shared" si="36"/>
        <v>4.784688995215311E-2</v>
      </c>
      <c r="H181" s="85">
        <f t="shared" si="37"/>
        <v>2.2864593301435407</v>
      </c>
      <c r="I181" s="84">
        <f t="shared" si="38"/>
        <v>1.1814932486100079E-2</v>
      </c>
      <c r="J181" s="86">
        <f t="shared" si="39"/>
        <v>11.070591739475773</v>
      </c>
      <c r="K181" s="86">
        <f t="shared" si="40"/>
        <v>206.53451811346551</v>
      </c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  <c r="AI181" s="81"/>
      <c r="AJ181" s="81"/>
      <c r="AK181" s="81"/>
      <c r="AL181" s="81"/>
      <c r="AM181" s="81"/>
      <c r="AN181" s="81"/>
    </row>
    <row r="182" spans="1:40" ht="14.25" customHeight="1">
      <c r="A182" s="82">
        <v>40602</v>
      </c>
      <c r="B182" s="83" t="s">
        <v>20</v>
      </c>
      <c r="C182" s="83" t="s">
        <v>236</v>
      </c>
      <c r="D182" s="83" t="s">
        <v>237</v>
      </c>
      <c r="E182" s="103">
        <v>3</v>
      </c>
      <c r="F182" s="104">
        <v>112</v>
      </c>
      <c r="G182" s="84">
        <f t="shared" si="36"/>
        <v>1.4354066985645933E-2</v>
      </c>
      <c r="H182" s="85">
        <f t="shared" si="37"/>
        <v>0.68593779904306218</v>
      </c>
      <c r="I182" s="84">
        <f t="shared" si="38"/>
        <v>1.1119936457505957E-2</v>
      </c>
      <c r="J182" s="86">
        <f t="shared" si="39"/>
        <v>10.419380460683081</v>
      </c>
      <c r="K182" s="86">
        <f t="shared" si="40"/>
        <v>65.832877648667122</v>
      </c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  <c r="AI182" s="81"/>
      <c r="AJ182" s="81"/>
      <c r="AK182" s="81"/>
      <c r="AL182" s="81"/>
      <c r="AM182" s="81"/>
      <c r="AN182" s="81"/>
    </row>
    <row r="183" spans="1:40" ht="14.25" customHeight="1">
      <c r="A183" s="82">
        <v>40603</v>
      </c>
      <c r="B183" s="83" t="s">
        <v>20</v>
      </c>
      <c r="C183" s="83" t="s">
        <v>236</v>
      </c>
      <c r="D183" s="83" t="s">
        <v>238</v>
      </c>
      <c r="E183" s="103">
        <v>1</v>
      </c>
      <c r="F183" s="104">
        <v>61</v>
      </c>
      <c r="G183" s="84">
        <f t="shared" si="36"/>
        <v>4.7846889952153108E-3</v>
      </c>
      <c r="H183" s="85">
        <f t="shared" si="37"/>
        <v>0.22864593301435404</v>
      </c>
      <c r="I183" s="84">
        <f t="shared" si="38"/>
        <v>6.0563939634630656E-3</v>
      </c>
      <c r="J183" s="86">
        <f t="shared" si="39"/>
        <v>5.6748411437648922</v>
      </c>
      <c r="K183" s="86">
        <f t="shared" si="40"/>
        <v>40.291160090987525</v>
      </c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  <c r="AI183" s="81"/>
      <c r="AJ183" s="81"/>
      <c r="AK183" s="81"/>
      <c r="AL183" s="81"/>
      <c r="AM183" s="81"/>
      <c r="AN183" s="81"/>
    </row>
    <row r="184" spans="1:40" ht="14.25" customHeight="1">
      <c r="A184" s="82">
        <v>40701</v>
      </c>
      <c r="B184" s="83" t="s">
        <v>20</v>
      </c>
      <c r="C184" s="83" t="s">
        <v>239</v>
      </c>
      <c r="D184" s="83" t="s">
        <v>240</v>
      </c>
      <c r="E184" s="103">
        <v>10</v>
      </c>
      <c r="F184" s="104">
        <v>527</v>
      </c>
      <c r="G184" s="84">
        <f t="shared" si="36"/>
        <v>4.784688995215311E-2</v>
      </c>
      <c r="H184" s="85">
        <f t="shared" si="37"/>
        <v>2.2864593301435407</v>
      </c>
      <c r="I184" s="84">
        <f t="shared" si="38"/>
        <v>5.2323272438443209E-2</v>
      </c>
      <c r="J184" s="86">
        <f t="shared" si="39"/>
        <v>49.026906274821286</v>
      </c>
      <c r="K184" s="86">
        <f t="shared" si="40"/>
        <v>46.636826670782526</v>
      </c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1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  <c r="AI184" s="81"/>
      <c r="AJ184" s="81"/>
      <c r="AK184" s="81"/>
      <c r="AL184" s="81"/>
      <c r="AM184" s="81"/>
      <c r="AN184" s="81"/>
    </row>
    <row r="185" spans="1:40" ht="14.25" customHeight="1">
      <c r="A185" s="82">
        <v>40702</v>
      </c>
      <c r="B185" s="83" t="s">
        <v>20</v>
      </c>
      <c r="C185" s="83" t="s">
        <v>239</v>
      </c>
      <c r="D185" s="83" t="s">
        <v>241</v>
      </c>
      <c r="E185" s="103">
        <v>2</v>
      </c>
      <c r="F185" s="104">
        <v>88</v>
      </c>
      <c r="G185" s="84">
        <f t="shared" si="36"/>
        <v>9.5693779904306216E-3</v>
      </c>
      <c r="H185" s="85">
        <f t="shared" si="37"/>
        <v>0.45729186602870808</v>
      </c>
      <c r="I185" s="84">
        <f t="shared" si="38"/>
        <v>8.737092930897538E-3</v>
      </c>
      <c r="J185" s="86">
        <f t="shared" si="39"/>
        <v>8.1866560762509923</v>
      </c>
      <c r="K185" s="86">
        <f t="shared" si="40"/>
        <v>55.858199217050888</v>
      </c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  <c r="AI185" s="81"/>
      <c r="AJ185" s="81"/>
      <c r="AK185" s="81"/>
      <c r="AL185" s="81"/>
      <c r="AM185" s="81"/>
      <c r="AN185" s="81"/>
    </row>
    <row r="186" spans="1:40" ht="14.25" customHeight="1">
      <c r="A186" s="82">
        <v>40801</v>
      </c>
      <c r="B186" s="83" t="s">
        <v>20</v>
      </c>
      <c r="C186" s="83" t="s">
        <v>242</v>
      </c>
      <c r="D186" s="83" t="s">
        <v>243</v>
      </c>
      <c r="E186" s="103">
        <v>7</v>
      </c>
      <c r="F186" s="104">
        <v>196</v>
      </c>
      <c r="G186" s="84">
        <f t="shared" si="36"/>
        <v>3.3492822966507178E-2</v>
      </c>
      <c r="H186" s="85">
        <f t="shared" si="37"/>
        <v>1.6005215311004786</v>
      </c>
      <c r="I186" s="84">
        <f t="shared" si="38"/>
        <v>1.9459888800635424E-2</v>
      </c>
      <c r="J186" s="86">
        <f t="shared" si="39"/>
        <v>18.233915806195391</v>
      </c>
      <c r="K186" s="86">
        <f t="shared" si="40"/>
        <v>87.777170198222848</v>
      </c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1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  <c r="AI186" s="81"/>
      <c r="AJ186" s="81"/>
      <c r="AK186" s="81"/>
      <c r="AL186" s="81"/>
      <c r="AM186" s="81"/>
      <c r="AN186" s="81"/>
    </row>
    <row r="187" spans="1:40" ht="14.25" customHeight="1">
      <c r="A187" s="82">
        <v>40802</v>
      </c>
      <c r="B187" s="83" t="s">
        <v>20</v>
      </c>
      <c r="C187" s="83" t="s">
        <v>242</v>
      </c>
      <c r="D187" s="83" t="s">
        <v>244</v>
      </c>
      <c r="E187" s="103">
        <v>0</v>
      </c>
      <c r="F187" s="104">
        <v>64</v>
      </c>
      <c r="G187" s="84">
        <f>E187/$R$5</f>
        <v>0</v>
      </c>
      <c r="H187" s="85">
        <f>$S$20*G187</f>
        <v>0</v>
      </c>
      <c r="I187" s="84">
        <f>F187/$S$5</f>
        <v>6.354249404289118E-3</v>
      </c>
      <c r="J187" s="86">
        <f>I187*$U$20</f>
        <v>5.9539316918189034</v>
      </c>
      <c r="K187" s="86">
        <f>1000*H187/J187</f>
        <v>0</v>
      </c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  <c r="AI187" s="81"/>
      <c r="AJ187" s="81"/>
      <c r="AK187" s="81"/>
      <c r="AL187" s="81"/>
      <c r="AM187" s="81"/>
      <c r="AN187" s="81"/>
    </row>
    <row r="188" spans="1:40" ht="14.25" customHeight="1">
      <c r="A188" s="82">
        <v>40901</v>
      </c>
      <c r="B188" s="83" t="s">
        <v>20</v>
      </c>
      <c r="C188" s="83" t="s">
        <v>245</v>
      </c>
      <c r="D188" s="83" t="s">
        <v>245</v>
      </c>
      <c r="E188" s="103">
        <v>4</v>
      </c>
      <c r="F188" s="104">
        <v>177</v>
      </c>
      <c r="G188" s="84">
        <f t="shared" ref="G188:G200" si="41">E188/$R$5</f>
        <v>1.9138755980861243E-2</v>
      </c>
      <c r="H188" s="85">
        <f t="shared" si="37"/>
        <v>0.91458373205741617</v>
      </c>
      <c r="I188" s="84">
        <f t="shared" ref="I188:I200" si="42">F188/$S$5</f>
        <v>1.7573471008737095E-2</v>
      </c>
      <c r="J188" s="86">
        <f t="shared" si="39"/>
        <v>16.466342335186656</v>
      </c>
      <c r="K188" s="86">
        <f t="shared" ref="K188:K242" si="43">1000*H188/J188</f>
        <v>55.542616170626864</v>
      </c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  <c r="AI188" s="81"/>
      <c r="AJ188" s="81"/>
      <c r="AK188" s="81"/>
      <c r="AL188" s="81"/>
      <c r="AM188" s="81"/>
      <c r="AN188" s="81"/>
    </row>
    <row r="189" spans="1:40" ht="14.25" customHeight="1">
      <c r="A189" s="82">
        <v>40902</v>
      </c>
      <c r="B189" s="83" t="s">
        <v>20</v>
      </c>
      <c r="C189" s="83" t="s">
        <v>245</v>
      </c>
      <c r="D189" s="83" t="s">
        <v>246</v>
      </c>
      <c r="E189" s="103">
        <v>0</v>
      </c>
      <c r="F189" s="104">
        <v>18</v>
      </c>
      <c r="G189" s="84">
        <f t="shared" si="41"/>
        <v>0</v>
      </c>
      <c r="H189" s="85">
        <f t="shared" si="37"/>
        <v>0</v>
      </c>
      <c r="I189" s="84">
        <f t="shared" si="42"/>
        <v>1.7871326449563146E-3</v>
      </c>
      <c r="J189" s="86">
        <f t="shared" si="39"/>
        <v>1.6745432883240667</v>
      </c>
      <c r="K189" s="86">
        <f t="shared" si="43"/>
        <v>0</v>
      </c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  <c r="AI189" s="81"/>
      <c r="AJ189" s="81"/>
      <c r="AK189" s="81"/>
      <c r="AL189" s="81"/>
      <c r="AM189" s="81"/>
      <c r="AN189" s="81"/>
    </row>
    <row r="190" spans="1:40" ht="14.25" customHeight="1">
      <c r="A190" s="82">
        <v>40903</v>
      </c>
      <c r="B190" s="83" t="s">
        <v>20</v>
      </c>
      <c r="C190" s="83" t="s">
        <v>245</v>
      </c>
      <c r="D190" s="83" t="s">
        <v>247</v>
      </c>
      <c r="E190" s="103">
        <v>3</v>
      </c>
      <c r="F190" s="104">
        <v>51</v>
      </c>
      <c r="G190" s="84">
        <f t="shared" si="41"/>
        <v>1.4354066985645933E-2</v>
      </c>
      <c r="H190" s="85">
        <f t="shared" si="37"/>
        <v>0.68593779904306218</v>
      </c>
      <c r="I190" s="84">
        <f t="shared" si="42"/>
        <v>5.0635424940428915E-3</v>
      </c>
      <c r="J190" s="86">
        <f t="shared" si="39"/>
        <v>4.7445393169181891</v>
      </c>
      <c r="K190" s="86">
        <f t="shared" si="43"/>
        <v>144.57416267942585</v>
      </c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  <c r="AI190" s="81"/>
      <c r="AJ190" s="81"/>
      <c r="AK190" s="81"/>
      <c r="AL190" s="81"/>
      <c r="AM190" s="81"/>
      <c r="AN190" s="81"/>
    </row>
    <row r="191" spans="1:40" ht="14.25" customHeight="1">
      <c r="A191" s="82">
        <v>41001</v>
      </c>
      <c r="B191" s="83" t="s">
        <v>20</v>
      </c>
      <c r="C191" s="83" t="s">
        <v>248</v>
      </c>
      <c r="D191" s="83" t="s">
        <v>249</v>
      </c>
      <c r="E191" s="103">
        <v>4</v>
      </c>
      <c r="F191" s="104">
        <v>145</v>
      </c>
      <c r="G191" s="84">
        <f t="shared" si="41"/>
        <v>1.9138755980861243E-2</v>
      </c>
      <c r="H191" s="85">
        <f t="shared" si="37"/>
        <v>0.91458373205741617</v>
      </c>
      <c r="I191" s="84">
        <f t="shared" si="42"/>
        <v>1.4396346306592533E-2</v>
      </c>
      <c r="J191" s="86">
        <f t="shared" si="39"/>
        <v>13.489376489277204</v>
      </c>
      <c r="K191" s="86">
        <f t="shared" si="43"/>
        <v>67.800296980696245</v>
      </c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  <c r="AI191" s="81"/>
      <c r="AJ191" s="81"/>
      <c r="AK191" s="81"/>
      <c r="AL191" s="81"/>
      <c r="AM191" s="81"/>
      <c r="AN191" s="81"/>
    </row>
    <row r="192" spans="1:40" ht="14.25" customHeight="1">
      <c r="A192" s="82">
        <v>41101</v>
      </c>
      <c r="B192" s="83" t="s">
        <v>20</v>
      </c>
      <c r="C192" s="83" t="s">
        <v>250</v>
      </c>
      <c r="D192" s="83" t="s">
        <v>251</v>
      </c>
      <c r="E192" s="103">
        <v>6</v>
      </c>
      <c r="F192" s="104">
        <v>99</v>
      </c>
      <c r="G192" s="84">
        <f t="shared" si="41"/>
        <v>2.8708133971291867E-2</v>
      </c>
      <c r="H192" s="85">
        <f t="shared" si="37"/>
        <v>1.3718755980861244</v>
      </c>
      <c r="I192" s="84">
        <f t="shared" si="42"/>
        <v>9.8292295472597307E-3</v>
      </c>
      <c r="J192" s="86">
        <f t="shared" si="39"/>
        <v>9.2099880857823671</v>
      </c>
      <c r="K192" s="86">
        <f t="shared" si="43"/>
        <v>148.9551979121357</v>
      </c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  <c r="AI192" s="81"/>
      <c r="AJ192" s="81"/>
      <c r="AK192" s="81"/>
      <c r="AL192" s="81"/>
      <c r="AM192" s="81"/>
      <c r="AN192" s="81"/>
    </row>
    <row r="193" spans="1:40" ht="14.25" customHeight="1">
      <c r="A193" s="82">
        <v>41201</v>
      </c>
      <c r="B193" s="83" t="s">
        <v>20</v>
      </c>
      <c r="C193" s="83" t="s">
        <v>252</v>
      </c>
      <c r="D193" s="83" t="s">
        <v>253</v>
      </c>
      <c r="E193" s="103">
        <v>4</v>
      </c>
      <c r="F193" s="104">
        <v>79</v>
      </c>
      <c r="G193" s="84">
        <f t="shared" si="41"/>
        <v>1.9138755980861243E-2</v>
      </c>
      <c r="H193" s="85">
        <f t="shared" si="37"/>
        <v>0.91458373205741617</v>
      </c>
      <c r="I193" s="84">
        <f t="shared" si="42"/>
        <v>7.8435266084193808E-3</v>
      </c>
      <c r="J193" s="86">
        <f t="shared" si="39"/>
        <v>7.3493844320889599</v>
      </c>
      <c r="K193" s="86">
        <f t="shared" si="43"/>
        <v>124.44358306583487</v>
      </c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  <c r="AI193" s="81"/>
      <c r="AJ193" s="81"/>
      <c r="AK193" s="81"/>
      <c r="AL193" s="81"/>
      <c r="AM193" s="81"/>
      <c r="AN193" s="81"/>
    </row>
    <row r="194" spans="1:40" ht="14.25" customHeight="1">
      <c r="A194" s="82">
        <v>41202</v>
      </c>
      <c r="B194" s="83" t="s">
        <v>20</v>
      </c>
      <c r="C194" s="83" t="s">
        <v>252</v>
      </c>
      <c r="D194" s="83" t="s">
        <v>254</v>
      </c>
      <c r="E194" s="103">
        <v>0</v>
      </c>
      <c r="F194" s="104">
        <v>35</v>
      </c>
      <c r="G194" s="84">
        <f t="shared" si="41"/>
        <v>0</v>
      </c>
      <c r="H194" s="85">
        <f t="shared" si="37"/>
        <v>0</v>
      </c>
      <c r="I194" s="84">
        <f t="shared" si="42"/>
        <v>3.4749801429706114E-3</v>
      </c>
      <c r="J194" s="86">
        <f t="shared" si="39"/>
        <v>3.2560563939634628</v>
      </c>
      <c r="K194" s="86">
        <f t="shared" si="43"/>
        <v>0</v>
      </c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1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  <c r="AI194" s="81"/>
      <c r="AJ194" s="81"/>
      <c r="AK194" s="81"/>
      <c r="AL194" s="81"/>
      <c r="AM194" s="81"/>
      <c r="AN194" s="81"/>
    </row>
    <row r="195" spans="1:40" ht="14.25" customHeight="1">
      <c r="A195" s="82">
        <v>41301</v>
      </c>
      <c r="B195" s="83" t="s">
        <v>20</v>
      </c>
      <c r="C195" s="83" t="s">
        <v>255</v>
      </c>
      <c r="D195" s="83" t="s">
        <v>255</v>
      </c>
      <c r="E195" s="103">
        <v>0</v>
      </c>
      <c r="F195" s="104">
        <v>108</v>
      </c>
      <c r="G195" s="84">
        <f t="shared" si="41"/>
        <v>0</v>
      </c>
      <c r="H195" s="85">
        <f t="shared" si="37"/>
        <v>0</v>
      </c>
      <c r="I195" s="84">
        <f t="shared" si="42"/>
        <v>1.0722795869737888E-2</v>
      </c>
      <c r="J195" s="86">
        <f t="shared" si="39"/>
        <v>10.0472597299444</v>
      </c>
      <c r="K195" s="86">
        <f t="shared" si="43"/>
        <v>0</v>
      </c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  <c r="AI195" s="81"/>
      <c r="AJ195" s="81"/>
      <c r="AK195" s="81"/>
      <c r="AL195" s="81"/>
      <c r="AM195" s="81"/>
      <c r="AN195" s="81"/>
    </row>
    <row r="196" spans="1:40" ht="14.25" customHeight="1">
      <c r="A196" s="82">
        <v>41401</v>
      </c>
      <c r="B196" s="83" t="s">
        <v>20</v>
      </c>
      <c r="C196" s="83" t="s">
        <v>256</v>
      </c>
      <c r="D196" s="83" t="s">
        <v>257</v>
      </c>
      <c r="E196" s="103">
        <v>9</v>
      </c>
      <c r="F196" s="104">
        <v>226</v>
      </c>
      <c r="G196" s="84">
        <f t="shared" si="41"/>
        <v>4.3062200956937802E-2</v>
      </c>
      <c r="H196" s="85">
        <f t="shared" si="37"/>
        <v>2.0578133971291868</v>
      </c>
      <c r="I196" s="84">
        <f t="shared" si="42"/>
        <v>2.2438443208895948E-2</v>
      </c>
      <c r="J196" s="86">
        <f t="shared" si="39"/>
        <v>21.024821286735502</v>
      </c>
      <c r="K196" s="86">
        <f t="shared" si="43"/>
        <v>97.875428716602471</v>
      </c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1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  <c r="AI196" s="81"/>
      <c r="AJ196" s="81"/>
      <c r="AK196" s="81"/>
      <c r="AL196" s="81"/>
      <c r="AM196" s="81"/>
      <c r="AN196" s="81"/>
    </row>
    <row r="197" spans="1:40" ht="14.25" customHeight="1">
      <c r="A197" s="82">
        <v>41501</v>
      </c>
      <c r="B197" s="83" t="s">
        <v>20</v>
      </c>
      <c r="C197" s="83" t="s">
        <v>258</v>
      </c>
      <c r="D197" s="83" t="s">
        <v>259</v>
      </c>
      <c r="E197" s="103">
        <v>0</v>
      </c>
      <c r="F197" s="104">
        <v>10</v>
      </c>
      <c r="G197" s="84">
        <f t="shared" si="41"/>
        <v>0</v>
      </c>
      <c r="H197" s="85">
        <f t="shared" si="37"/>
        <v>0</v>
      </c>
      <c r="I197" s="84">
        <f t="shared" si="42"/>
        <v>9.9285146942017471E-4</v>
      </c>
      <c r="J197" s="86">
        <f t="shared" si="39"/>
        <v>0.93030182684670371</v>
      </c>
      <c r="K197" s="86">
        <f t="shared" si="43"/>
        <v>0</v>
      </c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  <c r="AI197" s="81"/>
      <c r="AJ197" s="81"/>
      <c r="AK197" s="81"/>
      <c r="AL197" s="81"/>
      <c r="AM197" s="81"/>
      <c r="AN197" s="81"/>
    </row>
    <row r="198" spans="1:40" ht="14.25" customHeight="1">
      <c r="A198" s="82">
        <v>41502</v>
      </c>
      <c r="B198" s="83" t="s">
        <v>20</v>
      </c>
      <c r="C198" s="83" t="s">
        <v>258</v>
      </c>
      <c r="D198" s="83" t="s">
        <v>260</v>
      </c>
      <c r="E198" s="103">
        <v>0</v>
      </c>
      <c r="F198" s="104">
        <v>20</v>
      </c>
      <c r="G198" s="84">
        <f t="shared" si="41"/>
        <v>0</v>
      </c>
      <c r="H198" s="85">
        <f t="shared" si="37"/>
        <v>0</v>
      </c>
      <c r="I198" s="84">
        <f t="shared" si="42"/>
        <v>1.9857029388403494E-3</v>
      </c>
      <c r="J198" s="86">
        <f t="shared" si="39"/>
        <v>1.8606036536934074</v>
      </c>
      <c r="K198" s="86">
        <f t="shared" si="43"/>
        <v>0</v>
      </c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1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  <c r="AI198" s="81"/>
      <c r="AJ198" s="81"/>
      <c r="AK198" s="81"/>
      <c r="AL198" s="81"/>
      <c r="AM198" s="81"/>
      <c r="AN198" s="81"/>
    </row>
    <row r="199" spans="1:40" ht="14.25" customHeight="1">
      <c r="A199" s="82">
        <v>41503</v>
      </c>
      <c r="B199" s="83" t="s">
        <v>20</v>
      </c>
      <c r="C199" s="83" t="s">
        <v>258</v>
      </c>
      <c r="D199" s="83" t="s">
        <v>224</v>
      </c>
      <c r="E199" s="103"/>
      <c r="F199" s="104">
        <v>15</v>
      </c>
      <c r="G199" s="84">
        <f t="shared" si="41"/>
        <v>0</v>
      </c>
      <c r="H199" s="85">
        <f t="shared" si="37"/>
        <v>0</v>
      </c>
      <c r="I199" s="84">
        <f t="shared" si="42"/>
        <v>1.4892772041302622E-3</v>
      </c>
      <c r="J199" s="86">
        <f t="shared" si="39"/>
        <v>1.3954527402700556</v>
      </c>
      <c r="K199" s="86">
        <f t="shared" si="43"/>
        <v>0</v>
      </c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1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  <c r="AI199" s="81"/>
      <c r="AJ199" s="81"/>
      <c r="AK199" s="81"/>
      <c r="AL199" s="81"/>
      <c r="AM199" s="81"/>
      <c r="AN199" s="81"/>
    </row>
    <row r="200" spans="1:40" ht="14.25" customHeight="1">
      <c r="A200" s="82">
        <v>41601</v>
      </c>
      <c r="B200" s="83" t="s">
        <v>20</v>
      </c>
      <c r="C200" s="83" t="s">
        <v>261</v>
      </c>
      <c r="D200" s="83" t="s">
        <v>262</v>
      </c>
      <c r="E200" s="103">
        <v>5</v>
      </c>
      <c r="F200" s="104">
        <v>75</v>
      </c>
      <c r="G200" s="84">
        <f t="shared" si="41"/>
        <v>2.3923444976076555E-2</v>
      </c>
      <c r="H200" s="85">
        <f t="shared" si="37"/>
        <v>1.1432296650717704</v>
      </c>
      <c r="I200" s="84">
        <f t="shared" si="42"/>
        <v>7.4463860206513107E-3</v>
      </c>
      <c r="J200" s="86">
        <f t="shared" si="39"/>
        <v>6.9772637013502781</v>
      </c>
      <c r="K200" s="86">
        <f t="shared" si="43"/>
        <v>163.85071770334929</v>
      </c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1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  <c r="AI200" s="81"/>
      <c r="AJ200" s="81"/>
      <c r="AK200" s="81"/>
      <c r="AL200" s="81"/>
      <c r="AM200" s="81"/>
      <c r="AN200" s="81"/>
    </row>
    <row r="201" spans="1:40" ht="14.25" customHeight="1">
      <c r="A201" s="82">
        <v>50101</v>
      </c>
      <c r="B201" s="83" t="s">
        <v>263</v>
      </c>
      <c r="C201" s="83" t="s">
        <v>264</v>
      </c>
      <c r="D201" s="83" t="s">
        <v>263</v>
      </c>
      <c r="E201" s="103">
        <v>156</v>
      </c>
      <c r="F201" s="104">
        <v>4447</v>
      </c>
      <c r="G201" s="84">
        <f>E201/$R$6</f>
        <v>0.20259740259740261</v>
      </c>
      <c r="H201" s="85">
        <f>$S$21*G201</f>
        <v>30.125018181818181</v>
      </c>
      <c r="I201" s="84">
        <f>F201/$S$6</f>
        <v>0.23925324151288535</v>
      </c>
      <c r="J201" s="86">
        <f>I201*$U$21</f>
        <v>390.93979663205465</v>
      </c>
      <c r="K201" s="86">
        <f t="shared" si="43"/>
        <v>77.057947134942864</v>
      </c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1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  <c r="AI201" s="81"/>
      <c r="AJ201" s="81"/>
      <c r="AK201" s="81"/>
      <c r="AL201" s="81"/>
      <c r="AM201" s="81"/>
      <c r="AN201" s="81"/>
    </row>
    <row r="202" spans="1:40" ht="14.25" customHeight="1">
      <c r="A202" s="82">
        <v>50102</v>
      </c>
      <c r="B202" s="83" t="s">
        <v>263</v>
      </c>
      <c r="C202" s="83" t="s">
        <v>264</v>
      </c>
      <c r="D202" s="83" t="s">
        <v>265</v>
      </c>
      <c r="E202" s="103">
        <v>64</v>
      </c>
      <c r="F202" s="104">
        <v>642</v>
      </c>
      <c r="G202" s="84">
        <f t="shared" ref="G202:G223" si="44">E202/$R$6</f>
        <v>8.3116883116883117E-2</v>
      </c>
      <c r="H202" s="85">
        <f t="shared" ref="H202:H242" si="45">$S$21*G202</f>
        <v>12.358981818181817</v>
      </c>
      <c r="I202" s="84">
        <f t="shared" ref="I202:I223" si="46">F202/$S$6</f>
        <v>3.4540270081239575E-2</v>
      </c>
      <c r="J202" s="86">
        <f t="shared" ref="J202:J242" si="47">I202*$U$21</f>
        <v>56.438801312745468</v>
      </c>
      <c r="K202" s="86">
        <f t="shared" si="43"/>
        <v>218.98023222883035</v>
      </c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1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  <c r="AI202" s="81"/>
      <c r="AJ202" s="81"/>
      <c r="AK202" s="81"/>
      <c r="AL202" s="81"/>
      <c r="AM202" s="81"/>
      <c r="AN202" s="81"/>
    </row>
    <row r="203" spans="1:40" ht="14.25" customHeight="1">
      <c r="A203" s="82">
        <v>50103</v>
      </c>
      <c r="B203" s="83" t="s">
        <v>263</v>
      </c>
      <c r="C203" s="83" t="s">
        <v>264</v>
      </c>
      <c r="D203" s="83" t="s">
        <v>266</v>
      </c>
      <c r="E203" s="103">
        <v>1</v>
      </c>
      <c r="F203" s="104">
        <v>155</v>
      </c>
      <c r="G203" s="84">
        <f t="shared" si="44"/>
        <v>1.2987012987012987E-3</v>
      </c>
      <c r="H203" s="85">
        <f t="shared" si="45"/>
        <v>0.1931090909090909</v>
      </c>
      <c r="I203" s="84">
        <f t="shared" si="46"/>
        <v>8.3391617797385267E-3</v>
      </c>
      <c r="J203" s="86">
        <f t="shared" si="47"/>
        <v>13.626190348092752</v>
      </c>
      <c r="K203" s="86">
        <f t="shared" si="43"/>
        <v>14.171906158357771</v>
      </c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1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  <c r="AI203" s="81"/>
      <c r="AJ203" s="81"/>
      <c r="AK203" s="81"/>
      <c r="AL203" s="81"/>
      <c r="AM203" s="81"/>
      <c r="AN203" s="81"/>
    </row>
    <row r="204" spans="1:40" ht="14.25" customHeight="1">
      <c r="A204" s="82">
        <v>50104</v>
      </c>
      <c r="B204" s="83" t="s">
        <v>263</v>
      </c>
      <c r="C204" s="83" t="s">
        <v>264</v>
      </c>
      <c r="D204" s="83" t="s">
        <v>267</v>
      </c>
      <c r="E204" s="103">
        <v>1</v>
      </c>
      <c r="F204" s="104">
        <v>60</v>
      </c>
      <c r="G204" s="84">
        <f t="shared" si="44"/>
        <v>1.2987012987012987E-3</v>
      </c>
      <c r="H204" s="85">
        <f t="shared" si="45"/>
        <v>0.1931090909090909</v>
      </c>
      <c r="I204" s="84">
        <f t="shared" si="46"/>
        <v>3.2280626244149137E-3</v>
      </c>
      <c r="J204" s="86">
        <f t="shared" si="47"/>
        <v>5.2746543282939689</v>
      </c>
      <c r="K204" s="86">
        <f t="shared" si="43"/>
        <v>36.610757575757575</v>
      </c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1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  <c r="AI204" s="81"/>
      <c r="AJ204" s="81"/>
      <c r="AK204" s="81"/>
      <c r="AL204" s="81"/>
      <c r="AM204" s="81"/>
      <c r="AN204" s="81"/>
    </row>
    <row r="205" spans="1:40" ht="14.25" customHeight="1">
      <c r="A205" s="82">
        <v>50201</v>
      </c>
      <c r="B205" s="83" t="s">
        <v>263</v>
      </c>
      <c r="C205" s="83" t="s">
        <v>268</v>
      </c>
      <c r="D205" s="83" t="s">
        <v>269</v>
      </c>
      <c r="E205" s="103">
        <v>43</v>
      </c>
      <c r="F205" s="104">
        <v>444</v>
      </c>
      <c r="G205" s="84">
        <f t="shared" si="44"/>
        <v>5.5844155844155842E-2</v>
      </c>
      <c r="H205" s="85">
        <f t="shared" si="45"/>
        <v>8.3036909090909088</v>
      </c>
      <c r="I205" s="84">
        <f t="shared" si="46"/>
        <v>2.388766342067036E-2</v>
      </c>
      <c r="J205" s="86">
        <f t="shared" si="47"/>
        <v>39.032442029375368</v>
      </c>
      <c r="K205" s="86">
        <f t="shared" si="43"/>
        <v>212.7381859131859</v>
      </c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1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  <c r="AI205" s="81"/>
      <c r="AJ205" s="81"/>
      <c r="AK205" s="81"/>
      <c r="AL205" s="81"/>
      <c r="AM205" s="81"/>
      <c r="AN205" s="81"/>
    </row>
    <row r="206" spans="1:40" ht="14.25" customHeight="1">
      <c r="A206" s="82">
        <v>50202</v>
      </c>
      <c r="B206" s="83" t="s">
        <v>263</v>
      </c>
      <c r="C206" s="83" t="s">
        <v>268</v>
      </c>
      <c r="D206" s="83" t="s">
        <v>270</v>
      </c>
      <c r="E206" s="103">
        <v>28</v>
      </c>
      <c r="F206" s="104">
        <v>390</v>
      </c>
      <c r="G206" s="84">
        <f t="shared" si="44"/>
        <v>3.6363636363636362E-2</v>
      </c>
      <c r="H206" s="85">
        <f t="shared" si="45"/>
        <v>5.4070545454545451</v>
      </c>
      <c r="I206" s="84">
        <f t="shared" si="46"/>
        <v>2.0982407058696938E-2</v>
      </c>
      <c r="J206" s="86">
        <f t="shared" si="47"/>
        <v>34.2852531339108</v>
      </c>
      <c r="K206" s="86">
        <f t="shared" si="43"/>
        <v>157.70787878787877</v>
      </c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1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  <c r="AI206" s="81"/>
      <c r="AJ206" s="81"/>
      <c r="AK206" s="81"/>
      <c r="AL206" s="81"/>
      <c r="AM206" s="81"/>
      <c r="AN206" s="81"/>
    </row>
    <row r="207" spans="1:40" ht="14.25" customHeight="1">
      <c r="A207" s="82">
        <v>50203</v>
      </c>
      <c r="B207" s="83" t="s">
        <v>263</v>
      </c>
      <c r="C207" s="83" t="s">
        <v>268</v>
      </c>
      <c r="D207" s="83" t="s">
        <v>271</v>
      </c>
      <c r="E207" s="103">
        <v>34</v>
      </c>
      <c r="F207" s="104">
        <v>1002</v>
      </c>
      <c r="G207" s="84">
        <f t="shared" si="44"/>
        <v>4.4155844155844157E-2</v>
      </c>
      <c r="H207" s="85">
        <f t="shared" si="45"/>
        <v>6.5657090909090909</v>
      </c>
      <c r="I207" s="84">
        <f t="shared" si="46"/>
        <v>5.3908645827729057E-2</v>
      </c>
      <c r="J207" s="86">
        <f t="shared" si="47"/>
        <v>88.086727282509273</v>
      </c>
      <c r="K207" s="86">
        <f t="shared" si="43"/>
        <v>74.536871711123212</v>
      </c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  <c r="AI207" s="81"/>
      <c r="AJ207" s="81"/>
      <c r="AK207" s="81"/>
      <c r="AL207" s="81"/>
      <c r="AM207" s="81"/>
      <c r="AN207" s="81"/>
    </row>
    <row r="208" spans="1:40" ht="14.25" customHeight="1">
      <c r="A208" s="82">
        <v>50204</v>
      </c>
      <c r="B208" s="83" t="s">
        <v>263</v>
      </c>
      <c r="C208" s="83" t="s">
        <v>268</v>
      </c>
      <c r="D208" s="83" t="s">
        <v>272</v>
      </c>
      <c r="E208" s="103">
        <v>15</v>
      </c>
      <c r="F208" s="104">
        <v>253</v>
      </c>
      <c r="G208" s="84">
        <f t="shared" si="44"/>
        <v>1.948051948051948E-2</v>
      </c>
      <c r="H208" s="85">
        <f t="shared" si="45"/>
        <v>2.8966363636363632</v>
      </c>
      <c r="I208" s="84">
        <f t="shared" si="46"/>
        <v>1.3611664066282886E-2</v>
      </c>
      <c r="J208" s="86">
        <f t="shared" si="47"/>
        <v>22.241459084306236</v>
      </c>
      <c r="K208" s="86">
        <f t="shared" si="43"/>
        <v>130.23589651455262</v>
      </c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1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  <c r="AI208" s="81"/>
      <c r="AJ208" s="81"/>
      <c r="AK208" s="81"/>
      <c r="AL208" s="81"/>
      <c r="AM208" s="81"/>
      <c r="AN208" s="81"/>
    </row>
    <row r="209" spans="1:40" ht="14.25" customHeight="1">
      <c r="A209" s="82">
        <v>50301</v>
      </c>
      <c r="B209" s="83" t="s">
        <v>263</v>
      </c>
      <c r="C209" s="83" t="s">
        <v>273</v>
      </c>
      <c r="D209" s="83" t="s">
        <v>274</v>
      </c>
      <c r="E209" s="103">
        <v>36</v>
      </c>
      <c r="F209" s="104">
        <v>641</v>
      </c>
      <c r="G209" s="84">
        <f t="shared" si="44"/>
        <v>4.6753246753246755E-2</v>
      </c>
      <c r="H209" s="85">
        <f t="shared" si="45"/>
        <v>6.9519272727272723</v>
      </c>
      <c r="I209" s="84">
        <f t="shared" si="46"/>
        <v>3.4486469037499329E-2</v>
      </c>
      <c r="J209" s="86">
        <f t="shared" si="47"/>
        <v>56.350890407273901</v>
      </c>
      <c r="K209" s="86">
        <f t="shared" si="43"/>
        <v>123.36854346901147</v>
      </c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  <c r="AI209" s="81"/>
      <c r="AJ209" s="81"/>
      <c r="AK209" s="81"/>
      <c r="AL209" s="81"/>
      <c r="AM209" s="81"/>
      <c r="AN209" s="81"/>
    </row>
    <row r="210" spans="1:40" ht="14.25" customHeight="1">
      <c r="A210" s="82">
        <v>50302</v>
      </c>
      <c r="B210" s="83" t="s">
        <v>263</v>
      </c>
      <c r="C210" s="83" t="s">
        <v>273</v>
      </c>
      <c r="D210" s="83" t="s">
        <v>275</v>
      </c>
      <c r="E210" s="103">
        <v>9</v>
      </c>
      <c r="F210" s="104">
        <v>170</v>
      </c>
      <c r="G210" s="84">
        <f t="shared" si="44"/>
        <v>1.1688311688311689E-2</v>
      </c>
      <c r="H210" s="85">
        <f t="shared" si="45"/>
        <v>1.7379818181818181</v>
      </c>
      <c r="I210" s="84">
        <f t="shared" si="46"/>
        <v>9.1461774358422548E-3</v>
      </c>
      <c r="J210" s="86">
        <f t="shared" si="47"/>
        <v>14.944853930166245</v>
      </c>
      <c r="K210" s="86">
        <f t="shared" si="43"/>
        <v>116.29299465240641</v>
      </c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1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  <c r="AI210" s="81"/>
      <c r="AJ210" s="81"/>
      <c r="AK210" s="81"/>
      <c r="AL210" s="81"/>
      <c r="AM210" s="81"/>
      <c r="AN210" s="81"/>
    </row>
    <row r="211" spans="1:40" ht="14.25" customHeight="1">
      <c r="A211" s="82">
        <v>50303</v>
      </c>
      <c r="B211" s="83" t="s">
        <v>263</v>
      </c>
      <c r="C211" s="83" t="s">
        <v>273</v>
      </c>
      <c r="D211" s="83" t="s">
        <v>276</v>
      </c>
      <c r="E211" s="103">
        <v>13</v>
      </c>
      <c r="F211" s="104">
        <v>252</v>
      </c>
      <c r="G211" s="84">
        <f t="shared" si="44"/>
        <v>1.6883116883116882E-2</v>
      </c>
      <c r="H211" s="85">
        <f t="shared" si="45"/>
        <v>2.5104181818181814</v>
      </c>
      <c r="I211" s="84">
        <f t="shared" si="46"/>
        <v>1.3557863022542638E-2</v>
      </c>
      <c r="J211" s="86">
        <f t="shared" si="47"/>
        <v>22.153548178834669</v>
      </c>
      <c r="K211" s="86">
        <f t="shared" si="43"/>
        <v>113.31901154401153</v>
      </c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  <c r="AI211" s="81"/>
      <c r="AJ211" s="81"/>
      <c r="AK211" s="81"/>
      <c r="AL211" s="81"/>
      <c r="AM211" s="81"/>
      <c r="AN211" s="81"/>
    </row>
    <row r="212" spans="1:40" ht="14.25" customHeight="1">
      <c r="A212" s="82">
        <v>50401</v>
      </c>
      <c r="B212" s="83" t="s">
        <v>263</v>
      </c>
      <c r="C212" s="83" t="s">
        <v>270</v>
      </c>
      <c r="D212" s="83" t="s">
        <v>277</v>
      </c>
      <c r="E212" s="103">
        <v>54</v>
      </c>
      <c r="F212" s="104">
        <v>378</v>
      </c>
      <c r="G212" s="84">
        <f t="shared" si="44"/>
        <v>7.0129870129870125E-2</v>
      </c>
      <c r="H212" s="85">
        <f t="shared" si="45"/>
        <v>10.427890909090907</v>
      </c>
      <c r="I212" s="84">
        <f t="shared" si="46"/>
        <v>2.0336794533813957E-2</v>
      </c>
      <c r="J212" s="86">
        <f t="shared" si="47"/>
        <v>33.230322268252003</v>
      </c>
      <c r="K212" s="86">
        <f t="shared" si="43"/>
        <v>313.80649350649344</v>
      </c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  <c r="AI212" s="81"/>
      <c r="AJ212" s="81"/>
      <c r="AK212" s="81"/>
      <c r="AL212" s="81"/>
      <c r="AM212" s="81"/>
      <c r="AN212" s="81"/>
    </row>
    <row r="213" spans="1:40" ht="14.25" customHeight="1">
      <c r="A213" s="82">
        <v>50402</v>
      </c>
      <c r="B213" s="83" t="s">
        <v>263</v>
      </c>
      <c r="C213" s="83" t="s">
        <v>270</v>
      </c>
      <c r="D213" s="83" t="s">
        <v>278</v>
      </c>
      <c r="E213" s="103">
        <v>15</v>
      </c>
      <c r="F213" s="104">
        <v>442</v>
      </c>
      <c r="G213" s="84">
        <f t="shared" si="44"/>
        <v>1.948051948051948E-2</v>
      </c>
      <c r="H213" s="85">
        <f t="shared" si="45"/>
        <v>2.8966363636363632</v>
      </c>
      <c r="I213" s="84">
        <f t="shared" si="46"/>
        <v>2.3780061333189863E-2</v>
      </c>
      <c r="J213" s="86">
        <f t="shared" si="47"/>
        <v>38.856620218432234</v>
      </c>
      <c r="K213" s="86">
        <f t="shared" si="43"/>
        <v>74.546791443850253</v>
      </c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  <c r="AI213" s="81"/>
      <c r="AJ213" s="81"/>
      <c r="AK213" s="81"/>
      <c r="AL213" s="81"/>
      <c r="AM213" s="81"/>
      <c r="AN213" s="81"/>
    </row>
    <row r="214" spans="1:40" ht="14.25" customHeight="1">
      <c r="A214" s="82">
        <v>50403</v>
      </c>
      <c r="B214" s="83" t="s">
        <v>263</v>
      </c>
      <c r="C214" s="83" t="s">
        <v>270</v>
      </c>
      <c r="D214" s="83" t="s">
        <v>279</v>
      </c>
      <c r="E214" s="103">
        <v>40</v>
      </c>
      <c r="F214" s="104">
        <v>557</v>
      </c>
      <c r="G214" s="84">
        <f t="shared" si="44"/>
        <v>5.1948051948051951E-2</v>
      </c>
      <c r="H214" s="85">
        <f t="shared" si="45"/>
        <v>7.7243636363636359</v>
      </c>
      <c r="I214" s="84">
        <f t="shared" si="46"/>
        <v>2.9967181363318447E-2</v>
      </c>
      <c r="J214" s="86">
        <f t="shared" si="47"/>
        <v>48.966374347662345</v>
      </c>
      <c r="K214" s="86">
        <f t="shared" si="43"/>
        <v>157.74832707687284</v>
      </c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1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  <c r="AI214" s="81"/>
      <c r="AJ214" s="81"/>
      <c r="AK214" s="81"/>
      <c r="AL214" s="81"/>
      <c r="AM214" s="81"/>
      <c r="AN214" s="81"/>
    </row>
    <row r="215" spans="1:40" ht="14.25" customHeight="1">
      <c r="A215" s="82">
        <v>50404</v>
      </c>
      <c r="B215" s="83" t="s">
        <v>263</v>
      </c>
      <c r="C215" s="83" t="s">
        <v>270</v>
      </c>
      <c r="D215" s="83" t="s">
        <v>280</v>
      </c>
      <c r="E215" s="103">
        <v>44</v>
      </c>
      <c r="F215" s="104">
        <v>394</v>
      </c>
      <c r="G215" s="84">
        <f t="shared" si="44"/>
        <v>5.7142857142857141E-2</v>
      </c>
      <c r="H215" s="85">
        <f t="shared" si="45"/>
        <v>8.4967999999999986</v>
      </c>
      <c r="I215" s="84">
        <f t="shared" si="46"/>
        <v>2.1197611233657931E-2</v>
      </c>
      <c r="J215" s="86">
        <f t="shared" si="47"/>
        <v>34.636896755797061</v>
      </c>
      <c r="K215" s="86">
        <f t="shared" si="43"/>
        <v>245.31065989847716</v>
      </c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  <c r="AI215" s="81"/>
      <c r="AJ215" s="81"/>
      <c r="AK215" s="81"/>
      <c r="AL215" s="81"/>
      <c r="AM215" s="81"/>
      <c r="AN215" s="81"/>
    </row>
    <row r="216" spans="1:40" ht="14.25" customHeight="1">
      <c r="A216" s="98">
        <v>50405</v>
      </c>
      <c r="B216" s="83" t="s">
        <v>263</v>
      </c>
      <c r="C216" s="83" t="s">
        <v>270</v>
      </c>
      <c r="D216" s="83" t="s">
        <v>281</v>
      </c>
      <c r="E216" s="103">
        <v>45</v>
      </c>
      <c r="F216" s="104">
        <v>478</v>
      </c>
      <c r="G216" s="84">
        <f t="shared" si="44"/>
        <v>5.844155844155844E-2</v>
      </c>
      <c r="H216" s="85">
        <f t="shared" si="45"/>
        <v>8.6899090909090901</v>
      </c>
      <c r="I216" s="84">
        <f t="shared" si="46"/>
        <v>2.5716898907838813E-2</v>
      </c>
      <c r="J216" s="86">
        <f t="shared" si="47"/>
        <v>42.021412815408624</v>
      </c>
      <c r="K216" s="86">
        <f t="shared" si="43"/>
        <v>206.7971662228984</v>
      </c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1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  <c r="AI216" s="81"/>
      <c r="AJ216" s="81"/>
      <c r="AK216" s="81"/>
      <c r="AL216" s="81"/>
      <c r="AM216" s="81"/>
      <c r="AN216" s="81"/>
    </row>
    <row r="217" spans="1:40" ht="14.25" customHeight="1">
      <c r="A217" s="82">
        <v>50501</v>
      </c>
      <c r="B217" s="83" t="s">
        <v>263</v>
      </c>
      <c r="C217" s="83" t="s">
        <v>282</v>
      </c>
      <c r="D217" s="83" t="s">
        <v>283</v>
      </c>
      <c r="E217" s="103">
        <v>64</v>
      </c>
      <c r="F217" s="104">
        <v>728</v>
      </c>
      <c r="G217" s="84">
        <f t="shared" si="44"/>
        <v>8.3116883116883117E-2</v>
      </c>
      <c r="H217" s="85">
        <f t="shared" si="45"/>
        <v>12.358981818181817</v>
      </c>
      <c r="I217" s="84">
        <f t="shared" si="46"/>
        <v>3.916715984290095E-2</v>
      </c>
      <c r="J217" s="86">
        <f t="shared" si="47"/>
        <v>63.999139183300152</v>
      </c>
      <c r="K217" s="86">
        <f t="shared" si="43"/>
        <v>193.11168831168831</v>
      </c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  <c r="AI217" s="81"/>
      <c r="AJ217" s="81"/>
      <c r="AK217" s="81"/>
      <c r="AL217" s="81"/>
      <c r="AM217" s="81"/>
      <c r="AN217" s="81"/>
    </row>
    <row r="218" spans="1:40" ht="14.25" customHeight="1">
      <c r="A218" s="82">
        <v>50502</v>
      </c>
      <c r="B218" s="83" t="s">
        <v>263</v>
      </c>
      <c r="C218" s="83" t="s">
        <v>282</v>
      </c>
      <c r="D218" s="83" t="s">
        <v>284</v>
      </c>
      <c r="E218" s="103">
        <v>20</v>
      </c>
      <c r="F218" s="104">
        <v>260</v>
      </c>
      <c r="G218" s="84">
        <f t="shared" si="44"/>
        <v>2.5974025974025976E-2</v>
      </c>
      <c r="H218" s="85">
        <f t="shared" si="45"/>
        <v>3.8621818181818179</v>
      </c>
      <c r="I218" s="84">
        <f t="shared" si="46"/>
        <v>1.3988271372464625E-2</v>
      </c>
      <c r="J218" s="86">
        <f t="shared" si="47"/>
        <v>22.856835422607197</v>
      </c>
      <c r="K218" s="86">
        <f t="shared" si="43"/>
        <v>168.97272727272727</v>
      </c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1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  <c r="AI218" s="81"/>
      <c r="AJ218" s="81"/>
      <c r="AK218" s="81"/>
      <c r="AL218" s="81"/>
      <c r="AM218" s="81"/>
      <c r="AN218" s="81"/>
    </row>
    <row r="219" spans="1:40" ht="14.25" customHeight="1">
      <c r="A219" s="82">
        <v>50601</v>
      </c>
      <c r="B219" s="83" t="s">
        <v>263</v>
      </c>
      <c r="C219" s="83" t="s">
        <v>285</v>
      </c>
      <c r="D219" s="83" t="s">
        <v>286</v>
      </c>
      <c r="E219" s="103">
        <v>6</v>
      </c>
      <c r="F219" s="104">
        <v>604</v>
      </c>
      <c r="G219" s="84">
        <f t="shared" si="44"/>
        <v>7.7922077922077922E-3</v>
      </c>
      <c r="H219" s="85">
        <f t="shared" si="45"/>
        <v>1.1586545454545454</v>
      </c>
      <c r="I219" s="84">
        <f t="shared" si="46"/>
        <v>3.2495830419110132E-2</v>
      </c>
      <c r="J219" s="86">
        <f t="shared" si="47"/>
        <v>53.098186904825958</v>
      </c>
      <c r="K219" s="86">
        <f t="shared" si="43"/>
        <v>21.820981336544246</v>
      </c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1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  <c r="AI219" s="81"/>
      <c r="AJ219" s="81"/>
      <c r="AK219" s="81"/>
      <c r="AL219" s="81"/>
      <c r="AM219" s="81"/>
      <c r="AN219" s="81"/>
    </row>
    <row r="220" spans="1:40" ht="14.25" customHeight="1">
      <c r="A220" s="82">
        <v>50602</v>
      </c>
      <c r="B220" s="83" t="s">
        <v>263</v>
      </c>
      <c r="C220" s="83" t="s">
        <v>285</v>
      </c>
      <c r="D220" s="83" t="s">
        <v>287</v>
      </c>
      <c r="E220" s="103">
        <v>4</v>
      </c>
      <c r="F220" s="104">
        <v>192</v>
      </c>
      <c r="G220" s="84">
        <f t="shared" si="44"/>
        <v>5.1948051948051948E-3</v>
      </c>
      <c r="H220" s="85">
        <f t="shared" si="45"/>
        <v>0.77243636363636359</v>
      </c>
      <c r="I220" s="84">
        <f t="shared" si="46"/>
        <v>1.0329800398127724E-2</v>
      </c>
      <c r="J220" s="86">
        <f t="shared" si="47"/>
        <v>16.878893850540699</v>
      </c>
      <c r="K220" s="86">
        <f t="shared" si="43"/>
        <v>45.763446969696972</v>
      </c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1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  <c r="AI220" s="81"/>
      <c r="AJ220" s="81"/>
      <c r="AK220" s="81"/>
      <c r="AL220" s="81"/>
      <c r="AM220" s="81"/>
      <c r="AN220" s="81"/>
    </row>
    <row r="221" spans="1:40" ht="14.25" customHeight="1">
      <c r="A221" s="82">
        <v>50701</v>
      </c>
      <c r="B221" s="83" t="s">
        <v>263</v>
      </c>
      <c r="C221" s="83" t="s">
        <v>288</v>
      </c>
      <c r="D221" s="83" t="s">
        <v>289</v>
      </c>
      <c r="E221" s="103">
        <v>14</v>
      </c>
      <c r="F221" s="104">
        <v>463</v>
      </c>
      <c r="G221" s="84">
        <f t="shared" si="44"/>
        <v>1.8181818181818181E-2</v>
      </c>
      <c r="H221" s="85">
        <f t="shared" si="45"/>
        <v>2.7035272727272726</v>
      </c>
      <c r="I221" s="84">
        <f t="shared" si="46"/>
        <v>2.4909883251735085E-2</v>
      </c>
      <c r="J221" s="86">
        <f t="shared" si="47"/>
        <v>40.702749233335126</v>
      </c>
      <c r="K221" s="86">
        <f t="shared" si="43"/>
        <v>66.42124484586688</v>
      </c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1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  <c r="AI221" s="81"/>
      <c r="AJ221" s="81"/>
      <c r="AK221" s="81"/>
      <c r="AL221" s="81"/>
      <c r="AM221" s="81"/>
      <c r="AN221" s="81"/>
    </row>
    <row r="222" spans="1:40" ht="14.25" customHeight="1">
      <c r="A222" s="82">
        <v>50702</v>
      </c>
      <c r="B222" s="83" t="s">
        <v>263</v>
      </c>
      <c r="C222" s="83" t="s">
        <v>288</v>
      </c>
      <c r="D222" s="83" t="s">
        <v>290</v>
      </c>
      <c r="E222" s="103">
        <v>8</v>
      </c>
      <c r="F222" s="104">
        <v>211</v>
      </c>
      <c r="G222" s="84">
        <f t="shared" si="44"/>
        <v>1.038961038961039E-2</v>
      </c>
      <c r="H222" s="85">
        <f t="shared" si="45"/>
        <v>1.5448727272727272</v>
      </c>
      <c r="I222" s="84">
        <f t="shared" si="46"/>
        <v>1.1352020229192447E-2</v>
      </c>
      <c r="J222" s="86">
        <f t="shared" si="47"/>
        <v>18.549201054500458</v>
      </c>
      <c r="K222" s="86">
        <f t="shared" si="43"/>
        <v>83.285135717363204</v>
      </c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1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  <c r="AI222" s="81"/>
      <c r="AJ222" s="81"/>
      <c r="AK222" s="81"/>
      <c r="AL222" s="81"/>
      <c r="AM222" s="81"/>
      <c r="AN222" s="81"/>
    </row>
    <row r="223" spans="1:40" ht="14.25" customHeight="1">
      <c r="A223" s="82">
        <v>50801</v>
      </c>
      <c r="B223" s="83" t="s">
        <v>263</v>
      </c>
      <c r="C223" s="83" t="s">
        <v>291</v>
      </c>
      <c r="D223" s="83" t="s">
        <v>292</v>
      </c>
      <c r="E223" s="103">
        <v>10</v>
      </c>
      <c r="F223" s="104">
        <v>923</v>
      </c>
      <c r="G223" s="84">
        <f t="shared" si="44"/>
        <v>1.2987012987012988E-2</v>
      </c>
      <c r="H223" s="85">
        <f t="shared" si="45"/>
        <v>1.931090909090909</v>
      </c>
      <c r="I223" s="84">
        <f t="shared" si="46"/>
        <v>4.9658363372249423E-2</v>
      </c>
      <c r="J223" s="86">
        <f t="shared" si="47"/>
        <v>81.141765750255558</v>
      </c>
      <c r="K223" s="86">
        <f t="shared" si="43"/>
        <v>23.798975672215107</v>
      </c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1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  <c r="AI223" s="81"/>
      <c r="AJ223" s="81"/>
      <c r="AK223" s="81"/>
      <c r="AL223" s="81"/>
      <c r="AM223" s="81"/>
      <c r="AN223" s="81"/>
    </row>
    <row r="224" spans="1:40" ht="14.25" customHeight="1">
      <c r="A224" s="82">
        <v>50802</v>
      </c>
      <c r="B224" s="83" t="s">
        <v>263</v>
      </c>
      <c r="C224" s="83" t="s">
        <v>291</v>
      </c>
      <c r="D224" s="83" t="s">
        <v>293</v>
      </c>
      <c r="E224" s="103">
        <v>1</v>
      </c>
      <c r="F224" s="104">
        <v>262</v>
      </c>
      <c r="G224" s="84">
        <f>E224/$R$6</f>
        <v>1.2987012987012987E-3</v>
      </c>
      <c r="H224" s="85">
        <f>$S$21*G224</f>
        <v>0.1931090909090909</v>
      </c>
      <c r="I224" s="84">
        <f>F224/$S$6</f>
        <v>1.4095873459945124E-2</v>
      </c>
      <c r="J224" s="86">
        <f>I224*$U$21</f>
        <v>23.032657233550331</v>
      </c>
      <c r="K224" s="86">
        <f t="shared" si="43"/>
        <v>8.3841429562803604</v>
      </c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1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  <c r="AI224" s="81"/>
      <c r="AJ224" s="81"/>
      <c r="AK224" s="81"/>
      <c r="AL224" s="81"/>
      <c r="AM224" s="81"/>
      <c r="AN224" s="81"/>
    </row>
    <row r="225" spans="1:40" ht="14.25" customHeight="1">
      <c r="A225" s="82">
        <v>50901</v>
      </c>
      <c r="B225" s="83" t="s">
        <v>263</v>
      </c>
      <c r="C225" s="83" t="s">
        <v>294</v>
      </c>
      <c r="D225" s="83" t="s">
        <v>295</v>
      </c>
      <c r="E225" s="103">
        <v>1</v>
      </c>
      <c r="F225" s="104">
        <v>288</v>
      </c>
      <c r="G225" s="84">
        <f t="shared" ref="G225:G242" si="48">E225/$R$6</f>
        <v>1.2987012987012987E-3</v>
      </c>
      <c r="H225" s="85">
        <f t="shared" si="45"/>
        <v>0.1931090909090909</v>
      </c>
      <c r="I225" s="84">
        <f t="shared" ref="I225:I242" si="49">F225/$S$6</f>
        <v>1.5494700597191586E-2</v>
      </c>
      <c r="J225" s="86">
        <f t="shared" si="47"/>
        <v>25.318340775811052</v>
      </c>
      <c r="K225" s="86">
        <f t="shared" si="43"/>
        <v>7.6272411616161611</v>
      </c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1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  <c r="AI225" s="81"/>
      <c r="AJ225" s="81"/>
      <c r="AK225" s="81"/>
      <c r="AL225" s="81"/>
      <c r="AM225" s="81"/>
      <c r="AN225" s="81"/>
    </row>
    <row r="226" spans="1:40" ht="14.25" customHeight="1">
      <c r="A226" s="82">
        <v>50902</v>
      </c>
      <c r="B226" s="83" t="s">
        <v>263</v>
      </c>
      <c r="C226" s="83" t="s">
        <v>294</v>
      </c>
      <c r="D226" s="83" t="s">
        <v>296</v>
      </c>
      <c r="E226" s="103">
        <v>0</v>
      </c>
      <c r="F226" s="104">
        <v>16</v>
      </c>
      <c r="G226" s="84">
        <f t="shared" si="48"/>
        <v>0</v>
      </c>
      <c r="H226" s="85">
        <f t="shared" si="45"/>
        <v>0</v>
      </c>
      <c r="I226" s="84">
        <f t="shared" si="49"/>
        <v>8.6081669984397697E-4</v>
      </c>
      <c r="J226" s="86">
        <f t="shared" si="47"/>
        <v>1.4065744875450583</v>
      </c>
      <c r="K226" s="86">
        <f t="shared" si="43"/>
        <v>0</v>
      </c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1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  <c r="AI226" s="81"/>
      <c r="AJ226" s="81"/>
      <c r="AK226" s="81"/>
      <c r="AL226" s="81"/>
      <c r="AM226" s="81"/>
      <c r="AN226" s="81"/>
    </row>
    <row r="227" spans="1:40" ht="14.25" customHeight="1">
      <c r="A227" s="82">
        <v>51001</v>
      </c>
      <c r="B227" s="83" t="s">
        <v>263</v>
      </c>
      <c r="C227" s="83" t="s">
        <v>297</v>
      </c>
      <c r="D227" s="83" t="s">
        <v>298</v>
      </c>
      <c r="E227" s="103">
        <v>1</v>
      </c>
      <c r="F227" s="104">
        <v>94</v>
      </c>
      <c r="G227" s="84">
        <f t="shared" si="48"/>
        <v>1.2987012987012987E-3</v>
      </c>
      <c r="H227" s="85">
        <f t="shared" si="45"/>
        <v>0.1931090909090909</v>
      </c>
      <c r="I227" s="84">
        <f t="shared" si="49"/>
        <v>5.0572981115833649E-3</v>
      </c>
      <c r="J227" s="86">
        <f t="shared" si="47"/>
        <v>8.263625114327219</v>
      </c>
      <c r="K227" s="86">
        <f t="shared" si="43"/>
        <v>23.368568665377172</v>
      </c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1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  <c r="AI227" s="81"/>
      <c r="AJ227" s="81"/>
      <c r="AK227" s="81"/>
      <c r="AL227" s="81"/>
      <c r="AM227" s="81"/>
      <c r="AN227" s="81"/>
    </row>
    <row r="228" spans="1:40" ht="14.25" customHeight="1">
      <c r="A228" s="82">
        <v>51002</v>
      </c>
      <c r="B228" s="83" t="s">
        <v>263</v>
      </c>
      <c r="C228" s="83" t="s">
        <v>297</v>
      </c>
      <c r="D228" s="83" t="s">
        <v>299</v>
      </c>
      <c r="E228" s="103">
        <v>0</v>
      </c>
      <c r="F228" s="104">
        <v>31</v>
      </c>
      <c r="G228" s="84">
        <f t="shared" si="48"/>
        <v>0</v>
      </c>
      <c r="H228" s="85">
        <f t="shared" si="45"/>
        <v>0</v>
      </c>
      <c r="I228" s="84">
        <f t="shared" si="49"/>
        <v>1.6678323559477053E-3</v>
      </c>
      <c r="J228" s="86">
        <f t="shared" si="47"/>
        <v>2.7252380696185505</v>
      </c>
      <c r="K228" s="86">
        <f t="shared" si="43"/>
        <v>0</v>
      </c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1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  <c r="AI228" s="81"/>
      <c r="AJ228" s="81"/>
      <c r="AK228" s="81"/>
      <c r="AL228" s="81"/>
      <c r="AM228" s="81"/>
      <c r="AN228" s="81"/>
    </row>
    <row r="229" spans="1:40" ht="14.25" customHeight="1">
      <c r="A229" s="82">
        <v>51003</v>
      </c>
      <c r="B229" s="83" t="s">
        <v>263</v>
      </c>
      <c r="C229" s="83" t="s">
        <v>297</v>
      </c>
      <c r="D229" s="83" t="s">
        <v>300</v>
      </c>
      <c r="E229" s="103">
        <v>0</v>
      </c>
      <c r="F229" s="104">
        <v>56</v>
      </c>
      <c r="G229" s="84">
        <f t="shared" si="48"/>
        <v>0</v>
      </c>
      <c r="H229" s="85">
        <f t="shared" si="45"/>
        <v>0</v>
      </c>
      <c r="I229" s="84">
        <f t="shared" si="49"/>
        <v>3.0128584494539196E-3</v>
      </c>
      <c r="J229" s="86">
        <f t="shared" si="47"/>
        <v>4.9230107064077044</v>
      </c>
      <c r="K229" s="86">
        <f t="shared" si="43"/>
        <v>0</v>
      </c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1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  <c r="AI229" s="81"/>
      <c r="AJ229" s="81"/>
      <c r="AK229" s="81"/>
      <c r="AL229" s="81"/>
      <c r="AM229" s="81"/>
      <c r="AN229" s="81"/>
    </row>
    <row r="230" spans="1:40" ht="14.25" customHeight="1">
      <c r="A230" s="82">
        <v>51101</v>
      </c>
      <c r="B230" s="83" t="s">
        <v>263</v>
      </c>
      <c r="C230" s="83" t="s">
        <v>301</v>
      </c>
      <c r="D230" s="83" t="s">
        <v>302</v>
      </c>
      <c r="E230" s="103">
        <v>5</v>
      </c>
      <c r="F230" s="104">
        <v>446</v>
      </c>
      <c r="G230" s="84">
        <f t="shared" si="48"/>
        <v>6.4935064935064939E-3</v>
      </c>
      <c r="H230" s="85">
        <f t="shared" si="45"/>
        <v>0.96554545454545448</v>
      </c>
      <c r="I230" s="84">
        <f t="shared" si="49"/>
        <v>2.3995265508150856E-2</v>
      </c>
      <c r="J230" s="86">
        <f t="shared" si="47"/>
        <v>39.208263840318502</v>
      </c>
      <c r="K230" s="86">
        <f t="shared" si="43"/>
        <v>24.626070118222582</v>
      </c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1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  <c r="AI230" s="81"/>
      <c r="AJ230" s="81"/>
      <c r="AK230" s="81"/>
      <c r="AL230" s="81"/>
      <c r="AM230" s="81"/>
      <c r="AN230" s="81"/>
    </row>
    <row r="231" spans="1:40" ht="14.25" customHeight="1">
      <c r="A231" s="82">
        <v>51102</v>
      </c>
      <c r="B231" s="83" t="s">
        <v>263</v>
      </c>
      <c r="C231" s="83" t="s">
        <v>301</v>
      </c>
      <c r="D231" s="83" t="s">
        <v>303</v>
      </c>
      <c r="E231" s="103">
        <v>3</v>
      </c>
      <c r="F231" s="104">
        <v>219</v>
      </c>
      <c r="G231" s="84">
        <f t="shared" si="48"/>
        <v>3.8961038961038961E-3</v>
      </c>
      <c r="H231" s="85">
        <f t="shared" si="45"/>
        <v>0.57932727272727269</v>
      </c>
      <c r="I231" s="84">
        <f t="shared" si="49"/>
        <v>1.1782428579114435E-2</v>
      </c>
      <c r="J231" s="86">
        <f t="shared" si="47"/>
        <v>19.252488298272986</v>
      </c>
      <c r="K231" s="86">
        <f t="shared" si="43"/>
        <v>30.091033623910334</v>
      </c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1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  <c r="AI231" s="81"/>
      <c r="AJ231" s="81"/>
      <c r="AK231" s="81"/>
      <c r="AL231" s="81"/>
      <c r="AM231" s="81"/>
      <c r="AN231" s="81"/>
    </row>
    <row r="232" spans="1:40" ht="14.25" customHeight="1">
      <c r="A232" s="82">
        <v>51103</v>
      </c>
      <c r="B232" s="83" t="s">
        <v>263</v>
      </c>
      <c r="C232" s="83" t="s">
        <v>301</v>
      </c>
      <c r="D232" s="83" t="s">
        <v>304</v>
      </c>
      <c r="E232" s="103">
        <v>10</v>
      </c>
      <c r="F232" s="104">
        <v>430</v>
      </c>
      <c r="G232" s="84">
        <f t="shared" si="48"/>
        <v>1.2987012987012988E-2</v>
      </c>
      <c r="H232" s="85">
        <f t="shared" si="45"/>
        <v>1.931090909090909</v>
      </c>
      <c r="I232" s="84">
        <f t="shared" si="49"/>
        <v>2.3134448808306882E-2</v>
      </c>
      <c r="J232" s="86">
        <f t="shared" si="47"/>
        <v>37.801689352773444</v>
      </c>
      <c r="K232" s="86">
        <f t="shared" si="43"/>
        <v>51.084778012684986</v>
      </c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1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  <c r="AI232" s="81"/>
      <c r="AJ232" s="81"/>
      <c r="AK232" s="81"/>
      <c r="AL232" s="81"/>
      <c r="AM232" s="81"/>
      <c r="AN232" s="81"/>
    </row>
    <row r="233" spans="1:40" ht="14.25" customHeight="1">
      <c r="A233" s="82">
        <v>51201</v>
      </c>
      <c r="B233" s="83" t="s">
        <v>263</v>
      </c>
      <c r="C233" s="83" t="s">
        <v>305</v>
      </c>
      <c r="D233" s="83" t="s">
        <v>306</v>
      </c>
      <c r="E233" s="103">
        <v>8</v>
      </c>
      <c r="F233" s="104">
        <v>691</v>
      </c>
      <c r="G233" s="84">
        <f t="shared" si="48"/>
        <v>1.038961038961039E-2</v>
      </c>
      <c r="H233" s="85">
        <f t="shared" si="45"/>
        <v>1.5448727272727272</v>
      </c>
      <c r="I233" s="84">
        <f t="shared" si="49"/>
        <v>3.7176521224511754E-2</v>
      </c>
      <c r="J233" s="86">
        <f t="shared" si="47"/>
        <v>60.746435680852208</v>
      </c>
      <c r="K233" s="86">
        <f t="shared" si="43"/>
        <v>25.431495855808443</v>
      </c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1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  <c r="AI233" s="81"/>
      <c r="AJ233" s="81"/>
      <c r="AK233" s="81"/>
      <c r="AL233" s="81"/>
      <c r="AM233" s="81"/>
      <c r="AN233" s="81"/>
    </row>
    <row r="234" spans="1:40" ht="14.25" customHeight="1">
      <c r="A234" s="82">
        <v>51202</v>
      </c>
      <c r="B234" s="83" t="s">
        <v>263</v>
      </c>
      <c r="C234" s="83" t="s">
        <v>305</v>
      </c>
      <c r="D234" s="83" t="s">
        <v>307</v>
      </c>
      <c r="E234" s="103">
        <v>2</v>
      </c>
      <c r="F234" s="104">
        <v>173</v>
      </c>
      <c r="G234" s="84">
        <f t="shared" si="48"/>
        <v>2.5974025974025974E-3</v>
      </c>
      <c r="H234" s="85">
        <f t="shared" si="45"/>
        <v>0.38621818181818179</v>
      </c>
      <c r="I234" s="84">
        <f t="shared" si="49"/>
        <v>9.3075805670630018E-3</v>
      </c>
      <c r="J234" s="86">
        <f t="shared" si="47"/>
        <v>15.208586646580946</v>
      </c>
      <c r="K234" s="86">
        <f t="shared" si="43"/>
        <v>25.394745139253804</v>
      </c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1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  <c r="AI234" s="81"/>
      <c r="AJ234" s="81"/>
      <c r="AK234" s="81"/>
      <c r="AL234" s="81"/>
      <c r="AM234" s="81"/>
      <c r="AN234" s="81"/>
    </row>
    <row r="235" spans="1:40" ht="14.25" customHeight="1">
      <c r="A235" s="82">
        <v>51203</v>
      </c>
      <c r="B235" s="83" t="s">
        <v>263</v>
      </c>
      <c r="C235" s="83" t="s">
        <v>305</v>
      </c>
      <c r="D235" s="83" t="s">
        <v>308</v>
      </c>
      <c r="E235" s="103">
        <v>2</v>
      </c>
      <c r="F235" s="104">
        <v>318</v>
      </c>
      <c r="G235" s="84">
        <f t="shared" si="48"/>
        <v>2.5974025974025974E-3</v>
      </c>
      <c r="H235" s="85">
        <f t="shared" si="45"/>
        <v>0.38621818181818179</v>
      </c>
      <c r="I235" s="84">
        <f t="shared" si="49"/>
        <v>1.7108731909399041E-2</v>
      </c>
      <c r="J235" s="86">
        <f t="shared" si="47"/>
        <v>27.955667939958033</v>
      </c>
      <c r="K235" s="86">
        <f t="shared" si="43"/>
        <v>13.815380217267009</v>
      </c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1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  <c r="AI235" s="81"/>
      <c r="AJ235" s="81"/>
      <c r="AK235" s="81"/>
      <c r="AL235" s="81"/>
      <c r="AM235" s="81"/>
      <c r="AN235" s="81"/>
    </row>
    <row r="236" spans="1:40" ht="14.25" customHeight="1">
      <c r="A236" s="98">
        <v>51204</v>
      </c>
      <c r="B236" s="83" t="s">
        <v>263</v>
      </c>
      <c r="C236" s="83"/>
      <c r="D236" s="83" t="s">
        <v>309</v>
      </c>
      <c r="E236" s="103">
        <v>3</v>
      </c>
      <c r="F236" s="104">
        <v>130</v>
      </c>
      <c r="G236" s="84">
        <f t="shared" si="48"/>
        <v>3.8961038961038961E-3</v>
      </c>
      <c r="H236" s="85">
        <f t="shared" si="45"/>
        <v>0.57932727272727269</v>
      </c>
      <c r="I236" s="84">
        <f t="shared" si="49"/>
        <v>6.9941356862323126E-3</v>
      </c>
      <c r="J236" s="86">
        <f t="shared" si="47"/>
        <v>11.428417711303599</v>
      </c>
      <c r="K236" s="86">
        <f t="shared" si="43"/>
        <v>50.691818181818178</v>
      </c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1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  <c r="AI236" s="81"/>
      <c r="AJ236" s="81"/>
      <c r="AK236" s="81"/>
      <c r="AL236" s="81"/>
      <c r="AM236" s="81"/>
      <c r="AN236" s="81"/>
    </row>
    <row r="237" spans="1:40" ht="14.25" customHeight="1">
      <c r="A237" s="82">
        <v>51301</v>
      </c>
      <c r="B237" s="83" t="s">
        <v>263</v>
      </c>
      <c r="C237" s="83" t="s">
        <v>310</v>
      </c>
      <c r="D237" s="83" t="s">
        <v>311</v>
      </c>
      <c r="E237" s="103">
        <v>3</v>
      </c>
      <c r="F237" s="104">
        <v>110</v>
      </c>
      <c r="G237" s="84">
        <f t="shared" si="48"/>
        <v>3.8961038961038961E-3</v>
      </c>
      <c r="H237" s="85">
        <f t="shared" si="45"/>
        <v>0.57932727272727269</v>
      </c>
      <c r="I237" s="84">
        <f t="shared" si="49"/>
        <v>5.9181148114273415E-3</v>
      </c>
      <c r="J237" s="86">
        <f t="shared" si="47"/>
        <v>9.6701996018722767</v>
      </c>
      <c r="K237" s="86">
        <f t="shared" si="43"/>
        <v>59.908512396694206</v>
      </c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1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  <c r="AI237" s="81"/>
      <c r="AJ237" s="81"/>
      <c r="AK237" s="81"/>
      <c r="AL237" s="81"/>
      <c r="AM237" s="81"/>
      <c r="AN237" s="81"/>
    </row>
    <row r="238" spans="1:40" ht="14.25" customHeight="1">
      <c r="A238" s="82">
        <v>51302</v>
      </c>
      <c r="B238" s="83" t="s">
        <v>263</v>
      </c>
      <c r="C238" s="83" t="s">
        <v>310</v>
      </c>
      <c r="D238" s="83" t="s">
        <v>312</v>
      </c>
      <c r="E238" s="103">
        <v>3</v>
      </c>
      <c r="F238" s="104">
        <v>129</v>
      </c>
      <c r="G238" s="84">
        <f t="shared" si="48"/>
        <v>3.8961038961038961E-3</v>
      </c>
      <c r="H238" s="85">
        <f t="shared" si="45"/>
        <v>0.57932727272727269</v>
      </c>
      <c r="I238" s="84">
        <f t="shared" si="49"/>
        <v>6.9403346424920642E-3</v>
      </c>
      <c r="J238" s="86">
        <f t="shared" si="47"/>
        <v>11.340506805832034</v>
      </c>
      <c r="K238" s="86">
        <f t="shared" si="43"/>
        <v>51.084778012684978</v>
      </c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1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  <c r="AI238" s="81"/>
      <c r="AJ238" s="81"/>
      <c r="AK238" s="81"/>
      <c r="AL238" s="81"/>
      <c r="AM238" s="81"/>
      <c r="AN238" s="81"/>
    </row>
    <row r="239" spans="1:40" ht="14.25" customHeight="1">
      <c r="A239" s="82">
        <v>51401</v>
      </c>
      <c r="B239" s="83" t="s">
        <v>263</v>
      </c>
      <c r="C239" s="83" t="s">
        <v>313</v>
      </c>
      <c r="D239" s="83" t="s">
        <v>314</v>
      </c>
      <c r="E239" s="103">
        <v>1</v>
      </c>
      <c r="F239" s="104">
        <v>82</v>
      </c>
      <c r="G239" s="84">
        <f t="shared" si="48"/>
        <v>1.2987012987012987E-3</v>
      </c>
      <c r="H239" s="85">
        <f t="shared" si="45"/>
        <v>0.1931090909090909</v>
      </c>
      <c r="I239" s="84">
        <f t="shared" si="49"/>
        <v>4.4116855867003821E-3</v>
      </c>
      <c r="J239" s="86">
        <f t="shared" si="47"/>
        <v>7.208694248668424</v>
      </c>
      <c r="K239" s="86">
        <f t="shared" si="43"/>
        <v>26.788359201773833</v>
      </c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1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  <c r="AI239" s="81"/>
      <c r="AJ239" s="81"/>
      <c r="AK239" s="81"/>
      <c r="AL239" s="81"/>
      <c r="AM239" s="81"/>
      <c r="AN239" s="81"/>
    </row>
    <row r="240" spans="1:40" ht="14.25" customHeight="1">
      <c r="A240" s="82">
        <v>51402</v>
      </c>
      <c r="B240" s="83" t="s">
        <v>263</v>
      </c>
      <c r="C240" s="83" t="s">
        <v>313</v>
      </c>
      <c r="D240" s="83" t="s">
        <v>315</v>
      </c>
      <c r="E240" s="103">
        <v>0</v>
      </c>
      <c r="F240" s="104">
        <v>26</v>
      </c>
      <c r="G240" s="84">
        <f t="shared" si="48"/>
        <v>0</v>
      </c>
      <c r="H240" s="85">
        <f t="shared" si="45"/>
        <v>0</v>
      </c>
      <c r="I240" s="84">
        <f t="shared" si="49"/>
        <v>1.3988271372464625E-3</v>
      </c>
      <c r="J240" s="86">
        <f t="shared" si="47"/>
        <v>2.2856835422607196</v>
      </c>
      <c r="K240" s="86">
        <f t="shared" si="43"/>
        <v>0</v>
      </c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1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  <c r="AI240" s="81"/>
      <c r="AJ240" s="81"/>
      <c r="AK240" s="81"/>
      <c r="AL240" s="81"/>
      <c r="AM240" s="81"/>
      <c r="AN240" s="81"/>
    </row>
    <row r="241" spans="1:40" ht="14.25" customHeight="1">
      <c r="A241" s="82">
        <v>51501</v>
      </c>
      <c r="B241" s="83" t="s">
        <v>263</v>
      </c>
      <c r="C241" s="83" t="s">
        <v>316</v>
      </c>
      <c r="D241" s="83" t="s">
        <v>317</v>
      </c>
      <c r="E241" s="103">
        <v>3</v>
      </c>
      <c r="F241" s="104">
        <v>981</v>
      </c>
      <c r="G241" s="84">
        <f t="shared" si="48"/>
        <v>3.8961038961038961E-3</v>
      </c>
      <c r="H241" s="85">
        <f t="shared" si="45"/>
        <v>0.57932727272727269</v>
      </c>
      <c r="I241" s="84">
        <f t="shared" si="49"/>
        <v>5.2778823909183835E-2</v>
      </c>
      <c r="J241" s="86">
        <f t="shared" si="47"/>
        <v>86.240598267606387</v>
      </c>
      <c r="K241" s="86">
        <f t="shared" si="43"/>
        <v>6.7175701973867108</v>
      </c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1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  <c r="AI241" s="81"/>
      <c r="AJ241" s="81"/>
      <c r="AK241" s="81"/>
      <c r="AL241" s="81"/>
      <c r="AM241" s="81"/>
      <c r="AN241" s="81"/>
    </row>
    <row r="242" spans="1:40" ht="14.25" customHeight="1">
      <c r="A242" s="82">
        <v>51601</v>
      </c>
      <c r="B242" s="83" t="s">
        <v>263</v>
      </c>
      <c r="C242" s="83" t="s">
        <v>318</v>
      </c>
      <c r="D242" s="83" t="s">
        <v>319</v>
      </c>
      <c r="E242" s="103">
        <v>0</v>
      </c>
      <c r="F242" s="104">
        <v>19</v>
      </c>
      <c r="G242" s="84">
        <f t="shared" si="48"/>
        <v>0</v>
      </c>
      <c r="H242" s="85">
        <f t="shared" si="45"/>
        <v>0</v>
      </c>
      <c r="I242" s="84">
        <f t="shared" si="49"/>
        <v>1.0222198310647227E-3</v>
      </c>
      <c r="J242" s="86">
        <f t="shared" si="47"/>
        <v>1.6703072039597568</v>
      </c>
      <c r="K242" s="86">
        <f t="shared" si="43"/>
        <v>0</v>
      </c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1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  <c r="AI242" s="81"/>
      <c r="AJ242" s="81"/>
      <c r="AK242" s="81"/>
      <c r="AL242" s="81"/>
      <c r="AM242" s="81"/>
      <c r="AN242" s="81"/>
    </row>
    <row r="243" spans="1:40" ht="14.25" customHeight="1">
      <c r="A243" s="82">
        <v>60101</v>
      </c>
      <c r="B243" s="83" t="s">
        <v>25</v>
      </c>
      <c r="C243" s="83" t="s">
        <v>164</v>
      </c>
      <c r="D243" s="83" t="s">
        <v>25</v>
      </c>
      <c r="E243" s="103">
        <v>43</v>
      </c>
      <c r="F243" s="104">
        <v>3785</v>
      </c>
      <c r="G243" s="84">
        <f>E243/$R$7</f>
        <v>0.27388535031847133</v>
      </c>
      <c r="H243" s="85">
        <f>$S$22*G243</f>
        <v>7.5107579617834386</v>
      </c>
      <c r="I243" s="84">
        <f>F243/$S$7</f>
        <v>0.40637749624221603</v>
      </c>
      <c r="J243" s="86">
        <f>I243*$U$22</f>
        <v>337.69969937728155</v>
      </c>
      <c r="K243" s="86">
        <f>1000*H243/J243</f>
        <v>22.240937660392596</v>
      </c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1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  <c r="AI243" s="81"/>
      <c r="AJ243" s="81"/>
      <c r="AK243" s="81"/>
      <c r="AL243" s="81"/>
      <c r="AM243" s="81"/>
      <c r="AN243" s="81"/>
    </row>
    <row r="244" spans="1:40" ht="14.25" customHeight="1">
      <c r="A244" s="82">
        <v>60201</v>
      </c>
      <c r="B244" s="83" t="s">
        <v>25</v>
      </c>
      <c r="C244" s="83" t="s">
        <v>320</v>
      </c>
      <c r="D244" s="83" t="s">
        <v>321</v>
      </c>
      <c r="E244" s="103">
        <v>6</v>
      </c>
      <c r="F244" s="104">
        <v>327</v>
      </c>
      <c r="G244" s="84">
        <f t="shared" ref="G244:G253" si="50">E244/$R$7</f>
        <v>3.8216560509554139E-2</v>
      </c>
      <c r="H244" s="85">
        <f t="shared" ref="H244:H253" si="51">$S$22*G244</f>
        <v>1.048012738853503</v>
      </c>
      <c r="I244" s="84">
        <f t="shared" ref="I244:I253" si="52">F244/$S$7</f>
        <v>3.5108438909168996E-2</v>
      </c>
      <c r="J244" s="86">
        <f t="shared" ref="J244:J253" si="53">I244*$U$22</f>
        <v>29.175112733519434</v>
      </c>
      <c r="K244" s="86">
        <f t="shared" ref="K244:K307" si="54">1000*H244/J244</f>
        <v>35.921463215099621</v>
      </c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1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  <c r="AI244" s="81"/>
      <c r="AJ244" s="81"/>
      <c r="AK244" s="81"/>
      <c r="AL244" s="81"/>
      <c r="AM244" s="81"/>
      <c r="AN244" s="81"/>
    </row>
    <row r="245" spans="1:40" ht="14.25" customHeight="1">
      <c r="A245" s="82">
        <v>60202</v>
      </c>
      <c r="B245" s="83" t="s">
        <v>25</v>
      </c>
      <c r="C245" s="83" t="s">
        <v>320</v>
      </c>
      <c r="D245" s="83" t="s">
        <v>322</v>
      </c>
      <c r="E245" s="103">
        <v>18</v>
      </c>
      <c r="F245" s="104">
        <v>699</v>
      </c>
      <c r="G245" s="84">
        <f t="shared" si="50"/>
        <v>0.11464968152866242</v>
      </c>
      <c r="H245" s="85">
        <f t="shared" si="51"/>
        <v>3.1440382165605096</v>
      </c>
      <c r="I245" s="84">
        <f t="shared" si="52"/>
        <v>7.5048314365471339E-2</v>
      </c>
      <c r="J245" s="86">
        <f t="shared" si="53"/>
        <v>62.365149237706682</v>
      </c>
      <c r="K245" s="86">
        <f t="shared" si="54"/>
        <v>50.413383997156991</v>
      </c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1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  <c r="AI245" s="81"/>
      <c r="AJ245" s="81"/>
      <c r="AK245" s="81"/>
      <c r="AL245" s="81"/>
      <c r="AM245" s="81"/>
      <c r="AN245" s="81"/>
    </row>
    <row r="246" spans="1:40" ht="14.25" customHeight="1">
      <c r="A246" s="82">
        <v>60301</v>
      </c>
      <c r="B246" s="83" t="s">
        <v>25</v>
      </c>
      <c r="C246" s="83" t="s">
        <v>323</v>
      </c>
      <c r="D246" s="83" t="s">
        <v>324</v>
      </c>
      <c r="E246" s="103">
        <v>43</v>
      </c>
      <c r="F246" s="104">
        <v>1869</v>
      </c>
      <c r="G246" s="84">
        <f t="shared" si="50"/>
        <v>0.27388535031847133</v>
      </c>
      <c r="H246" s="85">
        <f t="shared" si="51"/>
        <v>7.5107579617834386</v>
      </c>
      <c r="I246" s="84">
        <f t="shared" si="52"/>
        <v>0.20066566459093838</v>
      </c>
      <c r="J246" s="86">
        <f t="shared" si="53"/>
        <v>166.75316727506979</v>
      </c>
      <c r="K246" s="86">
        <f t="shared" si="54"/>
        <v>45.041171238408765</v>
      </c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1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  <c r="AI246" s="81"/>
      <c r="AJ246" s="81"/>
      <c r="AK246" s="81"/>
      <c r="AL246" s="81"/>
      <c r="AM246" s="81"/>
      <c r="AN246" s="81"/>
    </row>
    <row r="247" spans="1:40" ht="14.25" customHeight="1">
      <c r="A247" s="82">
        <v>60302</v>
      </c>
      <c r="B247" s="83" t="s">
        <v>25</v>
      </c>
      <c r="C247" s="83" t="s">
        <v>323</v>
      </c>
      <c r="D247" s="83" t="s">
        <v>325</v>
      </c>
      <c r="E247" s="103">
        <v>2</v>
      </c>
      <c r="F247" s="104">
        <v>283</v>
      </c>
      <c r="G247" s="84">
        <f t="shared" si="50"/>
        <v>1.2738853503184714E-2</v>
      </c>
      <c r="H247" s="85">
        <f t="shared" si="51"/>
        <v>0.3493375796178344</v>
      </c>
      <c r="I247" s="84">
        <f t="shared" si="52"/>
        <v>3.0384367618638608E-2</v>
      </c>
      <c r="J247" s="86">
        <f t="shared" si="53"/>
        <v>25.249409491088684</v>
      </c>
      <c r="K247" s="86">
        <f t="shared" si="54"/>
        <v>13.835475231257456</v>
      </c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1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  <c r="AI247" s="81"/>
      <c r="AJ247" s="81"/>
      <c r="AK247" s="81"/>
      <c r="AL247" s="81"/>
      <c r="AM247" s="81"/>
      <c r="AN247" s="81"/>
    </row>
    <row r="248" spans="1:40" ht="14.25" customHeight="1">
      <c r="A248" s="82">
        <v>60303</v>
      </c>
      <c r="B248" s="83" t="s">
        <v>25</v>
      </c>
      <c r="C248" s="83" t="s">
        <v>323</v>
      </c>
      <c r="D248" s="83" t="s">
        <v>326</v>
      </c>
      <c r="E248" s="103">
        <v>24</v>
      </c>
      <c r="F248" s="104">
        <v>884</v>
      </c>
      <c r="G248" s="84">
        <f t="shared" si="50"/>
        <v>0.15286624203821655</v>
      </c>
      <c r="H248" s="85">
        <f t="shared" si="51"/>
        <v>4.192050955414012</v>
      </c>
      <c r="I248" s="84">
        <f t="shared" si="52"/>
        <v>9.4910886837019537E-2</v>
      </c>
      <c r="J248" s="86">
        <f t="shared" si="53"/>
        <v>78.870946961563234</v>
      </c>
      <c r="K248" s="86">
        <f t="shared" si="54"/>
        <v>53.150762313744693</v>
      </c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1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  <c r="AI248" s="81"/>
      <c r="AJ248" s="81"/>
      <c r="AK248" s="81"/>
      <c r="AL248" s="81"/>
      <c r="AM248" s="81"/>
      <c r="AN248" s="81"/>
    </row>
    <row r="249" spans="1:40" ht="14.25" customHeight="1">
      <c r="A249" s="82">
        <v>60401</v>
      </c>
      <c r="B249" s="83" t="s">
        <v>25</v>
      </c>
      <c r="C249" s="83" t="s">
        <v>327</v>
      </c>
      <c r="D249" s="83" t="s">
        <v>328</v>
      </c>
      <c r="E249" s="103">
        <v>2</v>
      </c>
      <c r="F249" s="104">
        <v>287</v>
      </c>
      <c r="G249" s="84">
        <f t="shared" si="50"/>
        <v>1.2738853503184714E-2</v>
      </c>
      <c r="H249" s="85">
        <f t="shared" si="51"/>
        <v>0.3493375796178344</v>
      </c>
      <c r="I249" s="84">
        <f t="shared" si="52"/>
        <v>3.0813828645050462E-2</v>
      </c>
      <c r="J249" s="86">
        <f t="shared" si="53"/>
        <v>25.606291604036933</v>
      </c>
      <c r="K249" s="86">
        <f t="shared" si="54"/>
        <v>13.642646308173729</v>
      </c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1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  <c r="AI249" s="81"/>
      <c r="AJ249" s="81"/>
      <c r="AK249" s="81"/>
      <c r="AL249" s="81"/>
      <c r="AM249" s="81"/>
      <c r="AN249" s="81"/>
    </row>
    <row r="250" spans="1:40" ht="14.25" customHeight="1">
      <c r="A250" s="82">
        <v>60402</v>
      </c>
      <c r="B250" s="83" t="s">
        <v>25</v>
      </c>
      <c r="C250" s="83" t="s">
        <v>327</v>
      </c>
      <c r="D250" s="83" t="s">
        <v>329</v>
      </c>
      <c r="E250" s="103">
        <v>4</v>
      </c>
      <c r="F250" s="104">
        <v>117</v>
      </c>
      <c r="G250" s="84">
        <f t="shared" si="50"/>
        <v>2.5477707006369428E-2</v>
      </c>
      <c r="H250" s="85">
        <f t="shared" si="51"/>
        <v>0.69867515923566881</v>
      </c>
      <c r="I250" s="84">
        <f t="shared" si="52"/>
        <v>1.2561735022546703E-2</v>
      </c>
      <c r="J250" s="86">
        <f t="shared" si="53"/>
        <v>10.438801803736311</v>
      </c>
      <c r="K250" s="86">
        <f t="shared" si="54"/>
        <v>66.930589580271118</v>
      </c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1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  <c r="AI250" s="81"/>
      <c r="AJ250" s="81"/>
      <c r="AK250" s="81"/>
      <c r="AL250" s="81"/>
      <c r="AM250" s="81"/>
      <c r="AN250" s="81"/>
    </row>
    <row r="251" spans="1:40" ht="14.25" customHeight="1">
      <c r="A251" s="82">
        <v>60501</v>
      </c>
      <c r="B251" s="83" t="s">
        <v>25</v>
      </c>
      <c r="C251" s="83" t="s">
        <v>330</v>
      </c>
      <c r="D251" s="83" t="s">
        <v>331</v>
      </c>
      <c r="E251" s="103">
        <v>8</v>
      </c>
      <c r="F251" s="104">
        <v>414</v>
      </c>
      <c r="G251" s="84">
        <f t="shared" si="50"/>
        <v>5.0955414012738856E-2</v>
      </c>
      <c r="H251" s="85">
        <f t="shared" si="51"/>
        <v>1.3973503184713376</v>
      </c>
      <c r="I251" s="84">
        <f t="shared" si="52"/>
        <v>4.4449216233626798E-2</v>
      </c>
      <c r="J251" s="86">
        <f t="shared" si="53"/>
        <v>36.937298690143869</v>
      </c>
      <c r="K251" s="86">
        <f t="shared" si="54"/>
        <v>37.830333241022807</v>
      </c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1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  <c r="AI251" s="81"/>
      <c r="AJ251" s="81"/>
      <c r="AK251" s="81"/>
      <c r="AL251" s="81"/>
      <c r="AM251" s="81"/>
      <c r="AN251" s="81"/>
    </row>
    <row r="252" spans="1:40" ht="14.25" customHeight="1">
      <c r="A252" s="82">
        <v>60502</v>
      </c>
      <c r="B252" s="83" t="s">
        <v>25</v>
      </c>
      <c r="C252" s="83" t="s">
        <v>330</v>
      </c>
      <c r="D252" s="83" t="s">
        <v>332</v>
      </c>
      <c r="E252" s="103">
        <v>4</v>
      </c>
      <c r="F252" s="104">
        <v>224</v>
      </c>
      <c r="G252" s="84">
        <f t="shared" si="50"/>
        <v>2.5477707006369428E-2</v>
      </c>
      <c r="H252" s="85">
        <f t="shared" si="51"/>
        <v>0.69867515923566881</v>
      </c>
      <c r="I252" s="84">
        <f t="shared" si="52"/>
        <v>2.4049817479063776E-2</v>
      </c>
      <c r="J252" s="86">
        <f t="shared" si="53"/>
        <v>19.985398325101997</v>
      </c>
      <c r="K252" s="86">
        <f t="shared" si="54"/>
        <v>34.959281164695177</v>
      </c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1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  <c r="AI252" s="81"/>
      <c r="AJ252" s="81"/>
      <c r="AK252" s="81"/>
      <c r="AL252" s="81"/>
      <c r="AM252" s="81"/>
      <c r="AN252" s="81"/>
    </row>
    <row r="253" spans="1:40" ht="14.25" customHeight="1">
      <c r="A253" s="82">
        <v>60601</v>
      </c>
      <c r="B253" s="83" t="s">
        <v>25</v>
      </c>
      <c r="C253" s="83" t="s">
        <v>333</v>
      </c>
      <c r="D253" s="83" t="s">
        <v>205</v>
      </c>
      <c r="E253" s="103">
        <v>3</v>
      </c>
      <c r="F253" s="104">
        <v>425</v>
      </c>
      <c r="G253" s="84">
        <f t="shared" si="50"/>
        <v>1.9108280254777069E-2</v>
      </c>
      <c r="H253" s="85">
        <f t="shared" si="51"/>
        <v>0.52400636942675149</v>
      </c>
      <c r="I253" s="84">
        <f t="shared" si="52"/>
        <v>4.5630234056259392E-2</v>
      </c>
      <c r="J253" s="86">
        <f t="shared" si="53"/>
        <v>37.918724500751551</v>
      </c>
      <c r="K253" s="86">
        <f t="shared" si="54"/>
        <v>13.819198201573622</v>
      </c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1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  <c r="AI253" s="81"/>
      <c r="AJ253" s="81"/>
      <c r="AK253" s="81"/>
      <c r="AL253" s="81"/>
      <c r="AM253" s="81"/>
      <c r="AN253" s="81"/>
    </row>
    <row r="254" spans="1:40" ht="14.25" customHeight="1">
      <c r="A254" s="82">
        <v>70101</v>
      </c>
      <c r="B254" s="83" t="s">
        <v>27</v>
      </c>
      <c r="C254" s="83" t="s">
        <v>334</v>
      </c>
      <c r="D254" s="83" t="s">
        <v>335</v>
      </c>
      <c r="E254" s="103">
        <v>461</v>
      </c>
      <c r="F254" s="104">
        <v>31778</v>
      </c>
      <c r="G254" s="84">
        <f>E254/$R$8</f>
        <v>0.47772020725388603</v>
      </c>
      <c r="H254" s="85">
        <f>$S$23*G254</f>
        <v>37.28940621761658</v>
      </c>
      <c r="I254" s="84">
        <f>F254/$S$8</f>
        <v>0.51003113664815591</v>
      </c>
      <c r="J254" s="86">
        <f>I254*$U$23</f>
        <v>1895.7857349211956</v>
      </c>
      <c r="K254" s="86">
        <f t="shared" si="54"/>
        <v>19.669631188129305</v>
      </c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1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  <c r="AI254" s="81"/>
      <c r="AJ254" s="81"/>
      <c r="AK254" s="81"/>
      <c r="AL254" s="81"/>
      <c r="AM254" s="81"/>
      <c r="AN254" s="81"/>
    </row>
    <row r="255" spans="1:40" ht="14.25" customHeight="1">
      <c r="A255" s="82">
        <v>70102</v>
      </c>
      <c r="B255" s="83" t="s">
        <v>27</v>
      </c>
      <c r="C255" s="83" t="s">
        <v>334</v>
      </c>
      <c r="D255" s="83" t="s">
        <v>336</v>
      </c>
      <c r="E255" s="103">
        <v>42</v>
      </c>
      <c r="F255" s="104">
        <v>1538</v>
      </c>
      <c r="G255" s="84">
        <f t="shared" ref="G255:G279" si="55">E255/$R$8</f>
        <v>4.3523316062176166E-2</v>
      </c>
      <c r="H255" s="85">
        <f t="shared" ref="H255:H309" si="56">$S$23*G255</f>
        <v>3.3972994818652853</v>
      </c>
      <c r="I255" s="84">
        <f t="shared" ref="I255:I279" si="57">F255/$S$8</f>
        <v>2.468462106378198E-2</v>
      </c>
      <c r="J255" s="86">
        <f t="shared" ref="J255:J309" si="58">I255*$U$23</f>
        <v>91.752736494077624</v>
      </c>
      <c r="K255" s="86">
        <f t="shared" si="54"/>
        <v>37.026682927157935</v>
      </c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1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  <c r="AI255" s="81"/>
      <c r="AJ255" s="81"/>
      <c r="AK255" s="81"/>
      <c r="AL255" s="81"/>
      <c r="AM255" s="81"/>
      <c r="AN255" s="81"/>
    </row>
    <row r="256" spans="1:40" ht="14.25" customHeight="1">
      <c r="A256" s="82">
        <v>70103</v>
      </c>
      <c r="B256" s="83" t="s">
        <v>27</v>
      </c>
      <c r="C256" s="83" t="s">
        <v>334</v>
      </c>
      <c r="D256" s="83" t="s">
        <v>337</v>
      </c>
      <c r="E256" s="103">
        <v>2</v>
      </c>
      <c r="F256" s="104">
        <v>320</v>
      </c>
      <c r="G256" s="84">
        <f t="shared" si="55"/>
        <v>2.0725388601036268E-3</v>
      </c>
      <c r="H256" s="85">
        <f t="shared" si="56"/>
        <v>0.1617761658031088</v>
      </c>
      <c r="I256" s="84">
        <f t="shared" si="57"/>
        <v>5.1359419638558083E-3</v>
      </c>
      <c r="J256" s="86">
        <f t="shared" si="58"/>
        <v>19.090296279652041</v>
      </c>
      <c r="K256" s="86">
        <f t="shared" si="54"/>
        <v>8.4742616580310877</v>
      </c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1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  <c r="AI256" s="81"/>
      <c r="AJ256" s="81"/>
      <c r="AK256" s="81"/>
      <c r="AL256" s="81"/>
      <c r="AM256" s="81"/>
      <c r="AN256" s="81"/>
    </row>
    <row r="257" spans="1:40" ht="14.25" customHeight="1">
      <c r="A257" s="82">
        <v>70104</v>
      </c>
      <c r="B257" s="83" t="s">
        <v>27</v>
      </c>
      <c r="C257" s="83" t="s">
        <v>334</v>
      </c>
      <c r="D257" s="83" t="s">
        <v>338</v>
      </c>
      <c r="E257" s="103">
        <v>19</v>
      </c>
      <c r="F257" s="104">
        <v>2223</v>
      </c>
      <c r="G257" s="84">
        <f t="shared" si="55"/>
        <v>1.9689119170984457E-2</v>
      </c>
      <c r="H257" s="85">
        <f t="shared" si="56"/>
        <v>1.5368735751295337</v>
      </c>
      <c r="I257" s="84">
        <f t="shared" si="57"/>
        <v>3.5678746830160819E-2</v>
      </c>
      <c r="J257" s="86">
        <f t="shared" si="58"/>
        <v>132.61790196770775</v>
      </c>
      <c r="K257" s="86">
        <f t="shared" si="54"/>
        <v>11.588733891324566</v>
      </c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1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  <c r="AI257" s="81"/>
      <c r="AJ257" s="81"/>
      <c r="AK257" s="81"/>
      <c r="AL257" s="81"/>
      <c r="AM257" s="81"/>
      <c r="AN257" s="81"/>
    </row>
    <row r="258" spans="1:40" ht="14.25" customHeight="1">
      <c r="A258" s="82">
        <v>70105</v>
      </c>
      <c r="B258" s="83" t="s">
        <v>27</v>
      </c>
      <c r="C258" s="83" t="s">
        <v>334</v>
      </c>
      <c r="D258" s="83" t="s">
        <v>339</v>
      </c>
      <c r="E258" s="103">
        <v>15</v>
      </c>
      <c r="F258" s="104">
        <v>1116</v>
      </c>
      <c r="G258" s="84">
        <f t="shared" si="55"/>
        <v>1.5544041450777202E-2</v>
      </c>
      <c r="H258" s="85">
        <f t="shared" si="56"/>
        <v>1.2133212435233161</v>
      </c>
      <c r="I258" s="84">
        <f t="shared" si="57"/>
        <v>1.7911597598947133E-2</v>
      </c>
      <c r="J258" s="86">
        <f t="shared" si="58"/>
        <v>66.577408275286487</v>
      </c>
      <c r="K258" s="86">
        <f t="shared" si="54"/>
        <v>18.224218619421695</v>
      </c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1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  <c r="AI258" s="81"/>
      <c r="AJ258" s="81"/>
      <c r="AK258" s="81"/>
      <c r="AL258" s="81"/>
      <c r="AM258" s="81"/>
      <c r="AN258" s="81"/>
    </row>
    <row r="259" spans="1:40" ht="14.25" customHeight="1">
      <c r="A259" s="82">
        <v>70201</v>
      </c>
      <c r="B259" s="83" t="s">
        <v>27</v>
      </c>
      <c r="C259" s="83" t="s">
        <v>340</v>
      </c>
      <c r="D259" s="83" t="s">
        <v>340</v>
      </c>
      <c r="E259" s="103">
        <v>25</v>
      </c>
      <c r="F259" s="104">
        <v>2654</v>
      </c>
      <c r="G259" s="84">
        <f t="shared" si="55"/>
        <v>2.5906735751295335E-2</v>
      </c>
      <c r="H259" s="85">
        <f t="shared" si="56"/>
        <v>2.0222020725388599</v>
      </c>
      <c r="I259" s="84">
        <f t="shared" si="57"/>
        <v>4.2596218662729113E-2</v>
      </c>
      <c r="J259" s="86">
        <f t="shared" si="58"/>
        <v>158.33014476936413</v>
      </c>
      <c r="K259" s="86">
        <f t="shared" si="54"/>
        <v>12.772059770958684</v>
      </c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1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  <c r="AI259" s="81"/>
      <c r="AJ259" s="81"/>
      <c r="AK259" s="81"/>
      <c r="AL259" s="81"/>
      <c r="AM259" s="81"/>
      <c r="AN259" s="81"/>
    </row>
    <row r="260" spans="1:40" ht="14.25" customHeight="1">
      <c r="A260" s="82">
        <v>70202</v>
      </c>
      <c r="B260" s="83" t="s">
        <v>27</v>
      </c>
      <c r="C260" s="83" t="s">
        <v>340</v>
      </c>
      <c r="D260" s="83" t="s">
        <v>341</v>
      </c>
      <c r="E260" s="103">
        <v>5</v>
      </c>
      <c r="F260" s="104">
        <v>302</v>
      </c>
      <c r="G260" s="84">
        <f t="shared" si="55"/>
        <v>5.1813471502590676E-3</v>
      </c>
      <c r="H260" s="85">
        <f t="shared" si="56"/>
        <v>0.40444041450777207</v>
      </c>
      <c r="I260" s="84">
        <f t="shared" si="57"/>
        <v>4.8470452283889192E-3</v>
      </c>
      <c r="J260" s="86">
        <f t="shared" si="58"/>
        <v>18.016467113921614</v>
      </c>
      <c r="K260" s="86">
        <f t="shared" si="54"/>
        <v>22.448375253062487</v>
      </c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1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  <c r="AI260" s="81"/>
      <c r="AJ260" s="81"/>
      <c r="AK260" s="81"/>
      <c r="AL260" s="81"/>
      <c r="AM260" s="81"/>
      <c r="AN260" s="81"/>
    </row>
    <row r="261" spans="1:40" ht="14.25" customHeight="1">
      <c r="A261" s="82">
        <v>70301</v>
      </c>
      <c r="B261" s="83" t="s">
        <v>27</v>
      </c>
      <c r="C261" s="83" t="s">
        <v>342</v>
      </c>
      <c r="D261" s="83" t="s">
        <v>343</v>
      </c>
      <c r="E261" s="103">
        <v>29</v>
      </c>
      <c r="F261" s="104">
        <v>1559</v>
      </c>
      <c r="G261" s="84">
        <f t="shared" si="55"/>
        <v>3.0051813471502591E-2</v>
      </c>
      <c r="H261" s="85">
        <f t="shared" si="56"/>
        <v>2.3457544041450777</v>
      </c>
      <c r="I261" s="84">
        <f t="shared" si="57"/>
        <v>2.5021667255160016E-2</v>
      </c>
      <c r="J261" s="86">
        <f t="shared" si="58"/>
        <v>93.00553718742978</v>
      </c>
      <c r="K261" s="86">
        <f t="shared" si="54"/>
        <v>25.221663946930246</v>
      </c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1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  <c r="AI261" s="81"/>
      <c r="AJ261" s="81"/>
      <c r="AK261" s="81"/>
      <c r="AL261" s="81"/>
      <c r="AM261" s="81"/>
      <c r="AN261" s="81"/>
    </row>
    <row r="262" spans="1:40" ht="14.25" customHeight="1">
      <c r="A262" s="82">
        <v>70302</v>
      </c>
      <c r="B262" s="83" t="s">
        <v>27</v>
      </c>
      <c r="C262" s="83" t="s">
        <v>342</v>
      </c>
      <c r="D262" s="83" t="s">
        <v>344</v>
      </c>
      <c r="E262" s="103">
        <v>11</v>
      </c>
      <c r="F262" s="104">
        <v>283</v>
      </c>
      <c r="G262" s="84">
        <f t="shared" si="55"/>
        <v>1.1398963730569948E-2</v>
      </c>
      <c r="H262" s="85">
        <f t="shared" si="56"/>
        <v>0.8897689119170985</v>
      </c>
      <c r="I262" s="84">
        <f t="shared" si="57"/>
        <v>4.5420986742849808E-3</v>
      </c>
      <c r="J262" s="86">
        <f t="shared" si="58"/>
        <v>16.882980772317275</v>
      </c>
      <c r="K262" s="86">
        <f t="shared" si="54"/>
        <v>52.702121972207472</v>
      </c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1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  <c r="AI262" s="81"/>
      <c r="AJ262" s="81"/>
      <c r="AK262" s="81"/>
      <c r="AL262" s="81"/>
      <c r="AM262" s="81"/>
      <c r="AN262" s="81"/>
    </row>
    <row r="263" spans="1:40" ht="14.25" customHeight="1">
      <c r="A263" s="82">
        <v>70303</v>
      </c>
      <c r="B263" s="83" t="s">
        <v>27</v>
      </c>
      <c r="C263" s="83" t="s">
        <v>342</v>
      </c>
      <c r="D263" s="83" t="s">
        <v>345</v>
      </c>
      <c r="E263" s="103">
        <v>5</v>
      </c>
      <c r="F263" s="104">
        <v>144</v>
      </c>
      <c r="G263" s="84">
        <f t="shared" si="55"/>
        <v>5.1813471502590676E-3</v>
      </c>
      <c r="H263" s="85">
        <f t="shared" si="56"/>
        <v>0.40444041450777207</v>
      </c>
      <c r="I263" s="84">
        <f t="shared" si="57"/>
        <v>2.3111738837351139E-3</v>
      </c>
      <c r="J263" s="86">
        <f t="shared" si="58"/>
        <v>8.5906333258434184</v>
      </c>
      <c r="K263" s="86">
        <f t="shared" si="54"/>
        <v>47.079231433506045</v>
      </c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1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  <c r="AI263" s="81"/>
      <c r="AJ263" s="81"/>
      <c r="AK263" s="81"/>
      <c r="AL263" s="81"/>
      <c r="AM263" s="81"/>
      <c r="AN263" s="81"/>
    </row>
    <row r="264" spans="1:40" ht="14.25" customHeight="1">
      <c r="A264" s="82">
        <v>70401</v>
      </c>
      <c r="B264" s="83" t="s">
        <v>27</v>
      </c>
      <c r="C264" s="83" t="s">
        <v>346</v>
      </c>
      <c r="D264" s="83" t="s">
        <v>347</v>
      </c>
      <c r="E264" s="103">
        <v>4</v>
      </c>
      <c r="F264" s="104">
        <v>316</v>
      </c>
      <c r="G264" s="84">
        <f t="shared" si="55"/>
        <v>4.1450777202072537E-3</v>
      </c>
      <c r="H264" s="85">
        <f t="shared" si="56"/>
        <v>0.3235523316062176</v>
      </c>
      <c r="I264" s="84">
        <f t="shared" si="57"/>
        <v>5.0717426893076107E-3</v>
      </c>
      <c r="J264" s="86">
        <f t="shared" si="58"/>
        <v>18.851667576156387</v>
      </c>
      <c r="K264" s="86">
        <f t="shared" si="54"/>
        <v>17.16306158588575</v>
      </c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1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  <c r="AI264" s="81"/>
      <c r="AJ264" s="81"/>
      <c r="AK264" s="81"/>
      <c r="AL264" s="81"/>
      <c r="AM264" s="81"/>
      <c r="AN264" s="81"/>
    </row>
    <row r="265" spans="1:40" ht="14.25" customHeight="1">
      <c r="A265" s="82">
        <v>70402</v>
      </c>
      <c r="B265" s="83" t="s">
        <v>27</v>
      </c>
      <c r="C265" s="83" t="s">
        <v>346</v>
      </c>
      <c r="D265" s="83" t="s">
        <v>348</v>
      </c>
      <c r="E265" s="103">
        <v>7</v>
      </c>
      <c r="F265" s="104">
        <v>509</v>
      </c>
      <c r="G265" s="84">
        <f t="shared" si="55"/>
        <v>7.2538860103626944E-3</v>
      </c>
      <c r="H265" s="85">
        <f t="shared" si="56"/>
        <v>0.56621658031088085</v>
      </c>
      <c r="I265" s="84">
        <f t="shared" si="57"/>
        <v>8.1693576862581462E-3</v>
      </c>
      <c r="J265" s="86">
        <f t="shared" si="58"/>
        <v>30.365502519821529</v>
      </c>
      <c r="K265" s="86">
        <f t="shared" si="54"/>
        <v>18.646705416492768</v>
      </c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1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  <c r="AI265" s="81"/>
      <c r="AJ265" s="81"/>
      <c r="AK265" s="81"/>
      <c r="AL265" s="81"/>
      <c r="AM265" s="81"/>
      <c r="AN265" s="81"/>
    </row>
    <row r="266" spans="1:40" ht="14.25" customHeight="1">
      <c r="A266" s="82">
        <v>70403</v>
      </c>
      <c r="B266" s="83" t="s">
        <v>27</v>
      </c>
      <c r="C266" s="83" t="s">
        <v>346</v>
      </c>
      <c r="D266" s="83" t="s">
        <v>349</v>
      </c>
      <c r="E266" s="103">
        <v>28</v>
      </c>
      <c r="F266" s="104">
        <v>1215</v>
      </c>
      <c r="G266" s="84">
        <f t="shared" si="55"/>
        <v>2.9015544041450778E-2</v>
      </c>
      <c r="H266" s="85">
        <f t="shared" si="56"/>
        <v>2.2648663212435234</v>
      </c>
      <c r="I266" s="84">
        <f t="shared" si="57"/>
        <v>1.9500529644015021E-2</v>
      </c>
      <c r="J266" s="86">
        <f t="shared" si="58"/>
        <v>72.483468686803832</v>
      </c>
      <c r="K266" s="86">
        <f t="shared" si="54"/>
        <v>31.246660269941795</v>
      </c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1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  <c r="AI266" s="81"/>
      <c r="AJ266" s="81"/>
      <c r="AK266" s="81"/>
      <c r="AL266" s="81"/>
      <c r="AM266" s="81"/>
      <c r="AN266" s="81"/>
    </row>
    <row r="267" spans="1:40" ht="14.25" customHeight="1">
      <c r="A267" s="82">
        <v>70404</v>
      </c>
      <c r="B267" s="83" t="s">
        <v>27</v>
      </c>
      <c r="C267" s="83" t="s">
        <v>346</v>
      </c>
      <c r="D267" s="83" t="s">
        <v>350</v>
      </c>
      <c r="E267" s="103">
        <v>5</v>
      </c>
      <c r="F267" s="104">
        <v>233</v>
      </c>
      <c r="G267" s="84">
        <f t="shared" si="55"/>
        <v>5.1813471502590676E-3</v>
      </c>
      <c r="H267" s="85">
        <f t="shared" si="56"/>
        <v>0.40444041450777207</v>
      </c>
      <c r="I267" s="84">
        <f t="shared" si="57"/>
        <v>3.7396077424325107E-3</v>
      </c>
      <c r="J267" s="86">
        <f t="shared" si="58"/>
        <v>13.900121978621643</v>
      </c>
      <c r="K267" s="86">
        <f t="shared" si="54"/>
        <v>29.096177366630346</v>
      </c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1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  <c r="AI267" s="81"/>
      <c r="AJ267" s="81"/>
      <c r="AK267" s="81"/>
      <c r="AL267" s="81"/>
      <c r="AM267" s="81"/>
      <c r="AN267" s="81"/>
    </row>
    <row r="268" spans="1:40" ht="14.25" customHeight="1">
      <c r="A268" s="82">
        <v>70501</v>
      </c>
      <c r="B268" s="83" t="s">
        <v>27</v>
      </c>
      <c r="C268" s="83" t="s">
        <v>351</v>
      </c>
      <c r="D268" s="83" t="s">
        <v>352</v>
      </c>
      <c r="E268" s="103">
        <v>9</v>
      </c>
      <c r="F268" s="104">
        <v>751</v>
      </c>
      <c r="G268" s="84">
        <f t="shared" si="55"/>
        <v>9.3264248704663204E-3</v>
      </c>
      <c r="H268" s="85">
        <f t="shared" si="56"/>
        <v>0.72799274611398956</v>
      </c>
      <c r="I268" s="84">
        <f t="shared" si="57"/>
        <v>1.2053413796424101E-2</v>
      </c>
      <c r="J268" s="86">
        <f t="shared" si="58"/>
        <v>44.802539081308382</v>
      </c>
      <c r="K268" s="86">
        <f t="shared" si="54"/>
        <v>16.248917160538969</v>
      </c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1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  <c r="AI268" s="81"/>
      <c r="AJ268" s="81"/>
      <c r="AK268" s="81"/>
      <c r="AL268" s="81"/>
      <c r="AM268" s="81"/>
      <c r="AN268" s="81"/>
    </row>
    <row r="269" spans="1:40" ht="14.25" customHeight="1">
      <c r="A269" s="82">
        <v>70502</v>
      </c>
      <c r="B269" s="83" t="s">
        <v>27</v>
      </c>
      <c r="C269" s="83" t="s">
        <v>351</v>
      </c>
      <c r="D269" s="83" t="s">
        <v>353</v>
      </c>
      <c r="E269" s="103">
        <v>21</v>
      </c>
      <c r="F269" s="104">
        <v>1033</v>
      </c>
      <c r="G269" s="84">
        <f t="shared" si="55"/>
        <v>2.1761658031088083E-2</v>
      </c>
      <c r="H269" s="85">
        <f t="shared" si="56"/>
        <v>1.6986497409326426</v>
      </c>
      <c r="I269" s="84">
        <f t="shared" si="57"/>
        <v>1.6579462652072031E-2</v>
      </c>
      <c r="J269" s="86">
        <f t="shared" si="58"/>
        <v>61.625862677751741</v>
      </c>
      <c r="K269" s="86">
        <f t="shared" si="54"/>
        <v>27.563910136480597</v>
      </c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1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  <c r="AI269" s="81"/>
      <c r="AJ269" s="81"/>
      <c r="AK269" s="81"/>
      <c r="AL269" s="81"/>
      <c r="AM269" s="81"/>
      <c r="AN269" s="81"/>
    </row>
    <row r="270" spans="1:40" ht="14.25" customHeight="1">
      <c r="A270" s="82">
        <v>70503</v>
      </c>
      <c r="B270" s="83" t="s">
        <v>27</v>
      </c>
      <c r="C270" s="83" t="s">
        <v>351</v>
      </c>
      <c r="D270" s="83" t="s">
        <v>354</v>
      </c>
      <c r="E270" s="103">
        <v>4</v>
      </c>
      <c r="F270" s="104">
        <v>328</v>
      </c>
      <c r="G270" s="84">
        <f t="shared" si="55"/>
        <v>4.1450777202072537E-3</v>
      </c>
      <c r="H270" s="85">
        <f t="shared" si="56"/>
        <v>0.3235523316062176</v>
      </c>
      <c r="I270" s="84">
        <f t="shared" si="57"/>
        <v>5.2643405129522034E-3</v>
      </c>
      <c r="J270" s="86">
        <f t="shared" si="58"/>
        <v>19.56755368664334</v>
      </c>
      <c r="K270" s="86">
        <f t="shared" si="54"/>
        <v>16.535144698597247</v>
      </c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1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  <c r="AI270" s="81"/>
      <c r="AJ270" s="81"/>
      <c r="AK270" s="81"/>
      <c r="AL270" s="81"/>
      <c r="AM270" s="81"/>
      <c r="AN270" s="81"/>
    </row>
    <row r="271" spans="1:40" ht="14.25" customHeight="1">
      <c r="A271" s="82">
        <v>70601</v>
      </c>
      <c r="B271" s="83" t="s">
        <v>27</v>
      </c>
      <c r="C271" s="83" t="s">
        <v>355</v>
      </c>
      <c r="D271" s="83" t="s">
        <v>356</v>
      </c>
      <c r="E271" s="103">
        <v>2</v>
      </c>
      <c r="F271" s="104">
        <v>437</v>
      </c>
      <c r="G271" s="84">
        <f t="shared" si="55"/>
        <v>2.0725388601036268E-3</v>
      </c>
      <c r="H271" s="85">
        <f t="shared" si="56"/>
        <v>0.1617761658031088</v>
      </c>
      <c r="I271" s="84">
        <f t="shared" si="57"/>
        <v>7.0137707443905881E-3</v>
      </c>
      <c r="J271" s="86">
        <f t="shared" si="58"/>
        <v>26.070185856899815</v>
      </c>
      <c r="K271" s="86">
        <f t="shared" si="54"/>
        <v>6.2054089944392405</v>
      </c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1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  <c r="AI271" s="81"/>
      <c r="AJ271" s="81"/>
      <c r="AK271" s="81"/>
      <c r="AL271" s="81"/>
      <c r="AM271" s="81"/>
      <c r="AN271" s="81"/>
    </row>
    <row r="272" spans="1:40" ht="14.25" customHeight="1">
      <c r="A272" s="82">
        <v>70602</v>
      </c>
      <c r="B272" s="83" t="s">
        <v>27</v>
      </c>
      <c r="C272" s="83" t="s">
        <v>355</v>
      </c>
      <c r="D272" s="83" t="s">
        <v>357</v>
      </c>
      <c r="E272" s="103">
        <v>7</v>
      </c>
      <c r="F272" s="104">
        <v>498</v>
      </c>
      <c r="G272" s="84">
        <f t="shared" si="55"/>
        <v>7.2538860103626944E-3</v>
      </c>
      <c r="H272" s="85">
        <f t="shared" si="56"/>
        <v>0.56621658031088085</v>
      </c>
      <c r="I272" s="84">
        <f t="shared" si="57"/>
        <v>7.9928096812506011E-3</v>
      </c>
      <c r="J272" s="86">
        <f t="shared" si="58"/>
        <v>29.709273585208486</v>
      </c>
      <c r="K272" s="86">
        <f t="shared" si="54"/>
        <v>19.058580435732569</v>
      </c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1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  <c r="AI272" s="81"/>
      <c r="AJ272" s="81"/>
      <c r="AK272" s="81"/>
      <c r="AL272" s="81"/>
      <c r="AM272" s="81"/>
      <c r="AN272" s="81"/>
    </row>
    <row r="273" spans="1:40" ht="14.25" customHeight="1">
      <c r="A273" s="82">
        <v>70603</v>
      </c>
      <c r="B273" s="83" t="s">
        <v>27</v>
      </c>
      <c r="C273" s="83" t="s">
        <v>355</v>
      </c>
      <c r="D273" s="83" t="s">
        <v>358</v>
      </c>
      <c r="E273" s="103">
        <v>2</v>
      </c>
      <c r="F273" s="104">
        <v>150</v>
      </c>
      <c r="G273" s="84">
        <f t="shared" si="55"/>
        <v>2.0725388601036268E-3</v>
      </c>
      <c r="H273" s="85">
        <f t="shared" si="56"/>
        <v>0.1617761658031088</v>
      </c>
      <c r="I273" s="84">
        <f t="shared" si="57"/>
        <v>2.4074727955574102E-3</v>
      </c>
      <c r="J273" s="86">
        <f t="shared" si="58"/>
        <v>8.9485763810868946</v>
      </c>
      <c r="K273" s="86">
        <f t="shared" si="54"/>
        <v>18.078424870466318</v>
      </c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1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  <c r="AI273" s="81"/>
      <c r="AJ273" s="81"/>
      <c r="AK273" s="81"/>
      <c r="AL273" s="81"/>
      <c r="AM273" s="81"/>
      <c r="AN273" s="81"/>
    </row>
    <row r="274" spans="1:40" ht="14.25" customHeight="1">
      <c r="A274" s="82">
        <v>70701</v>
      </c>
      <c r="B274" s="83" t="s">
        <v>27</v>
      </c>
      <c r="C274" s="83" t="s">
        <v>359</v>
      </c>
      <c r="D274" s="83" t="s">
        <v>360</v>
      </c>
      <c r="E274" s="103">
        <v>2</v>
      </c>
      <c r="F274" s="104">
        <v>129</v>
      </c>
      <c r="G274" s="84">
        <f t="shared" si="55"/>
        <v>2.0725388601036268E-3</v>
      </c>
      <c r="H274" s="85">
        <f t="shared" si="56"/>
        <v>0.1617761658031088</v>
      </c>
      <c r="I274" s="84">
        <f t="shared" si="57"/>
        <v>2.070426604179373E-3</v>
      </c>
      <c r="J274" s="86">
        <f t="shared" si="58"/>
        <v>7.695775687734729</v>
      </c>
      <c r="K274" s="86">
        <f t="shared" si="54"/>
        <v>21.021424267984091</v>
      </c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1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  <c r="AI274" s="81"/>
      <c r="AJ274" s="81"/>
      <c r="AK274" s="81"/>
      <c r="AL274" s="81"/>
      <c r="AM274" s="81"/>
      <c r="AN274" s="81"/>
    </row>
    <row r="275" spans="1:40" ht="14.25" customHeight="1">
      <c r="A275" s="82">
        <v>70702</v>
      </c>
      <c r="B275" s="83" t="s">
        <v>27</v>
      </c>
      <c r="C275" s="83" t="s">
        <v>359</v>
      </c>
      <c r="D275" s="83" t="s">
        <v>361</v>
      </c>
      <c r="E275" s="103">
        <v>26</v>
      </c>
      <c r="F275" s="104">
        <v>892</v>
      </c>
      <c r="G275" s="84">
        <f t="shared" si="55"/>
        <v>2.6943005181347152E-2</v>
      </c>
      <c r="H275" s="85">
        <f t="shared" si="56"/>
        <v>2.1030901554404147</v>
      </c>
      <c r="I275" s="84">
        <f t="shared" si="57"/>
        <v>1.4316438224248065E-2</v>
      </c>
      <c r="J275" s="86">
        <f t="shared" si="58"/>
        <v>53.214200879530061</v>
      </c>
      <c r="K275" s="86">
        <f t="shared" si="54"/>
        <v>39.521220288575478</v>
      </c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1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  <c r="AI275" s="81"/>
      <c r="AJ275" s="81"/>
      <c r="AK275" s="81"/>
      <c r="AL275" s="81"/>
      <c r="AM275" s="81"/>
      <c r="AN275" s="81"/>
    </row>
    <row r="276" spans="1:40" ht="14.25" customHeight="1">
      <c r="A276" s="82">
        <v>70703</v>
      </c>
      <c r="B276" s="83" t="s">
        <v>27</v>
      </c>
      <c r="C276" s="83" t="s">
        <v>359</v>
      </c>
      <c r="D276" s="83" t="s">
        <v>362</v>
      </c>
      <c r="E276" s="103">
        <v>9</v>
      </c>
      <c r="F276" s="104">
        <v>671</v>
      </c>
      <c r="G276" s="84">
        <f t="shared" si="55"/>
        <v>9.3264248704663204E-3</v>
      </c>
      <c r="H276" s="85">
        <f t="shared" si="56"/>
        <v>0.72799274611398956</v>
      </c>
      <c r="I276" s="84">
        <f t="shared" si="57"/>
        <v>1.0769428305460148E-2</v>
      </c>
      <c r="J276" s="86">
        <f t="shared" si="58"/>
        <v>40.029965011395369</v>
      </c>
      <c r="K276" s="86">
        <f t="shared" si="54"/>
        <v>18.186194914403526</v>
      </c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1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  <c r="AI276" s="81"/>
      <c r="AJ276" s="81"/>
      <c r="AK276" s="81"/>
      <c r="AL276" s="81"/>
      <c r="AM276" s="81"/>
      <c r="AN276" s="81"/>
    </row>
    <row r="277" spans="1:40" ht="14.25" customHeight="1">
      <c r="A277" s="82">
        <v>70704</v>
      </c>
      <c r="B277" s="83" t="s">
        <v>27</v>
      </c>
      <c r="C277" s="83" t="s">
        <v>359</v>
      </c>
      <c r="D277" s="83" t="s">
        <v>363</v>
      </c>
      <c r="E277" s="103">
        <v>0</v>
      </c>
      <c r="F277" s="104">
        <v>112</v>
      </c>
      <c r="G277" s="84">
        <f t="shared" si="55"/>
        <v>0</v>
      </c>
      <c r="H277" s="85">
        <f t="shared" si="56"/>
        <v>0</v>
      </c>
      <c r="I277" s="84">
        <f t="shared" si="57"/>
        <v>1.7975796873495329E-3</v>
      </c>
      <c r="J277" s="86">
        <f t="shared" si="58"/>
        <v>6.6816036978782138</v>
      </c>
      <c r="K277" s="86">
        <f t="shared" si="54"/>
        <v>0</v>
      </c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1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  <c r="AI277" s="81"/>
      <c r="AJ277" s="81"/>
      <c r="AK277" s="81"/>
      <c r="AL277" s="81"/>
      <c r="AM277" s="81"/>
      <c r="AN277" s="81"/>
    </row>
    <row r="278" spans="1:40" ht="14.25" customHeight="1">
      <c r="A278" s="82">
        <v>70705</v>
      </c>
      <c r="B278" s="83" t="s">
        <v>27</v>
      </c>
      <c r="C278" s="83" t="s">
        <v>359</v>
      </c>
      <c r="D278" s="83" t="s">
        <v>364</v>
      </c>
      <c r="E278" s="103">
        <v>16</v>
      </c>
      <c r="F278" s="104">
        <v>338</v>
      </c>
      <c r="G278" s="84">
        <f t="shared" si="55"/>
        <v>1.6580310880829015E-2</v>
      </c>
      <c r="H278" s="85">
        <f t="shared" si="56"/>
        <v>1.2942093264248704</v>
      </c>
      <c r="I278" s="84">
        <f t="shared" si="57"/>
        <v>5.4248386993226974E-3</v>
      </c>
      <c r="J278" s="86">
        <f t="shared" si="58"/>
        <v>20.164125445382467</v>
      </c>
      <c r="K278" s="86">
        <f t="shared" si="54"/>
        <v>64.183756936566823</v>
      </c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1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  <c r="AI278" s="81"/>
      <c r="AJ278" s="81"/>
      <c r="AK278" s="81"/>
      <c r="AL278" s="81"/>
      <c r="AM278" s="81"/>
      <c r="AN278" s="81"/>
    </row>
    <row r="279" spans="1:40" ht="14.25" customHeight="1">
      <c r="A279" s="82">
        <v>70706</v>
      </c>
      <c r="B279" s="83" t="s">
        <v>27</v>
      </c>
      <c r="C279" s="83" t="s">
        <v>359</v>
      </c>
      <c r="D279" s="83" t="s">
        <v>365</v>
      </c>
      <c r="E279" s="103">
        <v>7</v>
      </c>
      <c r="F279" s="104">
        <v>668</v>
      </c>
      <c r="G279" s="84">
        <f t="shared" si="55"/>
        <v>7.2538860103626944E-3</v>
      </c>
      <c r="H279" s="85">
        <f t="shared" si="56"/>
        <v>0.56621658031088085</v>
      </c>
      <c r="I279" s="84">
        <f t="shared" si="57"/>
        <v>1.0721278849549E-2</v>
      </c>
      <c r="J279" s="86">
        <f t="shared" si="58"/>
        <v>39.850993483773628</v>
      </c>
      <c r="K279" s="86">
        <f t="shared" si="54"/>
        <v>14.208342899692845</v>
      </c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1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  <c r="AI279" s="81"/>
      <c r="AJ279" s="81"/>
      <c r="AK279" s="81"/>
      <c r="AL279" s="81"/>
      <c r="AM279" s="81"/>
      <c r="AN279" s="81"/>
    </row>
    <row r="280" spans="1:40" ht="14.25" customHeight="1">
      <c r="A280" s="82">
        <v>70707</v>
      </c>
      <c r="B280" s="83" t="s">
        <v>27</v>
      </c>
      <c r="C280" s="83" t="s">
        <v>359</v>
      </c>
      <c r="D280" s="83" t="s">
        <v>366</v>
      </c>
      <c r="E280" s="103">
        <v>0</v>
      </c>
      <c r="F280" s="104">
        <v>113</v>
      </c>
      <c r="G280" s="84">
        <f>E280/$R$8</f>
        <v>0</v>
      </c>
      <c r="H280" s="85">
        <f>$S$23*G280</f>
        <v>0</v>
      </c>
      <c r="I280" s="84">
        <f>F280/$S$8</f>
        <v>1.8136295059865823E-3</v>
      </c>
      <c r="J280" s="86">
        <f>I280*$U$23</f>
        <v>6.7412608737521262</v>
      </c>
      <c r="K280" s="86">
        <f t="shared" si="54"/>
        <v>0</v>
      </c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1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  <c r="AI280" s="81"/>
      <c r="AJ280" s="81"/>
      <c r="AK280" s="81"/>
      <c r="AL280" s="81"/>
      <c r="AM280" s="81"/>
      <c r="AN280" s="81"/>
    </row>
    <row r="281" spans="1:40" ht="14.25" customHeight="1">
      <c r="A281" s="82">
        <v>70801</v>
      </c>
      <c r="B281" s="83" t="s">
        <v>27</v>
      </c>
      <c r="C281" s="83" t="s">
        <v>367</v>
      </c>
      <c r="D281" s="83" t="s">
        <v>367</v>
      </c>
      <c r="E281" s="103">
        <v>3</v>
      </c>
      <c r="F281" s="104">
        <v>324</v>
      </c>
      <c r="G281" s="84">
        <f t="shared" ref="G281:G299" si="59">E281/$R$8</f>
        <v>3.1088082901554403E-3</v>
      </c>
      <c r="H281" s="85">
        <f t="shared" si="56"/>
        <v>0.24266424870466322</v>
      </c>
      <c r="I281" s="84">
        <f t="shared" ref="I281:I299" si="60">F281/$S$8</f>
        <v>5.2001412384040059E-3</v>
      </c>
      <c r="J281" s="86">
        <f t="shared" si="58"/>
        <v>19.32892498314769</v>
      </c>
      <c r="K281" s="86">
        <f t="shared" si="54"/>
        <v>12.554461715601612</v>
      </c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1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  <c r="AI281" s="81"/>
      <c r="AJ281" s="81"/>
      <c r="AK281" s="81"/>
      <c r="AL281" s="81"/>
      <c r="AM281" s="81"/>
      <c r="AN281" s="81"/>
    </row>
    <row r="282" spans="1:40" ht="14.25" customHeight="1">
      <c r="A282" s="82">
        <v>70802</v>
      </c>
      <c r="B282" s="83" t="s">
        <v>27</v>
      </c>
      <c r="C282" s="83" t="s">
        <v>367</v>
      </c>
      <c r="D282" s="83" t="s">
        <v>368</v>
      </c>
      <c r="E282" s="103">
        <v>0</v>
      </c>
      <c r="F282" s="104">
        <v>33</v>
      </c>
      <c r="G282" s="84">
        <f t="shared" si="59"/>
        <v>0</v>
      </c>
      <c r="H282" s="85">
        <f t="shared" si="56"/>
        <v>0</v>
      </c>
      <c r="I282" s="84">
        <f t="shared" si="60"/>
        <v>5.2964401502263029E-4</v>
      </c>
      <c r="J282" s="86">
        <f t="shared" si="58"/>
        <v>1.9686868038391168</v>
      </c>
      <c r="K282" s="86">
        <f t="shared" si="54"/>
        <v>0</v>
      </c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1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  <c r="AI282" s="81"/>
      <c r="AJ282" s="81"/>
      <c r="AK282" s="81"/>
      <c r="AL282" s="81"/>
      <c r="AM282" s="81"/>
      <c r="AN282" s="81"/>
    </row>
    <row r="283" spans="1:40" ht="14.25" customHeight="1">
      <c r="A283" s="82">
        <v>70803</v>
      </c>
      <c r="B283" s="83" t="s">
        <v>27</v>
      </c>
      <c r="C283" s="83" t="s">
        <v>367</v>
      </c>
      <c r="D283" s="83" t="s">
        <v>369</v>
      </c>
      <c r="E283" s="103">
        <v>0</v>
      </c>
      <c r="F283" s="104">
        <v>70</v>
      </c>
      <c r="G283" s="84">
        <f t="shared" si="59"/>
        <v>0</v>
      </c>
      <c r="H283" s="85">
        <f t="shared" si="56"/>
        <v>0</v>
      </c>
      <c r="I283" s="84">
        <f t="shared" si="60"/>
        <v>1.1234873045934581E-3</v>
      </c>
      <c r="J283" s="86">
        <f t="shared" si="58"/>
        <v>4.1760023111738835</v>
      </c>
      <c r="K283" s="86">
        <f t="shared" si="54"/>
        <v>0</v>
      </c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1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  <c r="AI283" s="81"/>
      <c r="AJ283" s="81"/>
      <c r="AK283" s="81"/>
      <c r="AL283" s="81"/>
      <c r="AM283" s="81"/>
      <c r="AN283" s="81"/>
    </row>
    <row r="284" spans="1:40" ht="14.25" customHeight="1">
      <c r="A284" s="82">
        <v>70804</v>
      </c>
      <c r="B284" s="83" t="s">
        <v>27</v>
      </c>
      <c r="C284" s="83" t="s">
        <v>367</v>
      </c>
      <c r="D284" s="83" t="s">
        <v>370</v>
      </c>
      <c r="E284" s="103">
        <v>0</v>
      </c>
      <c r="F284" s="104">
        <v>46</v>
      </c>
      <c r="G284" s="84">
        <f t="shared" si="59"/>
        <v>0</v>
      </c>
      <c r="H284" s="85">
        <f t="shared" si="56"/>
        <v>0</v>
      </c>
      <c r="I284" s="84">
        <f t="shared" si="60"/>
        <v>7.382916573042725E-4</v>
      </c>
      <c r="J284" s="86">
        <f t="shared" si="58"/>
        <v>2.7442300901999808</v>
      </c>
      <c r="K284" s="86">
        <f t="shared" si="54"/>
        <v>0</v>
      </c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1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  <c r="AI284" s="81"/>
      <c r="AJ284" s="81"/>
      <c r="AK284" s="81"/>
      <c r="AL284" s="81"/>
      <c r="AM284" s="81"/>
      <c r="AN284" s="81"/>
    </row>
    <row r="285" spans="1:40" ht="14.25" customHeight="1">
      <c r="A285" s="82">
        <v>70805</v>
      </c>
      <c r="B285" s="83" t="s">
        <v>27</v>
      </c>
      <c r="C285" s="83" t="s">
        <v>367</v>
      </c>
      <c r="D285" s="83" t="s">
        <v>371</v>
      </c>
      <c r="E285" s="103">
        <v>0</v>
      </c>
      <c r="F285" s="104">
        <v>40</v>
      </c>
      <c r="G285" s="84">
        <f t="shared" si="59"/>
        <v>0</v>
      </c>
      <c r="H285" s="85">
        <f t="shared" si="56"/>
        <v>0</v>
      </c>
      <c r="I285" s="84">
        <f t="shared" si="60"/>
        <v>6.4199274548197604E-4</v>
      </c>
      <c r="J285" s="86">
        <f t="shared" si="58"/>
        <v>2.3862870349565051</v>
      </c>
      <c r="K285" s="86">
        <f t="shared" si="54"/>
        <v>0</v>
      </c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1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  <c r="AI285" s="81"/>
      <c r="AJ285" s="81"/>
      <c r="AK285" s="81"/>
      <c r="AL285" s="81"/>
      <c r="AM285" s="81"/>
      <c r="AN285" s="81"/>
    </row>
    <row r="286" spans="1:40" ht="14.25" customHeight="1">
      <c r="A286" s="82">
        <v>70901</v>
      </c>
      <c r="B286" s="83" t="s">
        <v>27</v>
      </c>
      <c r="C286" s="83" t="s">
        <v>372</v>
      </c>
      <c r="D286" s="83" t="s">
        <v>373</v>
      </c>
      <c r="E286" s="103">
        <v>0</v>
      </c>
      <c r="F286" s="104">
        <v>215</v>
      </c>
      <c r="G286" s="84">
        <f t="shared" si="59"/>
        <v>0</v>
      </c>
      <c r="H286" s="85">
        <f t="shared" si="56"/>
        <v>0</v>
      </c>
      <c r="I286" s="84">
        <f t="shared" si="60"/>
        <v>3.4507110069656212E-3</v>
      </c>
      <c r="J286" s="86">
        <f t="shared" si="58"/>
        <v>12.826292812891214</v>
      </c>
      <c r="K286" s="86">
        <f t="shared" si="54"/>
        <v>0</v>
      </c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1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  <c r="AI286" s="81"/>
      <c r="AJ286" s="81"/>
      <c r="AK286" s="81"/>
      <c r="AL286" s="81"/>
      <c r="AM286" s="81"/>
      <c r="AN286" s="81"/>
    </row>
    <row r="287" spans="1:40" ht="14.25" customHeight="1">
      <c r="A287" s="82">
        <v>70902</v>
      </c>
      <c r="B287" s="83" t="s">
        <v>27</v>
      </c>
      <c r="C287" s="83" t="s">
        <v>372</v>
      </c>
      <c r="D287" s="83" t="s">
        <v>374</v>
      </c>
      <c r="E287" s="103">
        <v>3</v>
      </c>
      <c r="F287" s="104">
        <v>219</v>
      </c>
      <c r="G287" s="84">
        <f t="shared" si="59"/>
        <v>3.1088082901554403E-3</v>
      </c>
      <c r="H287" s="85">
        <f t="shared" si="56"/>
        <v>0.24266424870466322</v>
      </c>
      <c r="I287" s="84">
        <f t="shared" si="60"/>
        <v>3.5149102815138188E-3</v>
      </c>
      <c r="J287" s="86">
        <f t="shared" si="58"/>
        <v>13.064921516386864</v>
      </c>
      <c r="K287" s="86">
        <f t="shared" si="54"/>
        <v>18.573724181985948</v>
      </c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1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  <c r="AI287" s="81"/>
      <c r="AJ287" s="81"/>
      <c r="AK287" s="81"/>
      <c r="AL287" s="81"/>
      <c r="AM287" s="81"/>
      <c r="AN287" s="81"/>
    </row>
    <row r="288" spans="1:40" ht="14.25" customHeight="1">
      <c r="A288" s="82">
        <v>70903</v>
      </c>
      <c r="B288" s="83" t="s">
        <v>27</v>
      </c>
      <c r="C288" s="83" t="s">
        <v>372</v>
      </c>
      <c r="D288" s="83" t="s">
        <v>375</v>
      </c>
      <c r="E288" s="103">
        <v>5</v>
      </c>
      <c r="F288" s="104">
        <v>255</v>
      </c>
      <c r="G288" s="84">
        <f t="shared" si="59"/>
        <v>5.1813471502590676E-3</v>
      </c>
      <c r="H288" s="85">
        <f t="shared" si="56"/>
        <v>0.40444041450777207</v>
      </c>
      <c r="I288" s="84">
        <f t="shared" si="60"/>
        <v>4.0927037524475978E-3</v>
      </c>
      <c r="J288" s="86">
        <f t="shared" si="58"/>
        <v>15.212579847847721</v>
      </c>
      <c r="K288" s="86">
        <f t="shared" si="54"/>
        <v>26.585918927156357</v>
      </c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1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  <c r="AI288" s="81"/>
      <c r="AJ288" s="81"/>
      <c r="AK288" s="81"/>
      <c r="AL288" s="81"/>
      <c r="AM288" s="81"/>
      <c r="AN288" s="81"/>
    </row>
    <row r="289" spans="1:40" ht="14.25" customHeight="1">
      <c r="A289" s="82">
        <v>70904</v>
      </c>
      <c r="B289" s="83" t="s">
        <v>27</v>
      </c>
      <c r="C289" s="83" t="s">
        <v>372</v>
      </c>
      <c r="D289" s="83" t="s">
        <v>376</v>
      </c>
      <c r="E289" s="103">
        <v>1</v>
      </c>
      <c r="F289" s="104">
        <v>47</v>
      </c>
      <c r="G289" s="84">
        <f t="shared" si="59"/>
        <v>1.0362694300518134E-3</v>
      </c>
      <c r="H289" s="85">
        <f t="shared" si="56"/>
        <v>8.0888082901554401E-2</v>
      </c>
      <c r="I289" s="84">
        <f t="shared" si="60"/>
        <v>7.543414759413219E-4</v>
      </c>
      <c r="J289" s="86">
        <f t="shared" si="58"/>
        <v>2.8038872660738936</v>
      </c>
      <c r="K289" s="86">
        <f t="shared" si="54"/>
        <v>28.848550325212209</v>
      </c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1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  <c r="AI289" s="81"/>
      <c r="AJ289" s="81"/>
      <c r="AK289" s="81"/>
      <c r="AL289" s="81"/>
      <c r="AM289" s="81"/>
      <c r="AN289" s="81"/>
    </row>
    <row r="290" spans="1:40" ht="14.25" customHeight="1">
      <c r="A290" s="82">
        <v>71001</v>
      </c>
      <c r="B290" s="83" t="s">
        <v>27</v>
      </c>
      <c r="C290" s="83" t="s">
        <v>377</v>
      </c>
      <c r="D290" s="83" t="s">
        <v>378</v>
      </c>
      <c r="E290" s="103">
        <v>40</v>
      </c>
      <c r="F290" s="104">
        <v>2711</v>
      </c>
      <c r="G290" s="84">
        <f t="shared" si="59"/>
        <v>4.145077720207254E-2</v>
      </c>
      <c r="H290" s="85">
        <f t="shared" si="56"/>
        <v>3.2355233160621766</v>
      </c>
      <c r="I290" s="84">
        <f t="shared" si="60"/>
        <v>4.351105832504093E-2</v>
      </c>
      <c r="J290" s="86">
        <f t="shared" si="58"/>
        <v>161.73060379417714</v>
      </c>
      <c r="K290" s="86">
        <f t="shared" si="54"/>
        <v>20.005634308889327</v>
      </c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1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  <c r="AI290" s="81"/>
      <c r="AJ290" s="81"/>
      <c r="AK290" s="81"/>
      <c r="AL290" s="81"/>
      <c r="AM290" s="81"/>
      <c r="AN290" s="81"/>
    </row>
    <row r="291" spans="1:40" ht="14.25" customHeight="1">
      <c r="A291" s="82">
        <v>71002</v>
      </c>
      <c r="B291" s="83" t="s">
        <v>27</v>
      </c>
      <c r="C291" s="83" t="s">
        <v>377</v>
      </c>
      <c r="D291" s="83" t="s">
        <v>379</v>
      </c>
      <c r="E291" s="103">
        <v>3</v>
      </c>
      <c r="F291" s="104">
        <v>365</v>
      </c>
      <c r="G291" s="84">
        <f t="shared" si="59"/>
        <v>3.1088082901554403E-3</v>
      </c>
      <c r="H291" s="85">
        <f t="shared" si="56"/>
        <v>0.24266424870466322</v>
      </c>
      <c r="I291" s="84">
        <f t="shared" si="60"/>
        <v>5.8581838025230318E-3</v>
      </c>
      <c r="J291" s="86">
        <f t="shared" si="58"/>
        <v>21.774869193978109</v>
      </c>
      <c r="K291" s="86">
        <f t="shared" si="54"/>
        <v>11.144234509191568</v>
      </c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1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  <c r="AI291" s="81"/>
      <c r="AJ291" s="81"/>
      <c r="AK291" s="81"/>
      <c r="AL291" s="81"/>
      <c r="AM291" s="81"/>
      <c r="AN291" s="81"/>
    </row>
    <row r="292" spans="1:40" ht="14.25" customHeight="1">
      <c r="A292" s="82">
        <v>71003</v>
      </c>
      <c r="B292" s="83" t="s">
        <v>27</v>
      </c>
      <c r="C292" s="83" t="s">
        <v>377</v>
      </c>
      <c r="D292" s="83" t="s">
        <v>380</v>
      </c>
      <c r="E292" s="103">
        <v>12</v>
      </c>
      <c r="F292" s="104">
        <v>637</v>
      </c>
      <c r="G292" s="84">
        <f t="shared" si="59"/>
        <v>1.2435233160621761E-2</v>
      </c>
      <c r="H292" s="85">
        <f t="shared" si="56"/>
        <v>0.97065699481865286</v>
      </c>
      <c r="I292" s="84">
        <f t="shared" si="60"/>
        <v>1.0223734471800468E-2</v>
      </c>
      <c r="J292" s="86">
        <f t="shared" si="58"/>
        <v>38.00162103168234</v>
      </c>
      <c r="K292" s="86">
        <f t="shared" si="54"/>
        <v>25.542515515572511</v>
      </c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1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  <c r="AI292" s="81"/>
      <c r="AJ292" s="81"/>
      <c r="AK292" s="81"/>
      <c r="AL292" s="81"/>
      <c r="AM292" s="81"/>
      <c r="AN292" s="81"/>
    </row>
    <row r="293" spans="1:40" ht="14.25" customHeight="1">
      <c r="A293" s="82">
        <v>71004</v>
      </c>
      <c r="B293" s="83" t="s">
        <v>27</v>
      </c>
      <c r="C293" s="83" t="s">
        <v>377</v>
      </c>
      <c r="D293" s="83" t="s">
        <v>381</v>
      </c>
      <c r="E293" s="103">
        <v>10</v>
      </c>
      <c r="F293" s="104">
        <v>341</v>
      </c>
      <c r="G293" s="84">
        <f t="shared" si="59"/>
        <v>1.0362694300518135E-2</v>
      </c>
      <c r="H293" s="85">
        <f t="shared" si="56"/>
        <v>0.80888082901554414</v>
      </c>
      <c r="I293" s="84">
        <f t="shared" si="60"/>
        <v>5.4729881552338456E-3</v>
      </c>
      <c r="J293" s="86">
        <f t="shared" si="58"/>
        <v>20.343096973004204</v>
      </c>
      <c r="K293" s="86">
        <f t="shared" si="54"/>
        <v>39.7619315332837</v>
      </c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1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  <c r="AI293" s="81"/>
      <c r="AJ293" s="81"/>
      <c r="AK293" s="81"/>
      <c r="AL293" s="81"/>
      <c r="AM293" s="81"/>
      <c r="AN293" s="81"/>
    </row>
    <row r="294" spans="1:40" ht="14.25" customHeight="1">
      <c r="A294" s="82">
        <v>71005</v>
      </c>
      <c r="B294" s="83" t="s">
        <v>27</v>
      </c>
      <c r="C294" s="83" t="s">
        <v>377</v>
      </c>
      <c r="D294" s="83" t="s">
        <v>382</v>
      </c>
      <c r="E294" s="103">
        <v>7</v>
      </c>
      <c r="F294" s="104">
        <v>420</v>
      </c>
      <c r="G294" s="84">
        <f t="shared" si="59"/>
        <v>7.2538860103626944E-3</v>
      </c>
      <c r="H294" s="85">
        <f t="shared" si="56"/>
        <v>0.56621658031088085</v>
      </c>
      <c r="I294" s="84">
        <f t="shared" si="60"/>
        <v>6.7409238275607485E-3</v>
      </c>
      <c r="J294" s="86">
        <f t="shared" si="58"/>
        <v>25.056013867043301</v>
      </c>
      <c r="K294" s="86">
        <f t="shared" si="54"/>
        <v>22.598031088082905</v>
      </c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1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  <c r="AI294" s="81"/>
      <c r="AJ294" s="81"/>
      <c r="AK294" s="81"/>
      <c r="AL294" s="81"/>
      <c r="AM294" s="81"/>
      <c r="AN294" s="81"/>
    </row>
    <row r="295" spans="1:40" ht="14.25" customHeight="1">
      <c r="A295" s="82">
        <v>71101</v>
      </c>
      <c r="B295" s="83" t="s">
        <v>27</v>
      </c>
      <c r="C295" s="83" t="s">
        <v>383</v>
      </c>
      <c r="D295" s="83" t="s">
        <v>384</v>
      </c>
      <c r="E295" s="103">
        <v>10</v>
      </c>
      <c r="F295" s="104">
        <v>534</v>
      </c>
      <c r="G295" s="84">
        <f t="shared" si="59"/>
        <v>1.0362694300518135E-2</v>
      </c>
      <c r="H295" s="85">
        <f t="shared" si="56"/>
        <v>0.80888082901554414</v>
      </c>
      <c r="I295" s="84">
        <f t="shared" si="60"/>
        <v>8.570603152184381E-3</v>
      </c>
      <c r="J295" s="86">
        <f t="shared" si="58"/>
        <v>31.856931916669343</v>
      </c>
      <c r="K295" s="86">
        <f t="shared" si="54"/>
        <v>25.391046166385284</v>
      </c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1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  <c r="AI295" s="81"/>
      <c r="AJ295" s="81"/>
      <c r="AK295" s="81"/>
      <c r="AL295" s="81"/>
      <c r="AM295" s="81"/>
      <c r="AN295" s="81"/>
    </row>
    <row r="296" spans="1:40" ht="14.25" customHeight="1">
      <c r="A296" s="82">
        <v>71102</v>
      </c>
      <c r="B296" s="83" t="s">
        <v>27</v>
      </c>
      <c r="C296" s="83" t="s">
        <v>383</v>
      </c>
      <c r="D296" s="83" t="s">
        <v>385</v>
      </c>
      <c r="E296" s="103">
        <v>15</v>
      </c>
      <c r="F296" s="104">
        <v>353</v>
      </c>
      <c r="G296" s="84">
        <f t="shared" si="59"/>
        <v>1.5544041450777202E-2</v>
      </c>
      <c r="H296" s="85">
        <f t="shared" si="56"/>
        <v>1.2133212435233161</v>
      </c>
      <c r="I296" s="84">
        <f t="shared" si="60"/>
        <v>5.6655859788784383E-3</v>
      </c>
      <c r="J296" s="86">
        <f t="shared" si="58"/>
        <v>21.058983083491157</v>
      </c>
      <c r="K296" s="86">
        <f t="shared" si="54"/>
        <v>57.615376711826094</v>
      </c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1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  <c r="AI296" s="81"/>
      <c r="AJ296" s="81"/>
      <c r="AK296" s="81"/>
      <c r="AL296" s="81"/>
      <c r="AM296" s="81"/>
      <c r="AN296" s="81"/>
    </row>
    <row r="297" spans="1:40" ht="14.25" customHeight="1">
      <c r="A297" s="82">
        <v>71103</v>
      </c>
      <c r="B297" s="83" t="s">
        <v>27</v>
      </c>
      <c r="C297" s="83" t="s">
        <v>383</v>
      </c>
      <c r="D297" s="83" t="s">
        <v>386</v>
      </c>
      <c r="E297" s="103">
        <v>17</v>
      </c>
      <c r="F297" s="104">
        <v>1209</v>
      </c>
      <c r="G297" s="84">
        <f t="shared" si="59"/>
        <v>1.7616580310880828E-2</v>
      </c>
      <c r="H297" s="85">
        <f t="shared" si="56"/>
        <v>1.3750974093264248</v>
      </c>
      <c r="I297" s="84">
        <f t="shared" si="60"/>
        <v>1.9404230732192725E-2</v>
      </c>
      <c r="J297" s="86">
        <f t="shared" si="58"/>
        <v>72.12552563156035</v>
      </c>
      <c r="K297" s="86">
        <f t="shared" si="54"/>
        <v>19.065336401856541</v>
      </c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1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  <c r="AI297" s="81"/>
      <c r="AJ297" s="81"/>
      <c r="AK297" s="81"/>
      <c r="AL297" s="81"/>
      <c r="AM297" s="81"/>
      <c r="AN297" s="81"/>
    </row>
    <row r="298" spans="1:40" ht="14.25" customHeight="1">
      <c r="A298" s="82">
        <v>71104</v>
      </c>
      <c r="B298" s="83" t="s">
        <v>27</v>
      </c>
      <c r="C298" s="83" t="s">
        <v>383</v>
      </c>
      <c r="D298" s="83" t="s">
        <v>387</v>
      </c>
      <c r="E298" s="103">
        <v>8</v>
      </c>
      <c r="F298" s="104">
        <v>155</v>
      </c>
      <c r="G298" s="84">
        <f t="shared" si="59"/>
        <v>8.2901554404145074E-3</v>
      </c>
      <c r="H298" s="85">
        <f t="shared" si="56"/>
        <v>0.6471046632124352</v>
      </c>
      <c r="I298" s="84">
        <f t="shared" si="60"/>
        <v>2.4877218887426572E-3</v>
      </c>
      <c r="J298" s="86">
        <f t="shared" si="58"/>
        <v>9.2468622604564565</v>
      </c>
      <c r="K298" s="86">
        <f t="shared" si="54"/>
        <v>69.980999498579308</v>
      </c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1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  <c r="AI298" s="81"/>
      <c r="AJ298" s="81"/>
      <c r="AK298" s="81"/>
      <c r="AL298" s="81"/>
      <c r="AM298" s="81"/>
      <c r="AN298" s="81"/>
    </row>
    <row r="299" spans="1:40" ht="14.25" customHeight="1">
      <c r="A299" s="82">
        <v>71105</v>
      </c>
      <c r="B299" s="83" t="s">
        <v>27</v>
      </c>
      <c r="C299" s="83" t="s">
        <v>383</v>
      </c>
      <c r="D299" s="83" t="s">
        <v>388</v>
      </c>
      <c r="E299" s="103">
        <v>4</v>
      </c>
      <c r="F299" s="104">
        <v>216</v>
      </c>
      <c r="G299" s="84">
        <f t="shared" si="59"/>
        <v>4.1450777202072537E-3</v>
      </c>
      <c r="H299" s="85">
        <f t="shared" si="56"/>
        <v>0.3235523316062176</v>
      </c>
      <c r="I299" s="84">
        <f t="shared" si="60"/>
        <v>3.4667608256026706E-3</v>
      </c>
      <c r="J299" s="86">
        <f t="shared" si="58"/>
        <v>12.885949988765127</v>
      </c>
      <c r="K299" s="86">
        <f t="shared" si="54"/>
        <v>25.108923431203223</v>
      </c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1"/>
      <c r="Y299" s="81"/>
      <c r="Z299" s="81"/>
      <c r="AA299" s="81"/>
      <c r="AB299" s="81"/>
      <c r="AC299" s="81"/>
      <c r="AD299" s="81"/>
      <c r="AE299" s="81"/>
      <c r="AF299" s="81"/>
      <c r="AG299" s="81"/>
      <c r="AH299" s="81"/>
      <c r="AI299" s="81"/>
      <c r="AJ299" s="81"/>
      <c r="AK299" s="81"/>
      <c r="AL299" s="81"/>
      <c r="AM299" s="81"/>
      <c r="AN299" s="81"/>
    </row>
    <row r="300" spans="1:40" ht="14.25" customHeight="1">
      <c r="A300" s="82">
        <v>71106</v>
      </c>
      <c r="B300" s="83" t="s">
        <v>27</v>
      </c>
      <c r="C300" s="83" t="s">
        <v>383</v>
      </c>
      <c r="D300" s="83" t="s">
        <v>389</v>
      </c>
      <c r="E300" s="103">
        <v>12</v>
      </c>
      <c r="F300" s="104">
        <v>581</v>
      </c>
      <c r="G300" s="84">
        <f>E300/$R$8</f>
        <v>1.2435233160621761E-2</v>
      </c>
      <c r="H300" s="85">
        <f>$S$23*G300</f>
        <v>0.97065699481865286</v>
      </c>
      <c r="I300" s="84">
        <f>F300/$S$8</f>
        <v>9.3249446281257024E-3</v>
      </c>
      <c r="J300" s="86">
        <f>I300*$U$23</f>
        <v>34.660819182743239</v>
      </c>
      <c r="K300" s="86">
        <f t="shared" si="54"/>
        <v>28.004444721892749</v>
      </c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1"/>
      <c r="Y300" s="81"/>
      <c r="Z300" s="81"/>
      <c r="AA300" s="81"/>
      <c r="AB300" s="81"/>
      <c r="AC300" s="81"/>
      <c r="AD300" s="81"/>
      <c r="AE300" s="81"/>
      <c r="AF300" s="81"/>
      <c r="AG300" s="81"/>
      <c r="AH300" s="81"/>
      <c r="AI300" s="81"/>
      <c r="AJ300" s="81"/>
      <c r="AK300" s="81"/>
      <c r="AL300" s="81"/>
      <c r="AM300" s="81"/>
      <c r="AN300" s="81"/>
    </row>
    <row r="301" spans="1:40" ht="14.25" customHeight="1">
      <c r="A301" s="82">
        <v>71201</v>
      </c>
      <c r="B301" s="83" t="s">
        <v>27</v>
      </c>
      <c r="C301" s="83" t="s">
        <v>390</v>
      </c>
      <c r="D301" s="83" t="s">
        <v>391</v>
      </c>
      <c r="E301" s="103">
        <v>7</v>
      </c>
      <c r="F301" s="104">
        <v>356</v>
      </c>
      <c r="G301" s="84">
        <f t="shared" ref="G301:G309" si="61">E301/$R$8</f>
        <v>7.2538860103626944E-3</v>
      </c>
      <c r="H301" s="85">
        <f t="shared" si="56"/>
        <v>0.56621658031088085</v>
      </c>
      <c r="I301" s="84">
        <f t="shared" ref="I301:I309" si="62">F301/$S$8</f>
        <v>5.7137354347895864E-3</v>
      </c>
      <c r="J301" s="86">
        <f t="shared" si="58"/>
        <v>21.237954611112894</v>
      </c>
      <c r="K301" s="86">
        <f t="shared" si="54"/>
        <v>26.66059847470455</v>
      </c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1"/>
      <c r="Y301" s="81"/>
      <c r="Z301" s="81"/>
      <c r="AA301" s="81"/>
      <c r="AB301" s="81"/>
      <c r="AC301" s="81"/>
      <c r="AD301" s="81"/>
      <c r="AE301" s="81"/>
      <c r="AF301" s="81"/>
      <c r="AG301" s="81"/>
      <c r="AH301" s="81"/>
      <c r="AI301" s="81"/>
      <c r="AJ301" s="81"/>
      <c r="AK301" s="81"/>
      <c r="AL301" s="81"/>
      <c r="AM301" s="81"/>
      <c r="AN301" s="81"/>
    </row>
    <row r="302" spans="1:40" ht="14.25" customHeight="1">
      <c r="A302" s="82">
        <v>71301</v>
      </c>
      <c r="B302" s="83" t="s">
        <v>27</v>
      </c>
      <c r="C302" s="83" t="s">
        <v>392</v>
      </c>
      <c r="D302" s="83" t="s">
        <v>393</v>
      </c>
      <c r="E302" s="103">
        <v>3</v>
      </c>
      <c r="F302" s="104">
        <v>448</v>
      </c>
      <c r="G302" s="84">
        <f t="shared" si="61"/>
        <v>3.1088082901554403E-3</v>
      </c>
      <c r="H302" s="85">
        <f t="shared" si="56"/>
        <v>0.24266424870466322</v>
      </c>
      <c r="I302" s="84">
        <f t="shared" si="62"/>
        <v>7.1903187493981315E-3</v>
      </c>
      <c r="J302" s="86">
        <f t="shared" si="58"/>
        <v>26.726414791512855</v>
      </c>
      <c r="K302" s="86">
        <f t="shared" si="54"/>
        <v>9.0795660621761662</v>
      </c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1"/>
      <c r="Y302" s="81"/>
      <c r="Z302" s="81"/>
      <c r="AA302" s="81"/>
      <c r="AB302" s="81"/>
      <c r="AC302" s="81"/>
      <c r="AD302" s="81"/>
      <c r="AE302" s="81"/>
      <c r="AF302" s="81"/>
      <c r="AG302" s="81"/>
      <c r="AH302" s="81"/>
      <c r="AI302" s="81"/>
      <c r="AJ302" s="81"/>
      <c r="AK302" s="81"/>
      <c r="AL302" s="81"/>
      <c r="AM302" s="81"/>
      <c r="AN302" s="81"/>
    </row>
    <row r="303" spans="1:40" ht="14.25" customHeight="1">
      <c r="A303" s="82">
        <v>71302</v>
      </c>
      <c r="B303" s="83" t="s">
        <v>27</v>
      </c>
      <c r="C303" s="83" t="s">
        <v>392</v>
      </c>
      <c r="D303" s="83" t="s">
        <v>394</v>
      </c>
      <c r="E303" s="103">
        <v>1</v>
      </c>
      <c r="F303" s="104">
        <v>175</v>
      </c>
      <c r="G303" s="84">
        <f t="shared" si="61"/>
        <v>1.0362694300518134E-3</v>
      </c>
      <c r="H303" s="85">
        <f t="shared" si="56"/>
        <v>8.0888082901554401E-2</v>
      </c>
      <c r="I303" s="84">
        <f t="shared" si="62"/>
        <v>2.808718261483645E-3</v>
      </c>
      <c r="J303" s="86">
        <f t="shared" si="58"/>
        <v>10.440005777934708</v>
      </c>
      <c r="K303" s="86">
        <f t="shared" si="54"/>
        <v>7.747896373056995</v>
      </c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1"/>
      <c r="Y303" s="81"/>
      <c r="Z303" s="81"/>
      <c r="AA303" s="81"/>
      <c r="AB303" s="81"/>
      <c r="AC303" s="81"/>
      <c r="AD303" s="81"/>
      <c r="AE303" s="81"/>
      <c r="AF303" s="81"/>
      <c r="AG303" s="81"/>
      <c r="AH303" s="81"/>
      <c r="AI303" s="81"/>
      <c r="AJ303" s="81"/>
      <c r="AK303" s="81"/>
      <c r="AL303" s="81"/>
      <c r="AM303" s="81"/>
      <c r="AN303" s="81"/>
    </row>
    <row r="304" spans="1:40" ht="14.25" customHeight="1">
      <c r="A304" s="82">
        <v>71401</v>
      </c>
      <c r="B304" s="83" t="s">
        <v>27</v>
      </c>
      <c r="C304" s="83" t="s">
        <v>395</v>
      </c>
      <c r="D304" s="83" t="s">
        <v>396</v>
      </c>
      <c r="E304" s="103">
        <v>7</v>
      </c>
      <c r="F304" s="104">
        <v>383</v>
      </c>
      <c r="G304" s="84">
        <f t="shared" si="61"/>
        <v>7.2538860103626944E-3</v>
      </c>
      <c r="H304" s="85">
        <f t="shared" si="56"/>
        <v>0.56621658031088085</v>
      </c>
      <c r="I304" s="84">
        <f t="shared" si="62"/>
        <v>6.1470805379899209E-3</v>
      </c>
      <c r="J304" s="86">
        <f t="shared" si="58"/>
        <v>22.848698359708536</v>
      </c>
      <c r="K304" s="86">
        <f t="shared" si="54"/>
        <v>24.78113069711441</v>
      </c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1"/>
      <c r="Y304" s="81"/>
      <c r="Z304" s="81"/>
      <c r="AA304" s="81"/>
      <c r="AB304" s="81"/>
      <c r="AC304" s="81"/>
      <c r="AD304" s="81"/>
      <c r="AE304" s="81"/>
      <c r="AF304" s="81"/>
      <c r="AG304" s="81"/>
      <c r="AH304" s="81"/>
      <c r="AI304" s="81"/>
      <c r="AJ304" s="81"/>
      <c r="AK304" s="81"/>
      <c r="AL304" s="81"/>
      <c r="AM304" s="81"/>
      <c r="AN304" s="81"/>
    </row>
    <row r="305" spans="1:40" ht="14.25" customHeight="1">
      <c r="A305" s="82">
        <v>71402</v>
      </c>
      <c r="B305" s="83" t="s">
        <v>27</v>
      </c>
      <c r="C305" s="83" t="s">
        <v>395</v>
      </c>
      <c r="D305" s="83" t="s">
        <v>397</v>
      </c>
      <c r="E305" s="103">
        <v>10</v>
      </c>
      <c r="F305" s="104">
        <v>424</v>
      </c>
      <c r="G305" s="84">
        <f t="shared" si="61"/>
        <v>1.0362694300518135E-2</v>
      </c>
      <c r="H305" s="85">
        <f t="shared" si="56"/>
        <v>0.80888082901554414</v>
      </c>
      <c r="I305" s="84">
        <f t="shared" si="62"/>
        <v>6.805123102108946E-3</v>
      </c>
      <c r="J305" s="86">
        <f t="shared" si="58"/>
        <v>25.294642570538951</v>
      </c>
      <c r="K305" s="86">
        <f t="shared" si="54"/>
        <v>31.978345879362603</v>
      </c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1"/>
      <c r="Y305" s="81"/>
      <c r="Z305" s="81"/>
      <c r="AA305" s="81"/>
      <c r="AB305" s="81"/>
      <c r="AC305" s="81"/>
      <c r="AD305" s="81"/>
      <c r="AE305" s="81"/>
      <c r="AF305" s="81"/>
      <c r="AG305" s="81"/>
      <c r="AH305" s="81"/>
      <c r="AI305" s="81"/>
      <c r="AJ305" s="81"/>
      <c r="AK305" s="81"/>
      <c r="AL305" s="81"/>
      <c r="AM305" s="81"/>
      <c r="AN305" s="81"/>
    </row>
    <row r="306" spans="1:40" ht="14.25" customHeight="1">
      <c r="A306" s="82">
        <v>71403</v>
      </c>
      <c r="B306" s="83" t="s">
        <v>27</v>
      </c>
      <c r="C306" s="83" t="s">
        <v>395</v>
      </c>
      <c r="D306" s="83" t="s">
        <v>398</v>
      </c>
      <c r="E306" s="103">
        <v>1</v>
      </c>
      <c r="F306" s="104">
        <v>131</v>
      </c>
      <c r="G306" s="84">
        <f t="shared" si="61"/>
        <v>1.0362694300518134E-3</v>
      </c>
      <c r="H306" s="85">
        <f t="shared" si="56"/>
        <v>8.0888082901554401E-2</v>
      </c>
      <c r="I306" s="84">
        <f t="shared" si="62"/>
        <v>2.1025262414534718E-3</v>
      </c>
      <c r="J306" s="86">
        <f t="shared" si="58"/>
        <v>7.8150900394825547</v>
      </c>
      <c r="K306" s="86">
        <f t="shared" si="54"/>
        <v>10.350243246450182</v>
      </c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1"/>
      <c r="Y306" s="81"/>
      <c r="Z306" s="81"/>
      <c r="AA306" s="81"/>
      <c r="AB306" s="81"/>
      <c r="AC306" s="81"/>
      <c r="AD306" s="81"/>
      <c r="AE306" s="81"/>
      <c r="AF306" s="81"/>
      <c r="AG306" s="81"/>
      <c r="AH306" s="81"/>
      <c r="AI306" s="81"/>
      <c r="AJ306" s="81"/>
      <c r="AK306" s="81"/>
      <c r="AL306" s="81"/>
      <c r="AM306" s="81"/>
      <c r="AN306" s="81"/>
    </row>
    <row r="307" spans="1:40" ht="14.25" customHeight="1">
      <c r="A307" s="82">
        <v>71501</v>
      </c>
      <c r="B307" s="83" t="s">
        <v>27</v>
      </c>
      <c r="C307" s="83" t="s">
        <v>399</v>
      </c>
      <c r="D307" s="83" t="s">
        <v>400</v>
      </c>
      <c r="E307" s="103">
        <v>10</v>
      </c>
      <c r="F307" s="104">
        <v>725</v>
      </c>
      <c r="G307" s="84">
        <f t="shared" si="61"/>
        <v>1.0362694300518135E-2</v>
      </c>
      <c r="H307" s="85">
        <f t="shared" si="56"/>
        <v>0.80888082901554414</v>
      </c>
      <c r="I307" s="84">
        <f t="shared" si="62"/>
        <v>1.1636118511860817E-2</v>
      </c>
      <c r="J307" s="86">
        <f t="shared" si="58"/>
        <v>43.251452508586652</v>
      </c>
      <c r="K307" s="86">
        <f t="shared" si="54"/>
        <v>18.701818831516885</v>
      </c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1"/>
      <c r="Y307" s="81"/>
      <c r="Z307" s="81"/>
      <c r="AA307" s="81"/>
      <c r="AB307" s="81"/>
      <c r="AC307" s="81"/>
      <c r="AD307" s="81"/>
      <c r="AE307" s="81"/>
      <c r="AF307" s="81"/>
      <c r="AG307" s="81"/>
      <c r="AH307" s="81"/>
      <c r="AI307" s="81"/>
      <c r="AJ307" s="81"/>
      <c r="AK307" s="81"/>
      <c r="AL307" s="81"/>
      <c r="AM307" s="81"/>
      <c r="AN307" s="81"/>
    </row>
    <row r="308" spans="1:40" ht="14.25" customHeight="1">
      <c r="A308" s="82">
        <v>71502</v>
      </c>
      <c r="B308" s="83" t="s">
        <v>27</v>
      </c>
      <c r="C308" s="83" t="s">
        <v>399</v>
      </c>
      <c r="D308" s="83" t="s">
        <v>401</v>
      </c>
      <c r="E308" s="103">
        <v>3</v>
      </c>
      <c r="F308" s="104">
        <v>181</v>
      </c>
      <c r="G308" s="84">
        <f t="shared" si="61"/>
        <v>3.1088082901554403E-3</v>
      </c>
      <c r="H308" s="85">
        <f t="shared" si="56"/>
        <v>0.24266424870466322</v>
      </c>
      <c r="I308" s="84">
        <f t="shared" si="62"/>
        <v>2.9050171733059418E-3</v>
      </c>
      <c r="J308" s="86">
        <f t="shared" si="58"/>
        <v>10.797948833178186</v>
      </c>
      <c r="K308" s="86">
        <f t="shared" ref="K308:K344" si="63">1000*H308/J308</f>
        <v>22.473180087596255</v>
      </c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1"/>
      <c r="Y308" s="81"/>
      <c r="Z308" s="81"/>
      <c r="AA308" s="81"/>
      <c r="AB308" s="81"/>
      <c r="AC308" s="81"/>
      <c r="AD308" s="81"/>
      <c r="AE308" s="81"/>
      <c r="AF308" s="81"/>
      <c r="AG308" s="81"/>
      <c r="AH308" s="81"/>
      <c r="AI308" s="81"/>
      <c r="AJ308" s="81"/>
      <c r="AK308" s="81"/>
      <c r="AL308" s="81"/>
      <c r="AM308" s="81"/>
      <c r="AN308" s="81"/>
    </row>
    <row r="309" spans="1:40" ht="14.25" customHeight="1">
      <c r="A309" s="82">
        <v>71503</v>
      </c>
      <c r="B309" s="83" t="s">
        <v>27</v>
      </c>
      <c r="C309" s="83" t="s">
        <v>399</v>
      </c>
      <c r="D309" s="83" t="s">
        <v>332</v>
      </c>
      <c r="E309" s="103">
        <v>10</v>
      </c>
      <c r="F309" s="104">
        <v>402</v>
      </c>
      <c r="G309" s="84">
        <f t="shared" si="61"/>
        <v>1.0362694300518135E-2</v>
      </c>
      <c r="H309" s="85">
        <f t="shared" si="56"/>
        <v>0.80888082901554414</v>
      </c>
      <c r="I309" s="84">
        <f t="shared" si="62"/>
        <v>6.4520270920938594E-3</v>
      </c>
      <c r="J309" s="86">
        <f t="shared" si="58"/>
        <v>23.982184701312875</v>
      </c>
      <c r="K309" s="86">
        <f t="shared" si="63"/>
        <v>33.728404609078964</v>
      </c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1"/>
      <c r="Y309" s="81"/>
      <c r="Z309" s="81"/>
      <c r="AA309" s="81"/>
      <c r="AB309" s="81"/>
      <c r="AC309" s="81"/>
      <c r="AD309" s="81"/>
      <c r="AE309" s="81"/>
      <c r="AF309" s="81"/>
      <c r="AG309" s="81"/>
      <c r="AH309" s="81"/>
      <c r="AI309" s="81"/>
      <c r="AJ309" s="81"/>
      <c r="AK309" s="81"/>
      <c r="AL309" s="81"/>
      <c r="AM309" s="81"/>
      <c r="AN309" s="81"/>
    </row>
    <row r="310" spans="1:40" ht="14.25" customHeight="1">
      <c r="A310" s="82">
        <v>80101</v>
      </c>
      <c r="B310" s="83" t="s">
        <v>29</v>
      </c>
      <c r="C310" s="83" t="s">
        <v>164</v>
      </c>
      <c r="D310" s="83" t="s">
        <v>402</v>
      </c>
      <c r="E310" s="103">
        <v>57</v>
      </c>
      <c r="F310" s="104">
        <v>2690</v>
      </c>
      <c r="G310" s="84">
        <f>E310/$R$9</f>
        <v>0.17701863354037267</v>
      </c>
      <c r="H310" s="85">
        <f>$S$24*G310</f>
        <v>8.6126645962732926</v>
      </c>
      <c r="I310" s="84">
        <f>F310/$S$9</f>
        <v>0.22368202228504905</v>
      </c>
      <c r="J310" s="86">
        <f>I310*$U$24</f>
        <v>320.08897388990516</v>
      </c>
      <c r="K310" s="86">
        <f t="shared" si="63"/>
        <v>26.907095522870542</v>
      </c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1"/>
      <c r="Y310" s="81"/>
      <c r="Z310" s="81"/>
      <c r="AA310" s="81"/>
      <c r="AB310" s="81"/>
      <c r="AC310" s="81"/>
      <c r="AD310" s="81"/>
      <c r="AE310" s="81"/>
      <c r="AF310" s="81"/>
      <c r="AG310" s="81"/>
      <c r="AH310" s="81"/>
      <c r="AI310" s="81"/>
      <c r="AJ310" s="81"/>
      <c r="AK310" s="81"/>
      <c r="AL310" s="81"/>
      <c r="AM310" s="81"/>
      <c r="AN310" s="81"/>
    </row>
    <row r="311" spans="1:40" ht="14.25" customHeight="1">
      <c r="A311" s="82">
        <v>80102</v>
      </c>
      <c r="B311" s="83" t="s">
        <v>29</v>
      </c>
      <c r="C311" s="83" t="s">
        <v>164</v>
      </c>
      <c r="D311" s="83" t="s">
        <v>385</v>
      </c>
      <c r="E311" s="103">
        <v>6</v>
      </c>
      <c r="F311" s="104">
        <v>171</v>
      </c>
      <c r="G311" s="84">
        <f t="shared" ref="G311:G329" si="64">E311/$R$9</f>
        <v>1.8633540372670808E-2</v>
      </c>
      <c r="H311" s="85">
        <f t="shared" ref="H311:H329" si="65">$S$24*G311</f>
        <v>0.9065962732919256</v>
      </c>
      <c r="I311" s="84">
        <f t="shared" ref="I311:I329" si="66">F311/$S$9</f>
        <v>1.4219191751205722E-2</v>
      </c>
      <c r="J311" s="86">
        <f t="shared" ref="J311:J329" si="67">I311*$U$24</f>
        <v>20.347663395975388</v>
      </c>
      <c r="K311" s="86">
        <f t="shared" si="63"/>
        <v>44.555301296720067</v>
      </c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1"/>
      <c r="Y311" s="81"/>
      <c r="Z311" s="81"/>
      <c r="AA311" s="81"/>
      <c r="AB311" s="81"/>
      <c r="AC311" s="81"/>
      <c r="AD311" s="81"/>
      <c r="AE311" s="81"/>
      <c r="AF311" s="81"/>
      <c r="AG311" s="81"/>
      <c r="AH311" s="81"/>
      <c r="AI311" s="81"/>
      <c r="AJ311" s="81"/>
      <c r="AK311" s="81"/>
      <c r="AL311" s="81"/>
      <c r="AM311" s="81"/>
      <c r="AN311" s="81"/>
    </row>
    <row r="312" spans="1:40" ht="14.25" customHeight="1">
      <c r="A312" s="82">
        <v>80201</v>
      </c>
      <c r="B312" s="83" t="s">
        <v>29</v>
      </c>
      <c r="C312" s="83" t="s">
        <v>403</v>
      </c>
      <c r="D312" s="83" t="s">
        <v>404</v>
      </c>
      <c r="E312" s="103">
        <v>80</v>
      </c>
      <c r="F312" s="104">
        <v>2939</v>
      </c>
      <c r="G312" s="84">
        <f t="shared" si="64"/>
        <v>0.2484472049689441</v>
      </c>
      <c r="H312" s="85">
        <f t="shared" si="65"/>
        <v>12.087950310559007</v>
      </c>
      <c r="I312" s="84">
        <f t="shared" si="66"/>
        <v>0.24438716115083986</v>
      </c>
      <c r="J312" s="86">
        <f t="shared" si="67"/>
        <v>349.71802760685182</v>
      </c>
      <c r="K312" s="86">
        <f t="shared" si="63"/>
        <v>34.564847552406171</v>
      </c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1"/>
      <c r="Y312" s="81"/>
      <c r="Z312" s="81"/>
      <c r="AA312" s="81"/>
      <c r="AB312" s="81"/>
      <c r="AC312" s="81"/>
      <c r="AD312" s="81"/>
      <c r="AE312" s="81"/>
      <c r="AF312" s="81"/>
      <c r="AG312" s="81"/>
      <c r="AH312" s="81"/>
      <c r="AI312" s="81"/>
      <c r="AJ312" s="81"/>
      <c r="AK312" s="81"/>
      <c r="AL312" s="81"/>
      <c r="AM312" s="81"/>
      <c r="AN312" s="81"/>
    </row>
    <row r="313" spans="1:40" ht="14.25" customHeight="1">
      <c r="A313" s="82">
        <v>80202</v>
      </c>
      <c r="B313" s="83" t="s">
        <v>29</v>
      </c>
      <c r="C313" s="83" t="s">
        <v>403</v>
      </c>
      <c r="D313" s="83" t="s">
        <v>405</v>
      </c>
      <c r="E313" s="103">
        <v>28</v>
      </c>
      <c r="F313" s="104">
        <v>1203</v>
      </c>
      <c r="G313" s="84">
        <f t="shared" si="64"/>
        <v>8.6956521739130432E-2</v>
      </c>
      <c r="H313" s="85">
        <f t="shared" si="65"/>
        <v>4.2307826086956526</v>
      </c>
      <c r="I313" s="84">
        <f t="shared" si="66"/>
        <v>0.10003326126725429</v>
      </c>
      <c r="J313" s="86">
        <f t="shared" si="67"/>
        <v>143.14759687344088</v>
      </c>
      <c r="K313" s="86">
        <f t="shared" si="63"/>
        <v>29.555386895081142</v>
      </c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1"/>
      <c r="Y313" s="81"/>
      <c r="Z313" s="81"/>
      <c r="AA313" s="81"/>
      <c r="AB313" s="81"/>
      <c r="AC313" s="81"/>
      <c r="AD313" s="81"/>
      <c r="AE313" s="81"/>
      <c r="AF313" s="81"/>
      <c r="AG313" s="81"/>
      <c r="AH313" s="81"/>
      <c r="AI313" s="81"/>
      <c r="AJ313" s="81"/>
      <c r="AK313" s="81"/>
      <c r="AL313" s="81"/>
      <c r="AM313" s="81"/>
      <c r="AN313" s="81"/>
    </row>
    <row r="314" spans="1:40" ht="14.25" customHeight="1">
      <c r="A314" s="82">
        <v>80301</v>
      </c>
      <c r="B314" s="83" t="s">
        <v>29</v>
      </c>
      <c r="C314" s="83" t="s">
        <v>406</v>
      </c>
      <c r="D314" s="83" t="s">
        <v>407</v>
      </c>
      <c r="E314" s="103">
        <v>12</v>
      </c>
      <c r="F314" s="104">
        <v>325</v>
      </c>
      <c r="G314" s="84">
        <f t="shared" si="64"/>
        <v>3.7267080745341616E-2</v>
      </c>
      <c r="H314" s="85">
        <f t="shared" si="65"/>
        <v>1.8131925465838512</v>
      </c>
      <c r="I314" s="84">
        <f t="shared" si="66"/>
        <v>2.7024779644104439E-2</v>
      </c>
      <c r="J314" s="86">
        <f t="shared" si="67"/>
        <v>38.672459670713451</v>
      </c>
      <c r="K314" s="86">
        <f t="shared" si="63"/>
        <v>46.885886287625432</v>
      </c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1"/>
      <c r="Y314" s="81"/>
      <c r="Z314" s="81"/>
      <c r="AA314" s="81"/>
      <c r="AB314" s="81"/>
      <c r="AC314" s="81"/>
      <c r="AD314" s="81"/>
      <c r="AE314" s="81"/>
      <c r="AF314" s="81"/>
      <c r="AG314" s="81"/>
      <c r="AH314" s="81"/>
      <c r="AI314" s="81"/>
      <c r="AJ314" s="81"/>
      <c r="AK314" s="81"/>
      <c r="AL314" s="81"/>
      <c r="AM314" s="81"/>
      <c r="AN314" s="81"/>
    </row>
    <row r="315" spans="1:40" ht="14.25" customHeight="1">
      <c r="A315" s="82">
        <v>80302</v>
      </c>
      <c r="B315" s="83" t="s">
        <v>29</v>
      </c>
      <c r="C315" s="83" t="s">
        <v>406</v>
      </c>
      <c r="D315" s="83" t="s">
        <v>408</v>
      </c>
      <c r="E315" s="103">
        <v>66</v>
      </c>
      <c r="F315" s="104">
        <v>1125</v>
      </c>
      <c r="G315" s="84">
        <f t="shared" si="64"/>
        <v>0.20496894409937888</v>
      </c>
      <c r="H315" s="85">
        <f t="shared" si="65"/>
        <v>9.9725590062111813</v>
      </c>
      <c r="I315" s="84">
        <f t="shared" si="66"/>
        <v>9.3547314152669217E-2</v>
      </c>
      <c r="J315" s="86">
        <f t="shared" si="67"/>
        <v>133.86620655246966</v>
      </c>
      <c r="K315" s="86">
        <f t="shared" si="63"/>
        <v>74.49646376811593</v>
      </c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1"/>
      <c r="Y315" s="81"/>
      <c r="Z315" s="81"/>
      <c r="AA315" s="81"/>
      <c r="AB315" s="81"/>
      <c r="AC315" s="81"/>
      <c r="AD315" s="81"/>
      <c r="AE315" s="81"/>
      <c r="AF315" s="81"/>
      <c r="AG315" s="81"/>
      <c r="AH315" s="81"/>
      <c r="AI315" s="81"/>
      <c r="AJ315" s="81"/>
      <c r="AK315" s="81"/>
      <c r="AL315" s="81"/>
      <c r="AM315" s="81"/>
      <c r="AN315" s="81"/>
    </row>
    <row r="316" spans="1:40" ht="14.25" customHeight="1">
      <c r="A316" s="82">
        <v>80303</v>
      </c>
      <c r="B316" s="83" t="s">
        <v>29</v>
      </c>
      <c r="C316" s="83" t="s">
        <v>406</v>
      </c>
      <c r="D316" s="83" t="s">
        <v>409</v>
      </c>
      <c r="E316" s="103">
        <v>6</v>
      </c>
      <c r="F316" s="104">
        <v>330</v>
      </c>
      <c r="G316" s="84">
        <f t="shared" si="64"/>
        <v>1.8633540372670808E-2</v>
      </c>
      <c r="H316" s="85">
        <f t="shared" si="65"/>
        <v>0.9065962732919256</v>
      </c>
      <c r="I316" s="84">
        <f t="shared" si="66"/>
        <v>2.7440545484782971E-2</v>
      </c>
      <c r="J316" s="86">
        <f t="shared" si="67"/>
        <v>39.267420588724434</v>
      </c>
      <c r="K316" s="86">
        <f t="shared" si="63"/>
        <v>23.087747035573123</v>
      </c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1"/>
      <c r="Y316" s="81"/>
      <c r="Z316" s="81"/>
      <c r="AA316" s="81"/>
      <c r="AB316" s="81"/>
      <c r="AC316" s="81"/>
      <c r="AD316" s="81"/>
      <c r="AE316" s="81"/>
      <c r="AF316" s="81"/>
      <c r="AG316" s="81"/>
      <c r="AH316" s="81"/>
      <c r="AI316" s="81"/>
      <c r="AJ316" s="81"/>
      <c r="AK316" s="81"/>
      <c r="AL316" s="81"/>
      <c r="AM316" s="81"/>
      <c r="AN316" s="81"/>
    </row>
    <row r="317" spans="1:40" ht="14.25" customHeight="1">
      <c r="A317" s="82">
        <v>80304</v>
      </c>
      <c r="B317" s="83" t="s">
        <v>29</v>
      </c>
      <c r="C317" s="83" t="s">
        <v>406</v>
      </c>
      <c r="D317" s="83" t="s">
        <v>410</v>
      </c>
      <c r="E317" s="103">
        <v>14</v>
      </c>
      <c r="F317" s="104">
        <v>552</v>
      </c>
      <c r="G317" s="84">
        <f t="shared" si="64"/>
        <v>4.3478260869565216E-2</v>
      </c>
      <c r="H317" s="85">
        <f t="shared" si="65"/>
        <v>2.1153913043478263</v>
      </c>
      <c r="I317" s="84">
        <f t="shared" si="66"/>
        <v>4.5900548810909693E-2</v>
      </c>
      <c r="J317" s="86">
        <f t="shared" si="67"/>
        <v>65.683685348411771</v>
      </c>
      <c r="K317" s="86">
        <f t="shared" si="63"/>
        <v>32.205734089477005</v>
      </c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1"/>
      <c r="Y317" s="81"/>
      <c r="Z317" s="81"/>
      <c r="AA317" s="81"/>
      <c r="AB317" s="81"/>
      <c r="AC317" s="81"/>
      <c r="AD317" s="81"/>
      <c r="AE317" s="81"/>
      <c r="AF317" s="81"/>
      <c r="AG317" s="81"/>
      <c r="AH317" s="81"/>
      <c r="AI317" s="81"/>
      <c r="AJ317" s="81"/>
      <c r="AK317" s="81"/>
      <c r="AL317" s="81"/>
      <c r="AM317" s="81"/>
      <c r="AN317" s="81"/>
    </row>
    <row r="318" spans="1:40" ht="14.25" customHeight="1">
      <c r="A318" s="82">
        <v>80401</v>
      </c>
      <c r="B318" s="83" t="s">
        <v>29</v>
      </c>
      <c r="C318" s="83" t="s">
        <v>411</v>
      </c>
      <c r="D318" s="83" t="s">
        <v>412</v>
      </c>
      <c r="E318" s="103">
        <v>12</v>
      </c>
      <c r="F318" s="104">
        <v>434</v>
      </c>
      <c r="G318" s="84">
        <f t="shared" si="64"/>
        <v>3.7267080745341616E-2</v>
      </c>
      <c r="H318" s="85">
        <f t="shared" si="65"/>
        <v>1.8131925465838512</v>
      </c>
      <c r="I318" s="84">
        <f t="shared" si="66"/>
        <v>3.6088474970896393E-2</v>
      </c>
      <c r="J318" s="86">
        <f t="shared" si="67"/>
        <v>51.642607683352736</v>
      </c>
      <c r="K318" s="86">
        <f t="shared" si="63"/>
        <v>35.110398717691851</v>
      </c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1"/>
      <c r="Y318" s="81"/>
      <c r="Z318" s="81"/>
      <c r="AA318" s="81"/>
      <c r="AB318" s="81"/>
      <c r="AC318" s="81"/>
      <c r="AD318" s="81"/>
      <c r="AE318" s="81"/>
      <c r="AF318" s="81"/>
      <c r="AG318" s="81"/>
      <c r="AH318" s="81"/>
      <c r="AI318" s="81"/>
      <c r="AJ318" s="81"/>
      <c r="AK318" s="81"/>
      <c r="AL318" s="81"/>
      <c r="AM318" s="81"/>
      <c r="AN318" s="81"/>
    </row>
    <row r="319" spans="1:40" ht="14.25" customHeight="1">
      <c r="A319" s="82">
        <v>80402</v>
      </c>
      <c r="B319" s="83" t="s">
        <v>29</v>
      </c>
      <c r="C319" s="83" t="s">
        <v>411</v>
      </c>
      <c r="D319" s="83" t="s">
        <v>413</v>
      </c>
      <c r="E319" s="103">
        <v>1</v>
      </c>
      <c r="F319" s="104">
        <v>183</v>
      </c>
      <c r="G319" s="84">
        <f t="shared" si="64"/>
        <v>3.105590062111801E-3</v>
      </c>
      <c r="H319" s="85">
        <f t="shared" si="65"/>
        <v>0.15109937888198757</v>
      </c>
      <c r="I319" s="84">
        <f t="shared" si="66"/>
        <v>1.5217029768834192E-2</v>
      </c>
      <c r="J319" s="86">
        <f t="shared" si="67"/>
        <v>21.775569599201731</v>
      </c>
      <c r="K319" s="86">
        <f t="shared" si="63"/>
        <v>6.9389403658826323</v>
      </c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1"/>
      <c r="Y319" s="81"/>
      <c r="Z319" s="81"/>
      <c r="AA319" s="81"/>
      <c r="AB319" s="81"/>
      <c r="AC319" s="81"/>
      <c r="AD319" s="81"/>
      <c r="AE319" s="81"/>
      <c r="AF319" s="81"/>
      <c r="AG319" s="81"/>
      <c r="AH319" s="81"/>
      <c r="AI319" s="81"/>
      <c r="AJ319" s="81"/>
      <c r="AK319" s="81"/>
      <c r="AL319" s="81"/>
      <c r="AM319" s="81"/>
      <c r="AN319" s="81"/>
    </row>
    <row r="320" spans="1:40" ht="14.25" customHeight="1">
      <c r="A320" s="82">
        <v>80501</v>
      </c>
      <c r="B320" s="83" t="s">
        <v>29</v>
      </c>
      <c r="C320" s="83" t="s">
        <v>414</v>
      </c>
      <c r="D320" s="83" t="s">
        <v>415</v>
      </c>
      <c r="E320" s="103">
        <v>12</v>
      </c>
      <c r="F320" s="104">
        <v>570</v>
      </c>
      <c r="G320" s="84">
        <f t="shared" si="64"/>
        <v>3.7267080745341616E-2</v>
      </c>
      <c r="H320" s="85">
        <f t="shared" si="65"/>
        <v>1.8131925465838512</v>
      </c>
      <c r="I320" s="84">
        <f t="shared" si="66"/>
        <v>4.7397305837352403E-2</v>
      </c>
      <c r="J320" s="86">
        <f t="shared" si="67"/>
        <v>67.825544653251285</v>
      </c>
      <c r="K320" s="86">
        <f t="shared" si="63"/>
        <v>26.733180778032043</v>
      </c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1"/>
      <c r="Y320" s="81"/>
      <c r="Z320" s="81"/>
      <c r="AA320" s="81"/>
      <c r="AB320" s="81"/>
      <c r="AC320" s="81"/>
      <c r="AD320" s="81"/>
      <c r="AE320" s="81"/>
      <c r="AF320" s="81"/>
      <c r="AG320" s="81"/>
      <c r="AH320" s="81"/>
      <c r="AI320" s="81"/>
      <c r="AJ320" s="81"/>
      <c r="AK320" s="81"/>
      <c r="AL320" s="81"/>
      <c r="AM320" s="81"/>
      <c r="AN320" s="81"/>
    </row>
    <row r="321" spans="1:40" ht="14.25" customHeight="1">
      <c r="A321" s="82">
        <v>80601</v>
      </c>
      <c r="B321" s="83" t="s">
        <v>29</v>
      </c>
      <c r="C321" s="83" t="s">
        <v>416</v>
      </c>
      <c r="D321" s="83" t="s">
        <v>417</v>
      </c>
      <c r="E321" s="103">
        <v>3</v>
      </c>
      <c r="F321" s="104">
        <v>128</v>
      </c>
      <c r="G321" s="84">
        <f t="shared" si="64"/>
        <v>9.316770186335404E-3</v>
      </c>
      <c r="H321" s="85">
        <f t="shared" si="65"/>
        <v>0.4532981366459628</v>
      </c>
      <c r="I321" s="84">
        <f t="shared" si="66"/>
        <v>1.0643605521370364E-2</v>
      </c>
      <c r="J321" s="86">
        <f t="shared" si="67"/>
        <v>15.230999501080991</v>
      </c>
      <c r="K321" s="86">
        <f t="shared" si="63"/>
        <v>29.761548913043484</v>
      </c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1"/>
      <c r="Y321" s="81"/>
      <c r="Z321" s="81"/>
      <c r="AA321" s="81"/>
      <c r="AB321" s="81"/>
      <c r="AC321" s="81"/>
      <c r="AD321" s="81"/>
      <c r="AE321" s="81"/>
      <c r="AF321" s="81"/>
      <c r="AG321" s="81"/>
      <c r="AH321" s="81"/>
      <c r="AI321" s="81"/>
      <c r="AJ321" s="81"/>
      <c r="AK321" s="81"/>
      <c r="AL321" s="81"/>
      <c r="AM321" s="81"/>
      <c r="AN321" s="81"/>
    </row>
    <row r="322" spans="1:40" ht="14.25" customHeight="1">
      <c r="A322" s="82">
        <v>80602</v>
      </c>
      <c r="B322" s="83" t="s">
        <v>29</v>
      </c>
      <c r="C322" s="83" t="s">
        <v>416</v>
      </c>
      <c r="D322" s="83" t="s">
        <v>418</v>
      </c>
      <c r="E322" s="103">
        <v>6</v>
      </c>
      <c r="F322" s="104">
        <v>356</v>
      </c>
      <c r="G322" s="84">
        <f t="shared" si="64"/>
        <v>1.8633540372670808E-2</v>
      </c>
      <c r="H322" s="85">
        <f t="shared" si="65"/>
        <v>0.9065962732919256</v>
      </c>
      <c r="I322" s="84">
        <f t="shared" si="66"/>
        <v>2.9602527856311324E-2</v>
      </c>
      <c r="J322" s="86">
        <f t="shared" si="67"/>
        <v>42.361217362381502</v>
      </c>
      <c r="K322" s="86">
        <f t="shared" si="63"/>
        <v>21.40156326331217</v>
      </c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1"/>
      <c r="Y322" s="81"/>
      <c r="Z322" s="81"/>
      <c r="AA322" s="81"/>
      <c r="AB322" s="81"/>
      <c r="AC322" s="81"/>
      <c r="AD322" s="81"/>
      <c r="AE322" s="81"/>
      <c r="AF322" s="81"/>
      <c r="AG322" s="81"/>
      <c r="AH322" s="81"/>
      <c r="AI322" s="81"/>
      <c r="AJ322" s="81"/>
      <c r="AK322" s="81"/>
      <c r="AL322" s="81"/>
      <c r="AM322" s="81"/>
      <c r="AN322" s="81"/>
    </row>
    <row r="323" spans="1:40" ht="14.25" customHeight="1">
      <c r="A323" s="82">
        <v>80701</v>
      </c>
      <c r="B323" s="83" t="s">
        <v>29</v>
      </c>
      <c r="C323" s="83" t="s">
        <v>419</v>
      </c>
      <c r="D323" s="83" t="s">
        <v>420</v>
      </c>
      <c r="E323" s="103">
        <v>6</v>
      </c>
      <c r="F323" s="104">
        <v>172</v>
      </c>
      <c r="G323" s="84">
        <f t="shared" si="64"/>
        <v>1.8633540372670808E-2</v>
      </c>
      <c r="H323" s="85">
        <f t="shared" si="65"/>
        <v>0.9065962732919256</v>
      </c>
      <c r="I323" s="84">
        <f t="shared" si="66"/>
        <v>1.4302344919341427E-2</v>
      </c>
      <c r="J323" s="86">
        <f t="shared" si="67"/>
        <v>20.466655579577584</v>
      </c>
      <c r="K323" s="86">
        <f t="shared" si="63"/>
        <v>44.29625884732053</v>
      </c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1"/>
      <c r="Y323" s="81"/>
      <c r="Z323" s="81"/>
      <c r="AA323" s="81"/>
      <c r="AB323" s="81"/>
      <c r="AC323" s="81"/>
      <c r="AD323" s="81"/>
      <c r="AE323" s="81"/>
      <c r="AF323" s="81"/>
      <c r="AG323" s="81"/>
      <c r="AH323" s="81"/>
      <c r="AI323" s="81"/>
      <c r="AJ323" s="81"/>
      <c r="AK323" s="81"/>
      <c r="AL323" s="81"/>
      <c r="AM323" s="81"/>
      <c r="AN323" s="81"/>
    </row>
    <row r="324" spans="1:40" ht="14.25" customHeight="1">
      <c r="A324" s="82">
        <v>80702</v>
      </c>
      <c r="B324" s="83" t="s">
        <v>29</v>
      </c>
      <c r="C324" s="83" t="s">
        <v>419</v>
      </c>
      <c r="D324" s="83" t="s">
        <v>386</v>
      </c>
      <c r="E324" s="103">
        <v>3</v>
      </c>
      <c r="F324" s="104">
        <v>122</v>
      </c>
      <c r="G324" s="84">
        <f t="shared" si="64"/>
        <v>9.316770186335404E-3</v>
      </c>
      <c r="H324" s="85">
        <f t="shared" si="65"/>
        <v>0.4532981366459628</v>
      </c>
      <c r="I324" s="84">
        <f t="shared" si="66"/>
        <v>1.0144686512556128E-2</v>
      </c>
      <c r="J324" s="86">
        <f t="shared" si="67"/>
        <v>14.517046399467819</v>
      </c>
      <c r="K324" s="86">
        <f t="shared" si="63"/>
        <v>31.225231646471851</v>
      </c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1"/>
      <c r="Y324" s="81"/>
      <c r="Z324" s="81"/>
      <c r="AA324" s="81"/>
      <c r="AB324" s="81"/>
      <c r="AC324" s="81"/>
      <c r="AD324" s="81"/>
      <c r="AE324" s="81"/>
      <c r="AF324" s="81"/>
      <c r="AG324" s="81"/>
      <c r="AH324" s="81"/>
      <c r="AI324" s="81"/>
      <c r="AJ324" s="81"/>
      <c r="AK324" s="81"/>
      <c r="AL324" s="81"/>
      <c r="AM324" s="81"/>
      <c r="AN324" s="81"/>
    </row>
    <row r="325" spans="1:40" ht="14.25" customHeight="1">
      <c r="A325" s="82">
        <v>80703</v>
      </c>
      <c r="B325" s="83" t="s">
        <v>29</v>
      </c>
      <c r="C325" s="83" t="s">
        <v>419</v>
      </c>
      <c r="D325" s="83" t="s">
        <v>421</v>
      </c>
      <c r="E325" s="103">
        <v>2</v>
      </c>
      <c r="F325" s="104">
        <v>31</v>
      </c>
      <c r="G325" s="84">
        <f t="shared" si="64"/>
        <v>6.2111801242236021E-3</v>
      </c>
      <c r="H325" s="85">
        <f t="shared" si="65"/>
        <v>0.30219875776397515</v>
      </c>
      <c r="I325" s="84">
        <f t="shared" si="66"/>
        <v>2.5777482122068852E-3</v>
      </c>
      <c r="J325" s="86">
        <f t="shared" si="67"/>
        <v>3.6887576916680529</v>
      </c>
      <c r="K325" s="86">
        <f t="shared" si="63"/>
        <v>81.924263674614295</v>
      </c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1"/>
      <c r="Y325" s="81"/>
      <c r="Z325" s="81"/>
      <c r="AA325" s="81"/>
      <c r="AB325" s="81"/>
      <c r="AC325" s="81"/>
      <c r="AD325" s="81"/>
      <c r="AE325" s="81"/>
      <c r="AF325" s="81"/>
      <c r="AG325" s="81"/>
      <c r="AH325" s="81"/>
      <c r="AI325" s="81"/>
      <c r="AJ325" s="81"/>
      <c r="AK325" s="81"/>
      <c r="AL325" s="81"/>
      <c r="AM325" s="81"/>
      <c r="AN325" s="81"/>
    </row>
    <row r="326" spans="1:40" ht="14.25" customHeight="1">
      <c r="A326" s="82">
        <v>80801</v>
      </c>
      <c r="B326" s="83" t="s">
        <v>29</v>
      </c>
      <c r="C326" s="83" t="s">
        <v>422</v>
      </c>
      <c r="D326" s="83" t="s">
        <v>423</v>
      </c>
      <c r="E326" s="103">
        <v>1</v>
      </c>
      <c r="F326" s="104">
        <v>299</v>
      </c>
      <c r="G326" s="84">
        <f t="shared" si="64"/>
        <v>3.105590062111801E-3</v>
      </c>
      <c r="H326" s="85">
        <f t="shared" si="65"/>
        <v>0.15109937888198757</v>
      </c>
      <c r="I326" s="84">
        <f t="shared" si="66"/>
        <v>2.4862797272576086E-2</v>
      </c>
      <c r="J326" s="86">
        <f t="shared" si="67"/>
        <v>35.578662897056375</v>
      </c>
      <c r="K326" s="86">
        <f t="shared" si="63"/>
        <v>4.2469099898211429</v>
      </c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1"/>
      <c r="Y326" s="81"/>
      <c r="Z326" s="81"/>
      <c r="AA326" s="81"/>
      <c r="AB326" s="81"/>
      <c r="AC326" s="81"/>
      <c r="AD326" s="81"/>
      <c r="AE326" s="81"/>
      <c r="AF326" s="81"/>
      <c r="AG326" s="81"/>
      <c r="AH326" s="81"/>
      <c r="AI326" s="81"/>
      <c r="AJ326" s="81"/>
      <c r="AK326" s="81"/>
      <c r="AL326" s="81"/>
      <c r="AM326" s="81"/>
      <c r="AN326" s="81"/>
    </row>
    <row r="327" spans="1:40" ht="14.25" customHeight="1">
      <c r="A327" s="82">
        <v>80802</v>
      </c>
      <c r="B327" s="83" t="s">
        <v>29</v>
      </c>
      <c r="C327" s="83" t="s">
        <v>422</v>
      </c>
      <c r="D327" s="83" t="s">
        <v>424</v>
      </c>
      <c r="E327" s="103">
        <v>2</v>
      </c>
      <c r="F327" s="104">
        <v>156</v>
      </c>
      <c r="G327" s="84">
        <f t="shared" si="64"/>
        <v>6.2111801242236021E-3</v>
      </c>
      <c r="H327" s="85">
        <f t="shared" si="65"/>
        <v>0.30219875776397515</v>
      </c>
      <c r="I327" s="84">
        <f t="shared" si="66"/>
        <v>1.2971894229170132E-2</v>
      </c>
      <c r="J327" s="86">
        <f t="shared" si="67"/>
        <v>18.56278064194246</v>
      </c>
      <c r="K327" s="86">
        <f t="shared" si="63"/>
        <v>16.279821627647713</v>
      </c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1"/>
      <c r="Y327" s="81"/>
      <c r="Z327" s="81"/>
      <c r="AA327" s="81"/>
      <c r="AB327" s="81"/>
      <c r="AC327" s="81"/>
      <c r="AD327" s="81"/>
      <c r="AE327" s="81"/>
      <c r="AF327" s="81"/>
      <c r="AG327" s="81"/>
      <c r="AH327" s="81"/>
      <c r="AI327" s="81"/>
      <c r="AJ327" s="81"/>
      <c r="AK327" s="81"/>
      <c r="AL327" s="81"/>
      <c r="AM327" s="81"/>
      <c r="AN327" s="81"/>
    </row>
    <row r="328" spans="1:40" ht="14.25" customHeight="1">
      <c r="A328" s="82">
        <v>80803</v>
      </c>
      <c r="B328" s="83" t="s">
        <v>29</v>
      </c>
      <c r="C328" s="83" t="s">
        <v>422</v>
      </c>
      <c r="D328" s="83" t="s">
        <v>425</v>
      </c>
      <c r="E328" s="103">
        <v>2</v>
      </c>
      <c r="F328" s="104">
        <v>117</v>
      </c>
      <c r="G328" s="84">
        <f t="shared" si="64"/>
        <v>6.2111801242236021E-3</v>
      </c>
      <c r="H328" s="85">
        <f t="shared" si="65"/>
        <v>0.30219875776397515</v>
      </c>
      <c r="I328" s="84">
        <f t="shared" si="66"/>
        <v>9.728920671877599E-3</v>
      </c>
      <c r="J328" s="86">
        <f t="shared" si="67"/>
        <v>13.922085481456843</v>
      </c>
      <c r="K328" s="86">
        <f t="shared" si="63"/>
        <v>21.706428836863619</v>
      </c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1"/>
      <c r="Y328" s="81"/>
      <c r="Z328" s="81"/>
      <c r="AA328" s="81"/>
      <c r="AB328" s="81"/>
      <c r="AC328" s="81"/>
      <c r="AD328" s="81"/>
      <c r="AE328" s="81"/>
      <c r="AF328" s="81"/>
      <c r="AG328" s="81"/>
      <c r="AH328" s="81"/>
      <c r="AI328" s="81"/>
      <c r="AJ328" s="81"/>
      <c r="AK328" s="81"/>
      <c r="AL328" s="81"/>
      <c r="AM328" s="81"/>
      <c r="AN328" s="81"/>
    </row>
    <row r="329" spans="1:40" ht="14.25" customHeight="1">
      <c r="A329" s="98">
        <v>80901</v>
      </c>
      <c r="B329" s="83" t="s">
        <v>29</v>
      </c>
      <c r="C329" s="83"/>
      <c r="D329" s="83" t="s">
        <v>426</v>
      </c>
      <c r="E329" s="103">
        <v>3</v>
      </c>
      <c r="F329" s="108">
        <v>123</v>
      </c>
      <c r="G329" s="84">
        <f t="shared" si="64"/>
        <v>9.316770186335404E-3</v>
      </c>
      <c r="H329" s="85">
        <f t="shared" si="65"/>
        <v>0.4532981366459628</v>
      </c>
      <c r="I329" s="84">
        <f t="shared" si="66"/>
        <v>1.0227839680691835E-2</v>
      </c>
      <c r="J329" s="86">
        <f t="shared" si="67"/>
        <v>14.636038583070016</v>
      </c>
      <c r="K329" s="86">
        <f t="shared" si="63"/>
        <v>30.971367974549313</v>
      </c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1"/>
      <c r="Y329" s="81"/>
      <c r="Z329" s="81"/>
      <c r="AA329" s="81"/>
      <c r="AB329" s="81"/>
      <c r="AC329" s="81"/>
      <c r="AD329" s="81"/>
      <c r="AE329" s="81"/>
      <c r="AF329" s="81"/>
      <c r="AG329" s="81"/>
      <c r="AH329" s="81"/>
      <c r="AI329" s="81"/>
      <c r="AJ329" s="81"/>
      <c r="AK329" s="81"/>
      <c r="AL329" s="81"/>
      <c r="AM329" s="81"/>
      <c r="AN329" s="81"/>
    </row>
    <row r="330" spans="1:40" ht="14.25" customHeight="1">
      <c r="A330" s="82">
        <v>90101</v>
      </c>
      <c r="B330" s="83" t="s">
        <v>31</v>
      </c>
      <c r="C330" s="83" t="s">
        <v>427</v>
      </c>
      <c r="D330" s="83" t="s">
        <v>428</v>
      </c>
      <c r="E330" s="103">
        <v>7</v>
      </c>
      <c r="F330" s="104">
        <v>1353</v>
      </c>
      <c r="G330" s="84">
        <f>E330/$R$10</f>
        <v>0.46666666666666667</v>
      </c>
      <c r="H330" s="85">
        <f>$S$25*G330</f>
        <v>1.9865999999999999</v>
      </c>
      <c r="I330" s="84">
        <f>F330/$S$10</f>
        <v>0.3974735605170388</v>
      </c>
      <c r="J330" s="86">
        <f>I330*$U$25</f>
        <v>39.34988249118684</v>
      </c>
      <c r="K330" s="86">
        <f t="shared" si="63"/>
        <v>50.48553830992855</v>
      </c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1"/>
      <c r="Y330" s="81"/>
      <c r="Z330" s="81"/>
      <c r="AA330" s="81"/>
      <c r="AB330" s="81"/>
      <c r="AC330" s="81"/>
      <c r="AD330" s="81"/>
      <c r="AE330" s="81"/>
      <c r="AF330" s="81"/>
      <c r="AG330" s="81"/>
      <c r="AH330" s="81"/>
      <c r="AI330" s="81"/>
      <c r="AJ330" s="81"/>
      <c r="AK330" s="81"/>
      <c r="AL330" s="81"/>
      <c r="AM330" s="81"/>
      <c r="AN330" s="81"/>
    </row>
    <row r="331" spans="1:40" ht="14.25" customHeight="1">
      <c r="A331" s="82">
        <v>90102</v>
      </c>
      <c r="B331" s="83" t="s">
        <v>31</v>
      </c>
      <c r="C331" s="83" t="s">
        <v>427</v>
      </c>
      <c r="D331" s="83" t="s">
        <v>429</v>
      </c>
      <c r="E331" s="103">
        <v>0</v>
      </c>
      <c r="F331" s="104">
        <v>201</v>
      </c>
      <c r="G331" s="84">
        <f t="shared" ref="G331:G344" si="68">E331/$R$10</f>
        <v>0</v>
      </c>
      <c r="H331" s="85">
        <f t="shared" ref="H331:H344" si="69">$S$25*G331</f>
        <v>0</v>
      </c>
      <c r="I331" s="84">
        <f t="shared" ref="I331:I344" si="70">F331/$S$10</f>
        <v>5.9048178613396007E-2</v>
      </c>
      <c r="J331" s="86">
        <f t="shared" ref="J331:J344" si="71">I331*$U$25</f>
        <v>5.8457696827262051</v>
      </c>
      <c r="K331" s="86">
        <f t="shared" si="63"/>
        <v>0</v>
      </c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1"/>
      <c r="Y331" s="81"/>
      <c r="Z331" s="81"/>
      <c r="AA331" s="81"/>
      <c r="AB331" s="81"/>
      <c r="AC331" s="81"/>
      <c r="AD331" s="81"/>
      <c r="AE331" s="81"/>
      <c r="AF331" s="81"/>
      <c r="AG331" s="81"/>
      <c r="AH331" s="81"/>
      <c r="AI331" s="81"/>
      <c r="AJ331" s="81"/>
      <c r="AK331" s="81"/>
      <c r="AL331" s="81"/>
      <c r="AM331" s="81"/>
      <c r="AN331" s="81"/>
    </row>
    <row r="332" spans="1:40" ht="14.25" customHeight="1">
      <c r="A332" s="82">
        <v>90103</v>
      </c>
      <c r="B332" s="83" t="s">
        <v>31</v>
      </c>
      <c r="C332" s="83" t="s">
        <v>427</v>
      </c>
      <c r="D332" s="83" t="s">
        <v>430</v>
      </c>
      <c r="E332" s="103">
        <v>0</v>
      </c>
      <c r="F332" s="104">
        <v>74</v>
      </c>
      <c r="G332" s="84">
        <f t="shared" si="68"/>
        <v>0</v>
      </c>
      <c r="H332" s="85">
        <f t="shared" si="69"/>
        <v>0</v>
      </c>
      <c r="I332" s="84">
        <f t="shared" si="70"/>
        <v>2.1739130434782608E-2</v>
      </c>
      <c r="J332" s="86">
        <f t="shared" si="71"/>
        <v>2.152173913043478</v>
      </c>
      <c r="K332" s="86">
        <f t="shared" si="63"/>
        <v>0</v>
      </c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1"/>
      <c r="Y332" s="81"/>
      <c r="Z332" s="81"/>
      <c r="AA332" s="81"/>
      <c r="AB332" s="81"/>
      <c r="AC332" s="81"/>
      <c r="AD332" s="81"/>
      <c r="AE332" s="81"/>
      <c r="AF332" s="81"/>
      <c r="AG332" s="81"/>
      <c r="AH332" s="81"/>
      <c r="AI332" s="81"/>
      <c r="AJ332" s="81"/>
      <c r="AK332" s="81"/>
      <c r="AL332" s="81"/>
      <c r="AM332" s="81"/>
      <c r="AN332" s="81"/>
    </row>
    <row r="333" spans="1:40" ht="14.25" customHeight="1">
      <c r="A333" s="82">
        <v>90104</v>
      </c>
      <c r="B333" s="83" t="s">
        <v>31</v>
      </c>
      <c r="C333" s="83" t="s">
        <v>427</v>
      </c>
      <c r="D333" s="83" t="s">
        <v>431</v>
      </c>
      <c r="E333" s="103">
        <v>0</v>
      </c>
      <c r="F333" s="104">
        <v>115</v>
      </c>
      <c r="G333" s="84">
        <f t="shared" si="68"/>
        <v>0</v>
      </c>
      <c r="H333" s="85">
        <f t="shared" si="69"/>
        <v>0</v>
      </c>
      <c r="I333" s="84">
        <f t="shared" si="70"/>
        <v>3.3783783783783786E-2</v>
      </c>
      <c r="J333" s="86">
        <f t="shared" si="71"/>
        <v>3.3445945945945947</v>
      </c>
      <c r="K333" s="86">
        <f t="shared" si="63"/>
        <v>0</v>
      </c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1"/>
      <c r="Y333" s="81"/>
      <c r="Z333" s="81"/>
      <c r="AA333" s="81"/>
      <c r="AB333" s="81"/>
      <c r="AC333" s="81"/>
      <c r="AD333" s="81"/>
      <c r="AE333" s="81"/>
      <c r="AF333" s="81"/>
      <c r="AG333" s="81"/>
      <c r="AH333" s="81"/>
      <c r="AI333" s="81"/>
      <c r="AJ333" s="81"/>
      <c r="AK333" s="81"/>
      <c r="AL333" s="81"/>
      <c r="AM333" s="81"/>
      <c r="AN333" s="81"/>
    </row>
    <row r="334" spans="1:40" ht="14.25" customHeight="1">
      <c r="A334" s="82">
        <v>90201</v>
      </c>
      <c r="B334" s="83" t="s">
        <v>31</v>
      </c>
      <c r="C334" s="83" t="s">
        <v>432</v>
      </c>
      <c r="D334" s="83" t="s">
        <v>433</v>
      </c>
      <c r="E334" s="103">
        <v>0</v>
      </c>
      <c r="F334" s="104">
        <v>213</v>
      </c>
      <c r="G334" s="84">
        <f t="shared" si="68"/>
        <v>0</v>
      </c>
      <c r="H334" s="85">
        <f t="shared" si="69"/>
        <v>0</v>
      </c>
      <c r="I334" s="84">
        <f t="shared" si="70"/>
        <v>6.2573443008225621E-2</v>
      </c>
      <c r="J334" s="86">
        <f t="shared" si="71"/>
        <v>6.1947708578143361</v>
      </c>
      <c r="K334" s="86">
        <f t="shared" si="63"/>
        <v>0</v>
      </c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81"/>
      <c r="Y334" s="81"/>
      <c r="Z334" s="81"/>
      <c r="AA334" s="81"/>
      <c r="AB334" s="81"/>
      <c r="AC334" s="81"/>
      <c r="AD334" s="81"/>
      <c r="AE334" s="81"/>
      <c r="AF334" s="81"/>
      <c r="AG334" s="81"/>
      <c r="AH334" s="81"/>
      <c r="AI334" s="81"/>
      <c r="AJ334" s="81"/>
      <c r="AK334" s="81"/>
      <c r="AL334" s="81"/>
      <c r="AM334" s="81"/>
      <c r="AN334" s="81"/>
    </row>
    <row r="335" spans="1:40" ht="14.25" customHeight="1">
      <c r="A335" s="82">
        <v>90202</v>
      </c>
      <c r="B335" s="83" t="s">
        <v>31</v>
      </c>
      <c r="C335" s="83" t="s">
        <v>432</v>
      </c>
      <c r="D335" s="83" t="s">
        <v>382</v>
      </c>
      <c r="E335" s="103">
        <v>0</v>
      </c>
      <c r="F335" s="104">
        <v>68</v>
      </c>
      <c r="G335" s="84">
        <f t="shared" si="68"/>
        <v>0</v>
      </c>
      <c r="H335" s="85">
        <f t="shared" si="69"/>
        <v>0</v>
      </c>
      <c r="I335" s="84">
        <f t="shared" si="70"/>
        <v>1.9976498237367801E-2</v>
      </c>
      <c r="J335" s="86">
        <f t="shared" si="71"/>
        <v>1.9776733254994123</v>
      </c>
      <c r="K335" s="86">
        <f t="shared" si="63"/>
        <v>0</v>
      </c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1"/>
      <c r="Y335" s="81"/>
      <c r="Z335" s="81"/>
      <c r="AA335" s="81"/>
      <c r="AB335" s="81"/>
      <c r="AC335" s="81"/>
      <c r="AD335" s="81"/>
      <c r="AE335" s="81"/>
      <c r="AF335" s="81"/>
      <c r="AG335" s="81"/>
      <c r="AH335" s="81"/>
      <c r="AI335" s="81"/>
      <c r="AJ335" s="81"/>
      <c r="AK335" s="81"/>
      <c r="AL335" s="81"/>
      <c r="AM335" s="81"/>
      <c r="AN335" s="81"/>
    </row>
    <row r="336" spans="1:40" ht="14.25" customHeight="1">
      <c r="A336" s="82">
        <v>90203</v>
      </c>
      <c r="B336" s="83" t="s">
        <v>31</v>
      </c>
      <c r="C336" s="83" t="s">
        <v>432</v>
      </c>
      <c r="D336" s="83" t="s">
        <v>434</v>
      </c>
      <c r="E336" s="103">
        <v>0</v>
      </c>
      <c r="F336" s="104">
        <v>214</v>
      </c>
      <c r="G336" s="84">
        <f t="shared" si="68"/>
        <v>0</v>
      </c>
      <c r="H336" s="85">
        <f t="shared" si="69"/>
        <v>0</v>
      </c>
      <c r="I336" s="84">
        <f t="shared" si="70"/>
        <v>6.2867215041128091E-2</v>
      </c>
      <c r="J336" s="86">
        <f t="shared" si="71"/>
        <v>6.2238542890716806</v>
      </c>
      <c r="K336" s="86">
        <f t="shared" si="63"/>
        <v>0</v>
      </c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81"/>
      <c r="Y336" s="81"/>
      <c r="Z336" s="81"/>
      <c r="AA336" s="81"/>
      <c r="AB336" s="81"/>
      <c r="AC336" s="81"/>
      <c r="AD336" s="81"/>
      <c r="AE336" s="81"/>
      <c r="AF336" s="81"/>
      <c r="AG336" s="81"/>
      <c r="AH336" s="81"/>
      <c r="AI336" s="81"/>
      <c r="AJ336" s="81"/>
      <c r="AK336" s="81"/>
      <c r="AL336" s="81"/>
      <c r="AM336" s="81"/>
      <c r="AN336" s="81"/>
    </row>
    <row r="337" spans="1:40" ht="14.25" customHeight="1">
      <c r="A337" s="82">
        <v>90301</v>
      </c>
      <c r="B337" s="83" t="s">
        <v>31</v>
      </c>
      <c r="C337" s="83" t="s">
        <v>435</v>
      </c>
      <c r="D337" s="83" t="s">
        <v>436</v>
      </c>
      <c r="E337" s="103">
        <v>1</v>
      </c>
      <c r="F337" s="104">
        <v>218</v>
      </c>
      <c r="G337" s="84">
        <f t="shared" si="68"/>
        <v>6.6666666666666666E-2</v>
      </c>
      <c r="H337" s="85">
        <f t="shared" si="69"/>
        <v>0.2838</v>
      </c>
      <c r="I337" s="84">
        <f t="shared" si="70"/>
        <v>6.4042303172737958E-2</v>
      </c>
      <c r="J337" s="86">
        <f t="shared" si="71"/>
        <v>6.3401880141010576</v>
      </c>
      <c r="K337" s="86">
        <f t="shared" si="63"/>
        <v>44.762079510703366</v>
      </c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1"/>
      <c r="Y337" s="81"/>
      <c r="Z337" s="81"/>
      <c r="AA337" s="81"/>
      <c r="AB337" s="81"/>
      <c r="AC337" s="81"/>
      <c r="AD337" s="81"/>
      <c r="AE337" s="81"/>
      <c r="AF337" s="81"/>
      <c r="AG337" s="81"/>
      <c r="AH337" s="81"/>
      <c r="AI337" s="81"/>
      <c r="AJ337" s="81"/>
      <c r="AK337" s="81"/>
      <c r="AL337" s="81"/>
      <c r="AM337" s="81"/>
      <c r="AN337" s="81"/>
    </row>
    <row r="338" spans="1:40" ht="14.25" customHeight="1">
      <c r="A338" s="82">
        <v>90302</v>
      </c>
      <c r="B338" s="83" t="s">
        <v>31</v>
      </c>
      <c r="C338" s="83" t="s">
        <v>435</v>
      </c>
      <c r="D338" s="83" t="s">
        <v>437</v>
      </c>
      <c r="E338" s="103">
        <v>0</v>
      </c>
      <c r="F338" s="104">
        <v>286</v>
      </c>
      <c r="G338" s="84">
        <f t="shared" si="68"/>
        <v>0</v>
      </c>
      <c r="H338" s="85">
        <f t="shared" si="69"/>
        <v>0</v>
      </c>
      <c r="I338" s="84">
        <f t="shared" si="70"/>
        <v>8.4018801410105759E-2</v>
      </c>
      <c r="J338" s="86">
        <f t="shared" si="71"/>
        <v>8.3178613396004693</v>
      </c>
      <c r="K338" s="86">
        <f t="shared" si="63"/>
        <v>0</v>
      </c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81"/>
      <c r="Y338" s="81"/>
      <c r="Z338" s="81"/>
      <c r="AA338" s="81"/>
      <c r="AB338" s="81"/>
      <c r="AC338" s="81"/>
      <c r="AD338" s="81"/>
      <c r="AE338" s="81"/>
      <c r="AF338" s="81"/>
      <c r="AG338" s="81"/>
      <c r="AH338" s="81"/>
      <c r="AI338" s="81"/>
      <c r="AJ338" s="81"/>
      <c r="AK338" s="81"/>
      <c r="AL338" s="81"/>
      <c r="AM338" s="81"/>
      <c r="AN338" s="81"/>
    </row>
    <row r="339" spans="1:40" ht="14.25" customHeight="1">
      <c r="A339" s="82">
        <v>90303</v>
      </c>
      <c r="B339" s="83" t="s">
        <v>31</v>
      </c>
      <c r="C339" s="83" t="s">
        <v>435</v>
      </c>
      <c r="D339" s="83" t="s">
        <v>438</v>
      </c>
      <c r="E339" s="103">
        <v>2</v>
      </c>
      <c r="F339" s="104">
        <v>312</v>
      </c>
      <c r="G339" s="84">
        <f t="shared" si="68"/>
        <v>0.13333333333333333</v>
      </c>
      <c r="H339" s="85">
        <f t="shared" si="69"/>
        <v>0.56759999999999999</v>
      </c>
      <c r="I339" s="84">
        <f t="shared" si="70"/>
        <v>9.1656874265569913E-2</v>
      </c>
      <c r="J339" s="86">
        <f t="shared" si="71"/>
        <v>9.074030552291422</v>
      </c>
      <c r="K339" s="86">
        <f t="shared" si="63"/>
        <v>62.552136752136754</v>
      </c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1"/>
      <c r="Y339" s="81"/>
      <c r="Z339" s="81"/>
      <c r="AA339" s="81"/>
      <c r="AB339" s="81"/>
      <c r="AC339" s="81"/>
      <c r="AD339" s="81"/>
      <c r="AE339" s="81"/>
      <c r="AF339" s="81"/>
      <c r="AG339" s="81"/>
      <c r="AH339" s="81"/>
      <c r="AI339" s="81"/>
      <c r="AJ339" s="81"/>
      <c r="AK339" s="81"/>
      <c r="AL339" s="81"/>
      <c r="AM339" s="81"/>
      <c r="AN339" s="81"/>
    </row>
    <row r="340" spans="1:40" ht="14.25" customHeight="1">
      <c r="A340" s="82">
        <v>90401</v>
      </c>
      <c r="B340" s="83" t="s">
        <v>31</v>
      </c>
      <c r="C340" s="83" t="s">
        <v>439</v>
      </c>
      <c r="D340" s="83" t="s">
        <v>440</v>
      </c>
      <c r="E340" s="103">
        <v>0</v>
      </c>
      <c r="F340" s="104">
        <v>72</v>
      </c>
      <c r="G340" s="84">
        <f t="shared" si="68"/>
        <v>0</v>
      </c>
      <c r="H340" s="85">
        <f t="shared" si="69"/>
        <v>0</v>
      </c>
      <c r="I340" s="84">
        <f t="shared" si="70"/>
        <v>2.1151586368977675E-2</v>
      </c>
      <c r="J340" s="86">
        <f t="shared" si="71"/>
        <v>2.09400705052879</v>
      </c>
      <c r="K340" s="86">
        <f t="shared" si="63"/>
        <v>0</v>
      </c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81"/>
      <c r="Y340" s="81"/>
      <c r="Z340" s="81"/>
      <c r="AA340" s="81"/>
      <c r="AB340" s="81"/>
      <c r="AC340" s="81"/>
      <c r="AD340" s="81"/>
      <c r="AE340" s="81"/>
      <c r="AF340" s="81"/>
      <c r="AG340" s="81"/>
      <c r="AH340" s="81"/>
      <c r="AI340" s="81"/>
      <c r="AJ340" s="81"/>
      <c r="AK340" s="81"/>
      <c r="AL340" s="81"/>
      <c r="AM340" s="81"/>
      <c r="AN340" s="81"/>
    </row>
    <row r="341" spans="1:40" ht="14.25" customHeight="1">
      <c r="A341" s="82">
        <v>90402</v>
      </c>
      <c r="B341" s="83" t="s">
        <v>31</v>
      </c>
      <c r="C341" s="83" t="s">
        <v>439</v>
      </c>
      <c r="D341" s="83" t="s">
        <v>102</v>
      </c>
      <c r="E341" s="103">
        <v>1</v>
      </c>
      <c r="F341" s="104">
        <v>51</v>
      </c>
      <c r="G341" s="84">
        <f t="shared" si="68"/>
        <v>6.6666666666666666E-2</v>
      </c>
      <c r="H341" s="85">
        <f t="shared" si="69"/>
        <v>0.2838</v>
      </c>
      <c r="I341" s="84">
        <f t="shared" si="70"/>
        <v>1.4982373678025853E-2</v>
      </c>
      <c r="J341" s="86">
        <f t="shared" si="71"/>
        <v>1.4832549941245594</v>
      </c>
      <c r="K341" s="86">
        <f t="shared" si="63"/>
        <v>191.33594771241829</v>
      </c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1"/>
      <c r="Y341" s="81"/>
      <c r="Z341" s="81"/>
      <c r="AA341" s="81"/>
      <c r="AB341" s="81"/>
      <c r="AC341" s="81"/>
      <c r="AD341" s="81"/>
      <c r="AE341" s="81"/>
      <c r="AF341" s="81"/>
      <c r="AG341" s="81"/>
      <c r="AH341" s="81"/>
      <c r="AI341" s="81"/>
      <c r="AJ341" s="81"/>
      <c r="AK341" s="81"/>
      <c r="AL341" s="81"/>
      <c r="AM341" s="81"/>
      <c r="AN341" s="81"/>
    </row>
    <row r="342" spans="1:40" ht="14.25" customHeight="1">
      <c r="A342" s="82">
        <v>90501</v>
      </c>
      <c r="B342" s="83" t="s">
        <v>31</v>
      </c>
      <c r="C342" s="83" t="s">
        <v>441</v>
      </c>
      <c r="D342" s="83" t="s">
        <v>442</v>
      </c>
      <c r="E342" s="103">
        <v>2</v>
      </c>
      <c r="F342" s="104">
        <v>57</v>
      </c>
      <c r="G342" s="84">
        <f t="shared" si="68"/>
        <v>0.13333333333333333</v>
      </c>
      <c r="H342" s="85">
        <f t="shared" si="69"/>
        <v>0.56759999999999999</v>
      </c>
      <c r="I342" s="84">
        <f t="shared" si="70"/>
        <v>1.6745005875440658E-2</v>
      </c>
      <c r="J342" s="86">
        <f t="shared" si="71"/>
        <v>1.6577555816686251</v>
      </c>
      <c r="K342" s="86">
        <f t="shared" si="63"/>
        <v>342.3906432748538</v>
      </c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81"/>
      <c r="Y342" s="81"/>
      <c r="Z342" s="81"/>
      <c r="AA342" s="81"/>
      <c r="AB342" s="81"/>
      <c r="AC342" s="81"/>
      <c r="AD342" s="81"/>
      <c r="AE342" s="81"/>
      <c r="AF342" s="81"/>
      <c r="AG342" s="81"/>
      <c r="AH342" s="81"/>
      <c r="AI342" s="81"/>
      <c r="AJ342" s="81"/>
      <c r="AK342" s="81"/>
      <c r="AL342" s="81"/>
      <c r="AM342" s="81"/>
      <c r="AN342" s="81"/>
    </row>
    <row r="343" spans="1:40" ht="14.25" customHeight="1">
      <c r="A343" s="82">
        <v>90502</v>
      </c>
      <c r="B343" s="83" t="s">
        <v>31</v>
      </c>
      <c r="C343" s="83" t="s">
        <v>441</v>
      </c>
      <c r="D343" s="83" t="s">
        <v>443</v>
      </c>
      <c r="E343" s="103">
        <v>2</v>
      </c>
      <c r="F343" s="104">
        <v>92</v>
      </c>
      <c r="G343" s="84">
        <f t="shared" si="68"/>
        <v>0.13333333333333333</v>
      </c>
      <c r="H343" s="85">
        <f t="shared" si="69"/>
        <v>0.56759999999999999</v>
      </c>
      <c r="I343" s="84">
        <f t="shared" si="70"/>
        <v>2.7027027027027029E-2</v>
      </c>
      <c r="J343" s="86">
        <f t="shared" si="71"/>
        <v>2.6756756756756759</v>
      </c>
      <c r="K343" s="86">
        <f t="shared" si="63"/>
        <v>212.13333333333333</v>
      </c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1"/>
      <c r="Y343" s="81"/>
      <c r="Z343" s="81"/>
      <c r="AA343" s="81"/>
      <c r="AB343" s="81"/>
      <c r="AC343" s="81"/>
      <c r="AD343" s="81"/>
      <c r="AE343" s="81"/>
      <c r="AF343" s="81"/>
      <c r="AG343" s="81"/>
      <c r="AH343" s="81"/>
      <c r="AI343" s="81"/>
      <c r="AJ343" s="81"/>
      <c r="AK343" s="81"/>
      <c r="AL343" s="81"/>
      <c r="AM343" s="81"/>
      <c r="AN343" s="81"/>
    </row>
    <row r="344" spans="1:40" ht="14.25" customHeight="1">
      <c r="A344" s="82">
        <v>90503</v>
      </c>
      <c r="B344" s="83" t="s">
        <v>31</v>
      </c>
      <c r="C344" s="83" t="s">
        <v>441</v>
      </c>
      <c r="D344" s="83" t="s">
        <v>444</v>
      </c>
      <c r="E344" s="109">
        <v>0</v>
      </c>
      <c r="F344" s="110">
        <v>78</v>
      </c>
      <c r="G344" s="84">
        <f t="shared" si="68"/>
        <v>0</v>
      </c>
      <c r="H344" s="85">
        <f t="shared" si="69"/>
        <v>0</v>
      </c>
      <c r="I344" s="84">
        <f t="shared" si="70"/>
        <v>2.2914218566392478E-2</v>
      </c>
      <c r="J344" s="86">
        <f t="shared" si="71"/>
        <v>2.2685076380728555</v>
      </c>
      <c r="K344" s="86">
        <f t="shared" si="63"/>
        <v>0</v>
      </c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81"/>
      <c r="Y344" s="81"/>
      <c r="Z344" s="81"/>
      <c r="AA344" s="81"/>
      <c r="AB344" s="81"/>
      <c r="AC344" s="81"/>
      <c r="AD344" s="81"/>
      <c r="AE344" s="81"/>
      <c r="AF344" s="81"/>
      <c r="AG344" s="81"/>
      <c r="AH344" s="81"/>
      <c r="AI344" s="81"/>
      <c r="AJ344" s="81"/>
      <c r="AK344" s="81"/>
      <c r="AL344" s="81"/>
      <c r="AM344" s="81"/>
      <c r="AN344" s="81"/>
    </row>
    <row r="345" spans="1:40" ht="14.25" customHeight="1">
      <c r="D345" s="81"/>
      <c r="E345" s="81"/>
      <c r="F345" s="81"/>
      <c r="G345" s="81"/>
      <c r="H345" s="81"/>
      <c r="I345" s="81"/>
      <c r="J345" s="81"/>
      <c r="K345" s="81"/>
      <c r="L345" s="81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1"/>
      <c r="Y345" s="81"/>
      <c r="Z345" s="81"/>
      <c r="AA345" s="81"/>
      <c r="AB345" s="81"/>
      <c r="AC345" s="81"/>
      <c r="AD345" s="81"/>
      <c r="AE345" s="81"/>
      <c r="AF345" s="81"/>
      <c r="AG345" s="81"/>
      <c r="AH345" s="81"/>
    </row>
    <row r="346" spans="1:40" ht="14.25" customHeight="1"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81"/>
      <c r="Y346" s="81"/>
      <c r="Z346" s="81"/>
      <c r="AA346" s="81"/>
      <c r="AB346" s="81"/>
      <c r="AC346" s="81"/>
      <c r="AD346" s="81"/>
      <c r="AE346" s="81"/>
      <c r="AF346" s="81"/>
      <c r="AG346" s="81"/>
      <c r="AH346" s="81"/>
    </row>
    <row r="347" spans="1:40" ht="14.25" customHeight="1">
      <c r="D347" s="81"/>
      <c r="E347" s="81"/>
      <c r="F347" s="81"/>
      <c r="G347" s="81"/>
      <c r="H347" s="81"/>
      <c r="I347" s="81"/>
      <c r="J347" s="81"/>
      <c r="K347" s="81"/>
      <c r="L347" s="81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1"/>
      <c r="Y347" s="81"/>
      <c r="Z347" s="81"/>
      <c r="AA347" s="81"/>
      <c r="AB347" s="81"/>
      <c r="AC347" s="81"/>
      <c r="AD347" s="81"/>
      <c r="AE347" s="81"/>
      <c r="AF347" s="81"/>
      <c r="AG347" s="81"/>
      <c r="AH347" s="81"/>
    </row>
    <row r="348" spans="1:40" ht="14.25" customHeight="1">
      <c r="D348" s="81"/>
      <c r="E348" s="81"/>
      <c r="F348" s="81"/>
      <c r="G348" s="81"/>
      <c r="H348" s="81"/>
      <c r="I348" s="81"/>
      <c r="J348" s="81"/>
      <c r="K348" s="81"/>
      <c r="L348" s="81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81"/>
      <c r="Y348" s="81"/>
      <c r="Z348" s="81"/>
      <c r="AA348" s="81"/>
      <c r="AB348" s="81"/>
      <c r="AC348" s="81"/>
      <c r="AD348" s="81"/>
      <c r="AE348" s="81"/>
      <c r="AF348" s="81"/>
      <c r="AG348" s="81"/>
      <c r="AH348" s="81"/>
    </row>
    <row r="349" spans="1:40" ht="14.25" customHeight="1">
      <c r="D349" s="81"/>
      <c r="E349" s="81"/>
      <c r="F349" s="81"/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1"/>
      <c r="Y349" s="81"/>
      <c r="Z349" s="81"/>
      <c r="AA349" s="81"/>
      <c r="AB349" s="81"/>
      <c r="AC349" s="81"/>
      <c r="AD349" s="81"/>
      <c r="AE349" s="81"/>
      <c r="AF349" s="81"/>
      <c r="AG349" s="81"/>
      <c r="AH349" s="81"/>
    </row>
    <row r="350" spans="1:40" ht="14.25" customHeight="1"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81"/>
      <c r="Y350" s="81"/>
      <c r="Z350" s="81"/>
      <c r="AA350" s="81"/>
      <c r="AB350" s="81"/>
      <c r="AC350" s="81"/>
      <c r="AD350" s="81"/>
      <c r="AE350" s="81"/>
      <c r="AF350" s="81"/>
      <c r="AG350" s="81"/>
      <c r="AH350" s="81"/>
    </row>
    <row r="351" spans="1:40" ht="14.25" customHeight="1">
      <c r="D351" s="81"/>
      <c r="E351" s="81"/>
      <c r="F351" s="81"/>
      <c r="G351" s="81"/>
      <c r="H351" s="81"/>
      <c r="I351" s="81"/>
      <c r="J351" s="81"/>
      <c r="K351" s="81"/>
      <c r="L351" s="81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1"/>
      <c r="Y351" s="81"/>
      <c r="Z351" s="81"/>
      <c r="AA351" s="81"/>
      <c r="AB351" s="81"/>
      <c r="AC351" s="81"/>
      <c r="AD351" s="81"/>
      <c r="AE351" s="81"/>
      <c r="AF351" s="81"/>
      <c r="AG351" s="81"/>
      <c r="AH351" s="81"/>
    </row>
    <row r="352" spans="1:40" ht="14.25" customHeight="1">
      <c r="D352" s="81"/>
      <c r="E352" s="81"/>
      <c r="F352" s="81"/>
      <c r="G352" s="81"/>
      <c r="H352" s="81"/>
      <c r="I352" s="81"/>
      <c r="J352" s="81"/>
      <c r="K352" s="81"/>
      <c r="L352" s="81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81"/>
      <c r="Y352" s="81"/>
      <c r="Z352" s="81"/>
      <c r="AA352" s="81"/>
      <c r="AB352" s="81"/>
      <c r="AC352" s="81"/>
      <c r="AD352" s="81"/>
      <c r="AE352" s="81"/>
      <c r="AF352" s="81"/>
      <c r="AG352" s="81"/>
      <c r="AH352" s="81"/>
    </row>
    <row r="353" spans="4:34" ht="14.25" customHeight="1">
      <c r="D353" s="81"/>
      <c r="E353" s="81"/>
      <c r="F353" s="81"/>
      <c r="G353" s="81"/>
      <c r="H353" s="81"/>
      <c r="I353" s="81"/>
      <c r="J353" s="81"/>
      <c r="K353" s="81"/>
      <c r="L353" s="81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1"/>
      <c r="Y353" s="81"/>
      <c r="Z353" s="81"/>
      <c r="AA353" s="81"/>
      <c r="AB353" s="81"/>
      <c r="AC353" s="81"/>
      <c r="AD353" s="81"/>
      <c r="AE353" s="81"/>
      <c r="AF353" s="81"/>
      <c r="AG353" s="81"/>
      <c r="AH353" s="81"/>
    </row>
    <row r="354" spans="4:34" ht="14.25" customHeight="1"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81"/>
      <c r="Y354" s="81"/>
      <c r="Z354" s="81"/>
      <c r="AA354" s="81"/>
      <c r="AB354" s="81"/>
      <c r="AC354" s="81"/>
      <c r="AD354" s="81"/>
      <c r="AE354" s="81"/>
      <c r="AF354" s="81"/>
      <c r="AG354" s="81"/>
      <c r="AH354" s="81"/>
    </row>
    <row r="355" spans="4:34" ht="14.25" customHeight="1">
      <c r="D355" s="81"/>
      <c r="E355" s="81"/>
      <c r="F355" s="81"/>
      <c r="G355" s="81"/>
      <c r="H355" s="81"/>
      <c r="I355" s="81"/>
      <c r="J355" s="81"/>
      <c r="K355" s="81"/>
      <c r="L355" s="81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1"/>
      <c r="Y355" s="81"/>
      <c r="Z355" s="81"/>
      <c r="AA355" s="81"/>
      <c r="AB355" s="81"/>
      <c r="AC355" s="81"/>
      <c r="AD355" s="81"/>
      <c r="AE355" s="81"/>
      <c r="AF355" s="81"/>
      <c r="AG355" s="81"/>
      <c r="AH355" s="81"/>
    </row>
    <row r="356" spans="4:34" ht="14.25" customHeight="1">
      <c r="D356" s="81"/>
      <c r="E356" s="81"/>
      <c r="F356" s="81"/>
      <c r="G356" s="81"/>
      <c r="H356" s="81"/>
      <c r="I356" s="81"/>
      <c r="J356" s="81"/>
      <c r="K356" s="81"/>
      <c r="L356" s="81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81"/>
      <c r="Y356" s="81"/>
      <c r="Z356" s="81"/>
      <c r="AA356" s="81"/>
      <c r="AB356" s="81"/>
      <c r="AC356" s="81"/>
      <c r="AD356" s="81"/>
      <c r="AE356" s="81"/>
      <c r="AF356" s="81"/>
      <c r="AG356" s="81"/>
      <c r="AH356" s="81"/>
    </row>
    <row r="357" spans="4:34" ht="14.25" customHeight="1">
      <c r="D357" s="81"/>
      <c r="E357" s="81"/>
      <c r="F357" s="81"/>
      <c r="G357" s="81"/>
      <c r="H357" s="81"/>
      <c r="I357" s="81"/>
      <c r="J357" s="81"/>
      <c r="K357" s="81"/>
      <c r="L357" s="81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1"/>
      <c r="Y357" s="81"/>
      <c r="Z357" s="81"/>
      <c r="AA357" s="81"/>
      <c r="AB357" s="81"/>
      <c r="AC357" s="81"/>
      <c r="AD357" s="81"/>
      <c r="AE357" s="81"/>
      <c r="AF357" s="81"/>
      <c r="AG357" s="81"/>
      <c r="AH357" s="81"/>
    </row>
    <row r="358" spans="4:34" ht="14.25" customHeight="1"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1"/>
      <c r="Y358" s="81"/>
      <c r="Z358" s="81"/>
      <c r="AA358" s="81"/>
      <c r="AB358" s="81"/>
      <c r="AC358" s="81"/>
      <c r="AD358" s="81"/>
      <c r="AE358" s="81"/>
      <c r="AF358" s="81"/>
      <c r="AG358" s="81"/>
      <c r="AH358" s="81"/>
    </row>
    <row r="359" spans="4:34" ht="14.25" customHeight="1">
      <c r="D359" s="81"/>
      <c r="E359" s="81"/>
      <c r="F359" s="81"/>
      <c r="G359" s="81"/>
      <c r="H359" s="81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1"/>
      <c r="Y359" s="81"/>
      <c r="Z359" s="81"/>
      <c r="AA359" s="81"/>
      <c r="AB359" s="81"/>
      <c r="AC359" s="81"/>
      <c r="AD359" s="81"/>
      <c r="AE359" s="81"/>
      <c r="AF359" s="81"/>
      <c r="AG359" s="81"/>
      <c r="AH359" s="81"/>
    </row>
    <row r="360" spans="4:34" ht="14.25" customHeight="1">
      <c r="D360" s="81"/>
      <c r="E360" s="81"/>
      <c r="F360" s="81"/>
      <c r="G360" s="81"/>
      <c r="H360" s="81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1"/>
      <c r="Y360" s="81"/>
      <c r="Z360" s="81"/>
      <c r="AA360" s="81"/>
      <c r="AB360" s="81"/>
      <c r="AC360" s="81"/>
      <c r="AD360" s="81"/>
      <c r="AE360" s="81"/>
      <c r="AF360" s="81"/>
      <c r="AG360" s="81"/>
      <c r="AH360" s="81"/>
    </row>
    <row r="361" spans="4:34" ht="14.25" customHeight="1">
      <c r="D361" s="81"/>
      <c r="E361" s="81"/>
      <c r="F361" s="81"/>
      <c r="G361" s="81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1"/>
      <c r="Y361" s="81"/>
      <c r="Z361" s="81"/>
      <c r="AA361" s="81"/>
      <c r="AB361" s="81"/>
      <c r="AC361" s="81"/>
      <c r="AD361" s="81"/>
      <c r="AE361" s="81"/>
      <c r="AF361" s="81"/>
      <c r="AG361" s="81"/>
      <c r="AH361" s="81"/>
    </row>
    <row r="362" spans="4:34" ht="14.25" customHeight="1"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1"/>
      <c r="Y362" s="81"/>
      <c r="Z362" s="81"/>
      <c r="AA362" s="81"/>
      <c r="AB362" s="81"/>
      <c r="AC362" s="81"/>
      <c r="AD362" s="81"/>
      <c r="AE362" s="81"/>
      <c r="AF362" s="81"/>
      <c r="AG362" s="81"/>
      <c r="AH362" s="81"/>
    </row>
    <row r="363" spans="4:34" ht="14.25" customHeight="1">
      <c r="D363" s="81"/>
      <c r="E363" s="81"/>
      <c r="F363" s="81"/>
      <c r="G363" s="81"/>
      <c r="H363" s="81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1"/>
      <c r="Y363" s="81"/>
      <c r="Z363" s="81"/>
      <c r="AA363" s="81"/>
      <c r="AB363" s="81"/>
      <c r="AC363" s="81"/>
      <c r="AD363" s="81"/>
      <c r="AE363" s="81"/>
      <c r="AF363" s="81"/>
      <c r="AG363" s="81"/>
      <c r="AH363" s="81"/>
    </row>
    <row r="364" spans="4:34" ht="14.25" customHeight="1">
      <c r="D364" s="81"/>
      <c r="E364" s="81"/>
      <c r="F364" s="81"/>
      <c r="G364" s="81"/>
      <c r="H364" s="81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1"/>
      <c r="Y364" s="81"/>
      <c r="Z364" s="81"/>
      <c r="AA364" s="81"/>
      <c r="AB364" s="81"/>
      <c r="AC364" s="81"/>
      <c r="AD364" s="81"/>
      <c r="AE364" s="81"/>
      <c r="AF364" s="81"/>
      <c r="AG364" s="81"/>
      <c r="AH364" s="81"/>
    </row>
    <row r="365" spans="4:34" ht="14.25" customHeight="1">
      <c r="D365" s="81"/>
      <c r="E365" s="81"/>
      <c r="F365" s="81"/>
      <c r="G365" s="81"/>
      <c r="H365" s="81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1"/>
      <c r="Y365" s="81"/>
      <c r="Z365" s="81"/>
      <c r="AA365" s="81"/>
      <c r="AB365" s="81"/>
      <c r="AC365" s="81"/>
      <c r="AD365" s="81"/>
      <c r="AE365" s="81"/>
      <c r="AF365" s="81"/>
      <c r="AG365" s="81"/>
      <c r="AH365" s="81"/>
    </row>
    <row r="366" spans="4:34" ht="14.25" customHeight="1"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1"/>
      <c r="Y366" s="81"/>
      <c r="Z366" s="81"/>
      <c r="AA366" s="81"/>
      <c r="AB366" s="81"/>
      <c r="AC366" s="81"/>
      <c r="AD366" s="81"/>
      <c r="AE366" s="81"/>
      <c r="AF366" s="81"/>
      <c r="AG366" s="81"/>
      <c r="AH366" s="81"/>
    </row>
    <row r="367" spans="4:34" ht="14.25" customHeight="1">
      <c r="D367" s="81"/>
      <c r="E367" s="81"/>
      <c r="F367" s="81"/>
      <c r="G367" s="81"/>
      <c r="H367" s="81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1"/>
      <c r="Y367" s="81"/>
      <c r="Z367" s="81"/>
      <c r="AA367" s="81"/>
      <c r="AB367" s="81"/>
      <c r="AC367" s="81"/>
      <c r="AD367" s="81"/>
      <c r="AE367" s="81"/>
      <c r="AF367" s="81"/>
      <c r="AG367" s="81"/>
      <c r="AH367" s="81"/>
    </row>
    <row r="368" spans="4:34" ht="14.25" customHeight="1">
      <c r="D368" s="81"/>
      <c r="E368" s="81"/>
      <c r="F368" s="81"/>
      <c r="G368" s="81"/>
      <c r="H368" s="81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1"/>
      <c r="Y368" s="81"/>
      <c r="Z368" s="81"/>
      <c r="AA368" s="81"/>
      <c r="AB368" s="81"/>
      <c r="AC368" s="81"/>
      <c r="AD368" s="81"/>
      <c r="AE368" s="81"/>
      <c r="AF368" s="81"/>
      <c r="AG368" s="81"/>
      <c r="AH368" s="81"/>
    </row>
    <row r="369" spans="4:34" ht="14.25" customHeight="1">
      <c r="D369" s="81"/>
      <c r="E369" s="81"/>
      <c r="F369" s="81"/>
      <c r="G369" s="81"/>
      <c r="H369" s="81"/>
      <c r="I369" s="81"/>
      <c r="J369" s="81"/>
      <c r="K369" s="81"/>
      <c r="L369" s="81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1"/>
      <c r="Y369" s="81"/>
      <c r="Z369" s="81"/>
      <c r="AA369" s="81"/>
      <c r="AB369" s="81"/>
      <c r="AC369" s="81"/>
      <c r="AD369" s="81"/>
      <c r="AE369" s="81"/>
      <c r="AF369" s="81"/>
      <c r="AG369" s="81"/>
      <c r="AH369" s="81"/>
    </row>
    <row r="370" spans="4:34" ht="14.25" customHeight="1"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81"/>
      <c r="Y370" s="81"/>
      <c r="Z370" s="81"/>
      <c r="AA370" s="81"/>
      <c r="AB370" s="81"/>
      <c r="AC370" s="81"/>
      <c r="AD370" s="81"/>
      <c r="AE370" s="81"/>
      <c r="AF370" s="81"/>
      <c r="AG370" s="81"/>
      <c r="AH370" s="81"/>
    </row>
    <row r="371" spans="4:34" ht="14.25" customHeight="1">
      <c r="D371" s="81"/>
      <c r="E371" s="81"/>
      <c r="F371" s="81"/>
      <c r="G371" s="81"/>
      <c r="H371" s="81"/>
      <c r="I371" s="81"/>
      <c r="J371" s="81"/>
      <c r="K371" s="81"/>
      <c r="L371" s="81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1"/>
      <c r="Y371" s="81"/>
      <c r="Z371" s="81"/>
      <c r="AA371" s="81"/>
      <c r="AB371" s="81"/>
      <c r="AC371" s="81"/>
      <c r="AD371" s="81"/>
      <c r="AE371" s="81"/>
      <c r="AF371" s="81"/>
      <c r="AG371" s="81"/>
      <c r="AH371" s="81"/>
    </row>
    <row r="372" spans="4:34" ht="14.25" customHeight="1">
      <c r="D372" s="81"/>
      <c r="E372" s="81"/>
      <c r="F372" s="81"/>
      <c r="G372" s="81"/>
      <c r="H372" s="81"/>
      <c r="I372" s="81"/>
      <c r="J372" s="81"/>
      <c r="K372" s="81"/>
      <c r="L372" s="81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81"/>
      <c r="Y372" s="81"/>
      <c r="Z372" s="81"/>
      <c r="AA372" s="81"/>
      <c r="AB372" s="81"/>
      <c r="AC372" s="81"/>
      <c r="AD372" s="81"/>
      <c r="AE372" s="81"/>
      <c r="AF372" s="81"/>
      <c r="AG372" s="81"/>
      <c r="AH372" s="81"/>
    </row>
    <row r="373" spans="4:34" ht="14.25" customHeight="1">
      <c r="D373" s="81"/>
      <c r="E373" s="81"/>
      <c r="F373" s="81"/>
      <c r="G373" s="81"/>
      <c r="H373" s="81"/>
      <c r="I373" s="81"/>
      <c r="J373" s="81"/>
      <c r="K373" s="81"/>
      <c r="L373" s="81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1"/>
      <c r="Y373" s="81"/>
      <c r="Z373" s="81"/>
      <c r="AA373" s="81"/>
      <c r="AB373" s="81"/>
      <c r="AC373" s="81"/>
      <c r="AD373" s="81"/>
      <c r="AE373" s="81"/>
      <c r="AF373" s="81"/>
      <c r="AG373" s="81"/>
      <c r="AH373" s="81"/>
    </row>
    <row r="374" spans="4:34" ht="14.25" customHeight="1"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81"/>
      <c r="Y374" s="81"/>
      <c r="Z374" s="81"/>
      <c r="AA374" s="81"/>
      <c r="AB374" s="81"/>
      <c r="AC374" s="81"/>
      <c r="AD374" s="81"/>
      <c r="AE374" s="81"/>
      <c r="AF374" s="81"/>
      <c r="AG374" s="81"/>
      <c r="AH374" s="81"/>
    </row>
    <row r="375" spans="4:34" ht="14.25" customHeight="1">
      <c r="D375" s="81"/>
      <c r="E375" s="81"/>
      <c r="F375" s="81"/>
      <c r="G375" s="81"/>
      <c r="H375" s="81"/>
      <c r="I375" s="81"/>
      <c r="J375" s="81"/>
      <c r="K375" s="81"/>
      <c r="L375" s="81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1"/>
      <c r="Y375" s="81"/>
      <c r="Z375" s="81"/>
      <c r="AA375" s="81"/>
      <c r="AB375" s="81"/>
      <c r="AC375" s="81"/>
      <c r="AD375" s="81"/>
      <c r="AE375" s="81"/>
      <c r="AF375" s="81"/>
      <c r="AG375" s="81"/>
      <c r="AH375" s="81"/>
    </row>
    <row r="376" spans="4:34" ht="14.25" customHeight="1">
      <c r="D376" s="81"/>
      <c r="E376" s="81"/>
      <c r="F376" s="81"/>
      <c r="G376" s="81"/>
      <c r="H376" s="81"/>
      <c r="I376" s="81"/>
      <c r="J376" s="81"/>
      <c r="K376" s="81"/>
      <c r="L376" s="81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81"/>
      <c r="Y376" s="81"/>
      <c r="Z376" s="81"/>
      <c r="AA376" s="81"/>
      <c r="AB376" s="81"/>
      <c r="AC376" s="81"/>
      <c r="AD376" s="81"/>
      <c r="AE376" s="81"/>
      <c r="AF376" s="81"/>
      <c r="AG376" s="81"/>
      <c r="AH376" s="81"/>
    </row>
    <row r="377" spans="4:34" ht="14.25" customHeight="1">
      <c r="D377" s="81"/>
      <c r="E377" s="81"/>
      <c r="F377" s="81"/>
      <c r="G377" s="81"/>
      <c r="H377" s="81"/>
      <c r="I377" s="81"/>
      <c r="J377" s="81"/>
      <c r="K377" s="81"/>
      <c r="L377" s="81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1"/>
      <c r="Y377" s="81"/>
      <c r="Z377" s="81"/>
      <c r="AA377" s="81"/>
      <c r="AB377" s="81"/>
      <c r="AC377" s="81"/>
      <c r="AD377" s="81"/>
      <c r="AE377" s="81"/>
      <c r="AF377" s="81"/>
      <c r="AG377" s="81"/>
      <c r="AH377" s="81"/>
    </row>
    <row r="378" spans="4:34" ht="14.25" customHeight="1"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1"/>
      <c r="Y378" s="81"/>
      <c r="Z378" s="81"/>
      <c r="AA378" s="81"/>
      <c r="AB378" s="81"/>
      <c r="AC378" s="81"/>
      <c r="AD378" s="81"/>
      <c r="AE378" s="81"/>
      <c r="AF378" s="81"/>
      <c r="AG378" s="81"/>
      <c r="AH378" s="81"/>
    </row>
    <row r="379" spans="4:34" ht="14.25" customHeight="1">
      <c r="D379" s="81"/>
      <c r="E379" s="81"/>
      <c r="F379" s="81"/>
      <c r="G379" s="81"/>
      <c r="H379" s="81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1"/>
      <c r="Y379" s="81"/>
      <c r="Z379" s="81"/>
      <c r="AA379" s="81"/>
      <c r="AB379" s="81"/>
      <c r="AC379" s="81"/>
      <c r="AD379" s="81"/>
      <c r="AE379" s="81"/>
      <c r="AF379" s="81"/>
      <c r="AG379" s="81"/>
      <c r="AH379" s="81"/>
    </row>
    <row r="380" spans="4:34" ht="14.25" customHeight="1">
      <c r="D380" s="81"/>
      <c r="E380" s="81"/>
      <c r="F380" s="81"/>
      <c r="G380" s="81"/>
      <c r="H380" s="81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1"/>
      <c r="Y380" s="81"/>
      <c r="Z380" s="81"/>
      <c r="AA380" s="81"/>
      <c r="AB380" s="81"/>
      <c r="AC380" s="81"/>
      <c r="AD380" s="81"/>
      <c r="AE380" s="81"/>
      <c r="AF380" s="81"/>
      <c r="AG380" s="81"/>
      <c r="AH380" s="81"/>
    </row>
    <row r="381" spans="4:34" ht="14.25" customHeight="1">
      <c r="D381" s="81"/>
      <c r="E381" s="81"/>
      <c r="F381" s="81"/>
      <c r="G381" s="81"/>
      <c r="H381" s="81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1"/>
      <c r="Y381" s="81"/>
      <c r="Z381" s="81"/>
      <c r="AA381" s="81"/>
      <c r="AB381" s="81"/>
      <c r="AC381" s="81"/>
      <c r="AD381" s="81"/>
      <c r="AE381" s="81"/>
      <c r="AF381" s="81"/>
      <c r="AG381" s="81"/>
      <c r="AH381" s="81"/>
    </row>
    <row r="382" spans="4:34" ht="14.25" customHeight="1"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1"/>
      <c r="Y382" s="81"/>
      <c r="Z382" s="81"/>
      <c r="AA382" s="81"/>
      <c r="AB382" s="81"/>
      <c r="AC382" s="81"/>
      <c r="AD382" s="81"/>
      <c r="AE382" s="81"/>
      <c r="AF382" s="81"/>
      <c r="AG382" s="81"/>
      <c r="AH382" s="81"/>
    </row>
    <row r="383" spans="4:34" ht="14.25" customHeight="1">
      <c r="D383" s="81"/>
      <c r="E383" s="81"/>
      <c r="F383" s="81"/>
      <c r="G383" s="81"/>
      <c r="H383" s="81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1"/>
      <c r="Y383" s="81"/>
      <c r="Z383" s="81"/>
      <c r="AA383" s="81"/>
      <c r="AB383" s="81"/>
      <c r="AC383" s="81"/>
      <c r="AD383" s="81"/>
      <c r="AE383" s="81"/>
      <c r="AF383" s="81"/>
      <c r="AG383" s="81"/>
      <c r="AH383" s="81"/>
    </row>
    <row r="384" spans="4:34" ht="14.25" customHeight="1">
      <c r="D384" s="81"/>
      <c r="E384" s="81"/>
      <c r="F384" s="81"/>
      <c r="G384" s="81"/>
      <c r="H384" s="81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1"/>
      <c r="Y384" s="81"/>
      <c r="Z384" s="81"/>
      <c r="AA384" s="81"/>
      <c r="AB384" s="81"/>
      <c r="AC384" s="81"/>
      <c r="AD384" s="81"/>
      <c r="AE384" s="81"/>
      <c r="AF384" s="81"/>
      <c r="AG384" s="81"/>
      <c r="AH384" s="81"/>
    </row>
    <row r="385" spans="4:34" ht="14.25" customHeight="1">
      <c r="D385" s="81"/>
      <c r="E385" s="81"/>
      <c r="F385" s="81"/>
      <c r="G385" s="81"/>
      <c r="H385" s="81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1"/>
      <c r="Y385" s="81"/>
      <c r="Z385" s="81"/>
      <c r="AA385" s="81"/>
      <c r="AB385" s="81"/>
      <c r="AC385" s="81"/>
      <c r="AD385" s="81"/>
      <c r="AE385" s="81"/>
      <c r="AF385" s="81"/>
      <c r="AG385" s="81"/>
      <c r="AH385" s="81"/>
    </row>
    <row r="386" spans="4:34" ht="14.25" customHeight="1"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1"/>
      <c r="Y386" s="81"/>
      <c r="Z386" s="81"/>
      <c r="AA386" s="81"/>
      <c r="AB386" s="81"/>
      <c r="AC386" s="81"/>
      <c r="AD386" s="81"/>
      <c r="AE386" s="81"/>
      <c r="AF386" s="81"/>
      <c r="AG386" s="81"/>
      <c r="AH386" s="81"/>
    </row>
    <row r="387" spans="4:34" ht="14.25" customHeight="1">
      <c r="D387" s="81"/>
      <c r="E387" s="81"/>
      <c r="F387" s="81"/>
      <c r="G387" s="81"/>
      <c r="H387" s="81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1"/>
      <c r="Y387" s="81"/>
      <c r="Z387" s="81"/>
      <c r="AA387" s="81"/>
      <c r="AB387" s="81"/>
      <c r="AC387" s="81"/>
      <c r="AD387" s="81"/>
      <c r="AE387" s="81"/>
      <c r="AF387" s="81"/>
      <c r="AG387" s="81"/>
      <c r="AH387" s="81"/>
    </row>
    <row r="388" spans="4:34" ht="14.25" customHeight="1">
      <c r="D388" s="81"/>
      <c r="E388" s="81"/>
      <c r="F388" s="81"/>
      <c r="G388" s="81"/>
      <c r="H388" s="81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1"/>
      <c r="Y388" s="81"/>
      <c r="Z388" s="81"/>
      <c r="AA388" s="81"/>
      <c r="AB388" s="81"/>
      <c r="AC388" s="81"/>
      <c r="AD388" s="81"/>
      <c r="AE388" s="81"/>
      <c r="AF388" s="81"/>
      <c r="AG388" s="81"/>
      <c r="AH388" s="81"/>
    </row>
    <row r="389" spans="4:34" ht="14.25" customHeight="1">
      <c r="D389" s="81"/>
      <c r="E389" s="81"/>
      <c r="F389" s="81"/>
      <c r="G389" s="81"/>
      <c r="H389" s="81"/>
      <c r="I389" s="81"/>
      <c r="J389" s="81"/>
      <c r="K389" s="81"/>
      <c r="L389" s="81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1"/>
      <c r="Y389" s="81"/>
      <c r="Z389" s="81"/>
      <c r="AA389" s="81"/>
      <c r="AB389" s="81"/>
      <c r="AC389" s="81"/>
      <c r="AD389" s="81"/>
      <c r="AE389" s="81"/>
      <c r="AF389" s="81"/>
      <c r="AG389" s="81"/>
      <c r="AH389" s="81"/>
    </row>
    <row r="390" spans="4:34" ht="14.25" customHeight="1"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81"/>
      <c r="Y390" s="81"/>
      <c r="Z390" s="81"/>
      <c r="AA390" s="81"/>
      <c r="AB390" s="81"/>
      <c r="AC390" s="81"/>
      <c r="AD390" s="81"/>
      <c r="AE390" s="81"/>
      <c r="AF390" s="81"/>
      <c r="AG390" s="81"/>
      <c r="AH390" s="81"/>
    </row>
    <row r="391" spans="4:34" ht="14.25" customHeight="1">
      <c r="D391" s="81"/>
      <c r="E391" s="81"/>
      <c r="F391" s="81"/>
      <c r="G391" s="81"/>
      <c r="H391" s="81"/>
      <c r="I391" s="81"/>
      <c r="J391" s="81"/>
      <c r="K391" s="81"/>
      <c r="L391" s="81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1"/>
      <c r="Y391" s="81"/>
      <c r="Z391" s="81"/>
      <c r="AA391" s="81"/>
      <c r="AB391" s="81"/>
      <c r="AC391" s="81"/>
      <c r="AD391" s="81"/>
      <c r="AE391" s="81"/>
      <c r="AF391" s="81"/>
      <c r="AG391" s="81"/>
      <c r="AH391" s="81"/>
    </row>
    <row r="392" spans="4:34" ht="14.25" customHeight="1">
      <c r="D392" s="81"/>
      <c r="E392" s="81"/>
      <c r="F392" s="81"/>
      <c r="G392" s="81"/>
      <c r="H392" s="81"/>
      <c r="I392" s="81"/>
      <c r="J392" s="81"/>
      <c r="K392" s="81"/>
      <c r="L392" s="81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81"/>
      <c r="Y392" s="81"/>
      <c r="Z392" s="81"/>
      <c r="AA392" s="81"/>
      <c r="AB392" s="81"/>
      <c r="AC392" s="81"/>
      <c r="AD392" s="81"/>
      <c r="AE392" s="81"/>
      <c r="AF392" s="81"/>
      <c r="AG392" s="81"/>
      <c r="AH392" s="81"/>
    </row>
    <row r="393" spans="4:34" ht="14.25" customHeight="1">
      <c r="D393" s="81"/>
      <c r="E393" s="81"/>
      <c r="F393" s="81"/>
      <c r="G393" s="81"/>
      <c r="H393" s="81"/>
      <c r="I393" s="81"/>
      <c r="J393" s="81"/>
      <c r="K393" s="81"/>
      <c r="L393" s="81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1"/>
      <c r="Y393" s="81"/>
      <c r="Z393" s="81"/>
      <c r="AA393" s="81"/>
      <c r="AB393" s="81"/>
      <c r="AC393" s="81"/>
      <c r="AD393" s="81"/>
      <c r="AE393" s="81"/>
      <c r="AF393" s="81"/>
      <c r="AG393" s="81"/>
      <c r="AH393" s="81"/>
    </row>
    <row r="394" spans="4:34" ht="14.25" customHeight="1"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81"/>
      <c r="Y394" s="81"/>
      <c r="Z394" s="81"/>
      <c r="AA394" s="81"/>
      <c r="AB394" s="81"/>
      <c r="AC394" s="81"/>
      <c r="AD394" s="81"/>
      <c r="AE394" s="81"/>
      <c r="AF394" s="81"/>
      <c r="AG394" s="81"/>
      <c r="AH394" s="81"/>
    </row>
    <row r="395" spans="4:34" ht="14.25" customHeight="1">
      <c r="D395" s="81"/>
      <c r="E395" s="81"/>
      <c r="F395" s="81"/>
      <c r="G395" s="81"/>
      <c r="H395" s="81"/>
      <c r="I395" s="81"/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1"/>
      <c r="Y395" s="81"/>
      <c r="Z395" s="81"/>
      <c r="AA395" s="81"/>
      <c r="AB395" s="81"/>
      <c r="AC395" s="81"/>
      <c r="AD395" s="81"/>
      <c r="AE395" s="81"/>
      <c r="AF395" s="81"/>
      <c r="AG395" s="81"/>
      <c r="AH395" s="81"/>
    </row>
    <row r="396" spans="4:34" ht="14.25" customHeight="1">
      <c r="D396" s="81"/>
      <c r="E396" s="81"/>
      <c r="F396" s="81"/>
      <c r="G396" s="81"/>
      <c r="H396" s="81"/>
      <c r="I396" s="81"/>
      <c r="J396" s="81"/>
      <c r="K396" s="81"/>
      <c r="L396" s="81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81"/>
      <c r="Y396" s="81"/>
      <c r="Z396" s="81"/>
      <c r="AA396" s="81"/>
      <c r="AB396" s="81"/>
      <c r="AC396" s="81"/>
      <c r="AD396" s="81"/>
      <c r="AE396" s="81"/>
      <c r="AF396" s="81"/>
      <c r="AG396" s="81"/>
      <c r="AH396" s="81"/>
    </row>
    <row r="397" spans="4:34" ht="14.25" customHeight="1">
      <c r="D397" s="81"/>
      <c r="E397" s="81"/>
      <c r="F397" s="81"/>
      <c r="G397" s="81"/>
      <c r="H397" s="81"/>
      <c r="I397" s="81"/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1"/>
      <c r="Y397" s="81"/>
      <c r="Z397" s="81"/>
      <c r="AA397" s="81"/>
      <c r="AB397" s="81"/>
      <c r="AC397" s="81"/>
      <c r="AD397" s="81"/>
      <c r="AE397" s="81"/>
      <c r="AF397" s="81"/>
      <c r="AG397" s="81"/>
      <c r="AH397" s="81"/>
    </row>
    <row r="398" spans="4:34" ht="14.25" customHeight="1"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81"/>
      <c r="Y398" s="81"/>
      <c r="Z398" s="81"/>
      <c r="AA398" s="81"/>
      <c r="AB398" s="81"/>
      <c r="AC398" s="81"/>
      <c r="AD398" s="81"/>
      <c r="AE398" s="81"/>
      <c r="AF398" s="81"/>
      <c r="AG398" s="81"/>
      <c r="AH398" s="81"/>
    </row>
    <row r="399" spans="4:34" ht="14.25" customHeight="1">
      <c r="D399" s="81"/>
      <c r="E399" s="81"/>
      <c r="F399" s="81"/>
      <c r="G399" s="81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1"/>
      <c r="Y399" s="81"/>
      <c r="Z399" s="81"/>
      <c r="AA399" s="81"/>
      <c r="AB399" s="81"/>
      <c r="AC399" s="81"/>
      <c r="AD399" s="81"/>
      <c r="AE399" s="81"/>
      <c r="AF399" s="81"/>
      <c r="AG399" s="81"/>
      <c r="AH399" s="81"/>
    </row>
    <row r="400" spans="4:34" ht="14.25" customHeight="1">
      <c r="D400" s="81"/>
      <c r="E400" s="81"/>
      <c r="F400" s="81"/>
      <c r="G400" s="81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81"/>
      <c r="Y400" s="81"/>
      <c r="Z400" s="81"/>
      <c r="AA400" s="81"/>
      <c r="AB400" s="81"/>
      <c r="AC400" s="81"/>
      <c r="AD400" s="81"/>
      <c r="AE400" s="81"/>
      <c r="AF400" s="81"/>
      <c r="AG400" s="81"/>
      <c r="AH400" s="81"/>
    </row>
    <row r="401" spans="4:34" ht="14.25" customHeight="1">
      <c r="D401" s="81"/>
      <c r="E401" s="81"/>
      <c r="F401" s="81"/>
      <c r="G401" s="81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1"/>
      <c r="Y401" s="81"/>
      <c r="Z401" s="81"/>
      <c r="AA401" s="81"/>
      <c r="AB401" s="81"/>
      <c r="AC401" s="81"/>
      <c r="AD401" s="81"/>
      <c r="AE401" s="81"/>
      <c r="AF401" s="81"/>
      <c r="AG401" s="81"/>
      <c r="AH401" s="81"/>
    </row>
    <row r="402" spans="4:34" ht="14.25" customHeight="1"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81"/>
      <c r="Y402" s="81"/>
      <c r="Z402" s="81"/>
      <c r="AA402" s="81"/>
      <c r="AB402" s="81"/>
      <c r="AC402" s="81"/>
      <c r="AD402" s="81"/>
      <c r="AE402" s="81"/>
      <c r="AF402" s="81"/>
      <c r="AG402" s="81"/>
      <c r="AH402" s="81"/>
    </row>
    <row r="403" spans="4:34" ht="14.25" customHeight="1">
      <c r="D403" s="81"/>
      <c r="E403" s="81"/>
      <c r="F403" s="81"/>
      <c r="G403" s="81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1"/>
      <c r="Y403" s="81"/>
      <c r="Z403" s="81"/>
      <c r="AA403" s="81"/>
      <c r="AB403" s="81"/>
      <c r="AC403" s="81"/>
      <c r="AD403" s="81"/>
      <c r="AE403" s="81"/>
      <c r="AF403" s="81"/>
      <c r="AG403" s="81"/>
      <c r="AH403" s="81"/>
    </row>
    <row r="404" spans="4:34" ht="14.25" customHeight="1">
      <c r="D404" s="81"/>
      <c r="E404" s="81"/>
      <c r="F404" s="81"/>
      <c r="G404" s="81"/>
      <c r="H404" s="81"/>
      <c r="I404" s="81"/>
      <c r="J404" s="81"/>
      <c r="K404" s="81"/>
      <c r="L404" s="81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81"/>
      <c r="Y404" s="81"/>
      <c r="Z404" s="81"/>
      <c r="AA404" s="81"/>
      <c r="AB404" s="81"/>
      <c r="AC404" s="81"/>
      <c r="AD404" s="81"/>
      <c r="AE404" s="81"/>
      <c r="AF404" s="81"/>
      <c r="AG404" s="81"/>
      <c r="AH404" s="81"/>
    </row>
    <row r="405" spans="4:34" ht="14.25" customHeight="1">
      <c r="D405" s="81"/>
      <c r="E405" s="81"/>
      <c r="F405" s="81"/>
      <c r="G405" s="81"/>
      <c r="H405" s="81"/>
      <c r="I405" s="81"/>
      <c r="J405" s="81"/>
      <c r="K405" s="81"/>
      <c r="L405" s="81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1"/>
      <c r="Y405" s="81"/>
      <c r="Z405" s="81"/>
      <c r="AA405" s="81"/>
      <c r="AB405" s="81"/>
      <c r="AC405" s="81"/>
      <c r="AD405" s="81"/>
      <c r="AE405" s="81"/>
      <c r="AF405" s="81"/>
      <c r="AG405" s="81"/>
      <c r="AH405" s="81"/>
    </row>
    <row r="406" spans="4:34" ht="14.25" customHeight="1"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81"/>
      <c r="Y406" s="81"/>
      <c r="Z406" s="81"/>
      <c r="AA406" s="81"/>
      <c r="AB406" s="81"/>
      <c r="AC406" s="81"/>
      <c r="AD406" s="81"/>
      <c r="AE406" s="81"/>
      <c r="AF406" s="81"/>
      <c r="AG406" s="81"/>
      <c r="AH406" s="81"/>
    </row>
    <row r="407" spans="4:34" ht="14.25" customHeight="1">
      <c r="D407" s="81"/>
      <c r="E407" s="81"/>
      <c r="F407" s="81"/>
      <c r="G407" s="81"/>
      <c r="H407" s="81"/>
      <c r="I407" s="81"/>
      <c r="J407" s="81"/>
      <c r="K407" s="81"/>
      <c r="L407" s="81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1"/>
      <c r="Y407" s="81"/>
      <c r="Z407" s="81"/>
      <c r="AA407" s="81"/>
      <c r="AB407" s="81"/>
      <c r="AC407" s="81"/>
      <c r="AD407" s="81"/>
      <c r="AE407" s="81"/>
      <c r="AF407" s="81"/>
      <c r="AG407" s="81"/>
      <c r="AH407" s="81"/>
    </row>
    <row r="408" spans="4:34" ht="14.25" customHeight="1">
      <c r="D408" s="81"/>
      <c r="E408" s="81"/>
      <c r="F408" s="81"/>
      <c r="G408" s="81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81"/>
      <c r="Y408" s="81"/>
      <c r="Z408" s="81"/>
      <c r="AA408" s="81"/>
      <c r="AB408" s="81"/>
      <c r="AC408" s="81"/>
      <c r="AD408" s="81"/>
      <c r="AE408" s="81"/>
      <c r="AF408" s="81"/>
      <c r="AG408" s="81"/>
      <c r="AH408" s="81"/>
    </row>
    <row r="409" spans="4:34" ht="14.25" customHeight="1">
      <c r="D409" s="81"/>
      <c r="E409" s="81"/>
      <c r="F409" s="81"/>
      <c r="G409" s="81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1"/>
      <c r="Y409" s="81"/>
      <c r="Z409" s="81"/>
      <c r="AA409" s="81"/>
      <c r="AB409" s="81"/>
      <c r="AC409" s="81"/>
      <c r="AD409" s="81"/>
      <c r="AE409" s="81"/>
      <c r="AF409" s="81"/>
      <c r="AG409" s="81"/>
      <c r="AH409" s="81"/>
    </row>
    <row r="410" spans="4:34" ht="14.25" customHeight="1"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81"/>
      <c r="Y410" s="81"/>
      <c r="Z410" s="81"/>
      <c r="AA410" s="81"/>
      <c r="AB410" s="81"/>
      <c r="AC410" s="81"/>
      <c r="AD410" s="81"/>
      <c r="AE410" s="81"/>
      <c r="AF410" s="81"/>
      <c r="AG410" s="81"/>
      <c r="AH410" s="81"/>
    </row>
    <row r="411" spans="4:34" ht="14.25" customHeight="1">
      <c r="D411" s="81"/>
      <c r="E411" s="81"/>
      <c r="F411" s="81"/>
      <c r="G411" s="81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1"/>
      <c r="Y411" s="81"/>
      <c r="Z411" s="81"/>
      <c r="AA411" s="81"/>
      <c r="AB411" s="81"/>
      <c r="AC411" s="81"/>
      <c r="AD411" s="81"/>
      <c r="AE411" s="81"/>
      <c r="AF411" s="81"/>
      <c r="AG411" s="81"/>
      <c r="AH411" s="81"/>
    </row>
    <row r="412" spans="4:34" ht="14.25" customHeight="1">
      <c r="D412" s="81"/>
      <c r="E412" s="81"/>
      <c r="F412" s="81"/>
      <c r="G412" s="81"/>
      <c r="H412" s="81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81"/>
      <c r="Y412" s="81"/>
      <c r="Z412" s="81"/>
      <c r="AA412" s="81"/>
      <c r="AB412" s="81"/>
      <c r="AC412" s="81"/>
      <c r="AD412" s="81"/>
      <c r="AE412" s="81"/>
      <c r="AF412" s="81"/>
      <c r="AG412" s="81"/>
      <c r="AH412" s="81"/>
    </row>
    <row r="413" spans="4:34" ht="14.25" customHeight="1">
      <c r="D413" s="81"/>
      <c r="E413" s="81"/>
      <c r="F413" s="81"/>
      <c r="G413" s="81"/>
      <c r="H413" s="81"/>
      <c r="I413" s="81"/>
      <c r="J413" s="81"/>
      <c r="K413" s="81"/>
      <c r="L413" s="81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1"/>
      <c r="Y413" s="81"/>
      <c r="Z413" s="81"/>
      <c r="AA413" s="81"/>
      <c r="AB413" s="81"/>
      <c r="AC413" s="81"/>
      <c r="AD413" s="81"/>
      <c r="AE413" s="81"/>
      <c r="AF413" s="81"/>
      <c r="AG413" s="81"/>
      <c r="AH413" s="81"/>
    </row>
    <row r="414" spans="4:34" ht="14.25" customHeight="1"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81"/>
      <c r="Y414" s="81"/>
      <c r="Z414" s="81"/>
      <c r="AA414" s="81"/>
      <c r="AB414" s="81"/>
      <c r="AC414" s="81"/>
      <c r="AD414" s="81"/>
      <c r="AE414" s="81"/>
      <c r="AF414" s="81"/>
      <c r="AG414" s="81"/>
      <c r="AH414" s="81"/>
    </row>
    <row r="415" spans="4:34" ht="14.25" customHeight="1">
      <c r="D415" s="81"/>
      <c r="E415" s="81"/>
      <c r="F415" s="81"/>
      <c r="G415" s="81"/>
      <c r="H415" s="81"/>
      <c r="I415" s="81"/>
      <c r="J415" s="81"/>
      <c r="K415" s="81"/>
      <c r="L415" s="81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1"/>
      <c r="Y415" s="81"/>
      <c r="Z415" s="81"/>
      <c r="AA415" s="81"/>
      <c r="AB415" s="81"/>
      <c r="AC415" s="81"/>
      <c r="AD415" s="81"/>
      <c r="AE415" s="81"/>
      <c r="AF415" s="81"/>
      <c r="AG415" s="81"/>
      <c r="AH415" s="81"/>
    </row>
    <row r="416" spans="4:34" ht="14.25" customHeight="1">
      <c r="D416" s="81"/>
      <c r="E416" s="81"/>
      <c r="F416" s="81"/>
      <c r="G416" s="81"/>
      <c r="H416" s="81"/>
      <c r="I416" s="81"/>
      <c r="J416" s="81"/>
      <c r="K416" s="81"/>
      <c r="L416" s="81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81"/>
      <c r="Y416" s="81"/>
      <c r="Z416" s="81"/>
      <c r="AA416" s="81"/>
      <c r="AB416" s="81"/>
      <c r="AC416" s="81"/>
      <c r="AD416" s="81"/>
      <c r="AE416" s="81"/>
      <c r="AF416" s="81"/>
      <c r="AG416" s="81"/>
      <c r="AH416" s="81"/>
    </row>
    <row r="417" spans="4:34" ht="14.25" customHeight="1">
      <c r="D417" s="81"/>
      <c r="E417" s="81"/>
      <c r="F417" s="81"/>
      <c r="G417" s="81"/>
      <c r="H417" s="81"/>
      <c r="I417" s="81"/>
      <c r="J417" s="81"/>
      <c r="K417" s="81"/>
      <c r="L417" s="81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1"/>
      <c r="Y417" s="81"/>
      <c r="Z417" s="81"/>
      <c r="AA417" s="81"/>
      <c r="AB417" s="81"/>
      <c r="AC417" s="81"/>
      <c r="AD417" s="81"/>
      <c r="AE417" s="81"/>
      <c r="AF417" s="81"/>
      <c r="AG417" s="81"/>
      <c r="AH417" s="81"/>
    </row>
    <row r="418" spans="4:34" ht="14.25" customHeight="1"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81"/>
      <c r="Y418" s="81"/>
      <c r="Z418" s="81"/>
      <c r="AA418" s="81"/>
      <c r="AB418" s="81"/>
      <c r="AC418" s="81"/>
      <c r="AD418" s="81"/>
      <c r="AE418" s="81"/>
      <c r="AF418" s="81"/>
      <c r="AG418" s="81"/>
      <c r="AH418" s="81"/>
    </row>
    <row r="419" spans="4:34" ht="14.25" customHeight="1">
      <c r="D419" s="81"/>
      <c r="E419" s="81"/>
      <c r="F419" s="81"/>
      <c r="G419" s="81"/>
      <c r="H419" s="81"/>
      <c r="I419" s="81"/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1"/>
      <c r="Y419" s="81"/>
      <c r="Z419" s="81"/>
      <c r="AA419" s="81"/>
      <c r="AB419" s="81"/>
      <c r="AC419" s="81"/>
      <c r="AD419" s="81"/>
      <c r="AE419" s="81"/>
      <c r="AF419" s="81"/>
      <c r="AG419" s="81"/>
      <c r="AH419" s="81"/>
    </row>
    <row r="420" spans="4:34" ht="14.25" customHeight="1">
      <c r="D420" s="81"/>
      <c r="E420" s="81"/>
      <c r="F420" s="81"/>
      <c r="G420" s="81"/>
      <c r="H420" s="81"/>
      <c r="I420" s="81"/>
      <c r="J420" s="81"/>
      <c r="K420" s="81"/>
      <c r="L420" s="81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81"/>
      <c r="Y420" s="81"/>
      <c r="Z420" s="81"/>
      <c r="AA420" s="81"/>
      <c r="AB420" s="81"/>
      <c r="AC420" s="81"/>
      <c r="AD420" s="81"/>
      <c r="AE420" s="81"/>
      <c r="AF420" s="81"/>
      <c r="AG420" s="81"/>
      <c r="AH420" s="81"/>
    </row>
    <row r="421" spans="4:34" ht="14.25" customHeight="1">
      <c r="D421" s="81"/>
      <c r="E421" s="81"/>
      <c r="F421" s="81"/>
      <c r="G421" s="81"/>
      <c r="H421" s="81"/>
      <c r="I421" s="81"/>
      <c r="J421" s="81"/>
      <c r="K421" s="81"/>
      <c r="L421" s="81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1"/>
      <c r="Y421" s="81"/>
      <c r="Z421" s="81"/>
      <c r="AA421" s="81"/>
      <c r="AB421" s="81"/>
      <c r="AC421" s="81"/>
      <c r="AD421" s="81"/>
      <c r="AE421" s="81"/>
      <c r="AF421" s="81"/>
      <c r="AG421" s="81"/>
      <c r="AH421" s="81"/>
    </row>
    <row r="422" spans="4:34" ht="14.25" customHeight="1"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1"/>
      <c r="Y422" s="81"/>
      <c r="Z422" s="81"/>
      <c r="AA422" s="81"/>
      <c r="AB422" s="81"/>
      <c r="AC422" s="81"/>
      <c r="AD422" s="81"/>
      <c r="AE422" s="81"/>
      <c r="AF422" s="81"/>
      <c r="AG422" s="81"/>
      <c r="AH422" s="81"/>
    </row>
    <row r="423" spans="4:34" ht="14.25" customHeight="1">
      <c r="D423" s="81"/>
      <c r="E423" s="81"/>
      <c r="F423" s="81"/>
      <c r="G423" s="81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1"/>
      <c r="Y423" s="81"/>
      <c r="Z423" s="81"/>
      <c r="AA423" s="81"/>
      <c r="AB423" s="81"/>
      <c r="AC423" s="81"/>
      <c r="AD423" s="81"/>
      <c r="AE423" s="81"/>
      <c r="AF423" s="81"/>
      <c r="AG423" s="81"/>
      <c r="AH423" s="81"/>
    </row>
    <row r="424" spans="4:34" ht="14.25" customHeight="1">
      <c r="D424" s="81"/>
      <c r="E424" s="81"/>
      <c r="F424" s="81"/>
      <c r="G424" s="81"/>
      <c r="H424" s="81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1"/>
      <c r="Y424" s="81"/>
      <c r="Z424" s="81"/>
      <c r="AA424" s="81"/>
      <c r="AB424" s="81"/>
      <c r="AC424" s="81"/>
      <c r="AD424" s="81"/>
      <c r="AE424" s="81"/>
      <c r="AF424" s="81"/>
      <c r="AG424" s="81"/>
      <c r="AH424" s="81"/>
    </row>
    <row r="425" spans="4:34" ht="14.25" customHeight="1">
      <c r="D425" s="81"/>
      <c r="E425" s="81"/>
      <c r="F425" s="81"/>
      <c r="G425" s="81"/>
      <c r="H425" s="81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1"/>
      <c r="Y425" s="81"/>
      <c r="Z425" s="81"/>
      <c r="AA425" s="81"/>
      <c r="AB425" s="81"/>
      <c r="AC425" s="81"/>
      <c r="AD425" s="81"/>
      <c r="AE425" s="81"/>
      <c r="AF425" s="81"/>
      <c r="AG425" s="81"/>
      <c r="AH425" s="81"/>
    </row>
    <row r="426" spans="4:34" ht="14.25" customHeight="1"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1"/>
      <c r="Y426" s="81"/>
      <c r="Z426" s="81"/>
      <c r="AA426" s="81"/>
      <c r="AB426" s="81"/>
      <c r="AC426" s="81"/>
      <c r="AD426" s="81"/>
      <c r="AE426" s="81"/>
      <c r="AF426" s="81"/>
      <c r="AG426" s="81"/>
      <c r="AH426" s="81"/>
    </row>
    <row r="427" spans="4:34" ht="14.25" customHeight="1">
      <c r="D427" s="81"/>
      <c r="E427" s="81"/>
      <c r="F427" s="81"/>
      <c r="G427" s="81"/>
      <c r="H427" s="81"/>
      <c r="I427" s="81"/>
      <c r="J427" s="81"/>
      <c r="K427" s="81"/>
      <c r="L427" s="81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1"/>
      <c r="Y427" s="81"/>
      <c r="Z427" s="81"/>
      <c r="AA427" s="81"/>
      <c r="AB427" s="81"/>
      <c r="AC427" s="81"/>
      <c r="AD427" s="81"/>
      <c r="AE427" s="81"/>
      <c r="AF427" s="81"/>
      <c r="AG427" s="81"/>
      <c r="AH427" s="81"/>
    </row>
    <row r="428" spans="4:34" ht="14.25" customHeight="1">
      <c r="D428" s="81"/>
      <c r="E428" s="81"/>
      <c r="F428" s="81"/>
      <c r="G428" s="81"/>
      <c r="H428" s="81"/>
      <c r="I428" s="81"/>
      <c r="J428" s="81"/>
      <c r="K428" s="81"/>
      <c r="L428" s="81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81"/>
      <c r="Y428" s="81"/>
      <c r="Z428" s="81"/>
      <c r="AA428" s="81"/>
      <c r="AB428" s="81"/>
      <c r="AC428" s="81"/>
      <c r="AD428" s="81"/>
      <c r="AE428" s="81"/>
      <c r="AF428" s="81"/>
      <c r="AG428" s="81"/>
      <c r="AH428" s="81"/>
    </row>
    <row r="429" spans="4:34" ht="14.25" customHeight="1">
      <c r="D429" s="81"/>
      <c r="E429" s="81"/>
      <c r="F429" s="81"/>
      <c r="G429" s="81"/>
      <c r="H429" s="81"/>
      <c r="I429" s="81"/>
      <c r="J429" s="81"/>
      <c r="K429" s="81"/>
      <c r="L429" s="81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1"/>
      <c r="Y429" s="81"/>
      <c r="Z429" s="81"/>
      <c r="AA429" s="81"/>
      <c r="AB429" s="81"/>
      <c r="AC429" s="81"/>
      <c r="AD429" s="81"/>
      <c r="AE429" s="81"/>
      <c r="AF429" s="81"/>
      <c r="AG429" s="81"/>
      <c r="AH429" s="81"/>
    </row>
    <row r="430" spans="4:34" ht="14.25" customHeight="1"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81"/>
      <c r="Y430" s="81"/>
      <c r="Z430" s="81"/>
      <c r="AA430" s="81"/>
      <c r="AB430" s="81"/>
      <c r="AC430" s="81"/>
      <c r="AD430" s="81"/>
      <c r="AE430" s="81"/>
      <c r="AF430" s="81"/>
      <c r="AG430" s="81"/>
      <c r="AH430" s="81"/>
    </row>
    <row r="431" spans="4:34" ht="14.25" customHeight="1">
      <c r="D431" s="81"/>
      <c r="E431" s="81"/>
      <c r="F431" s="81"/>
      <c r="G431" s="81"/>
      <c r="H431" s="81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1"/>
      <c r="Y431" s="81"/>
      <c r="Z431" s="81"/>
      <c r="AA431" s="81"/>
      <c r="AB431" s="81"/>
      <c r="AC431" s="81"/>
      <c r="AD431" s="81"/>
      <c r="AE431" s="81"/>
      <c r="AF431" s="81"/>
      <c r="AG431" s="81"/>
      <c r="AH431" s="81"/>
    </row>
    <row r="432" spans="4:34" ht="14.25" customHeight="1">
      <c r="D432" s="81"/>
      <c r="E432" s="81"/>
      <c r="F432" s="81"/>
      <c r="G432" s="81"/>
      <c r="H432" s="81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1"/>
      <c r="Y432" s="81"/>
      <c r="Z432" s="81"/>
      <c r="AA432" s="81"/>
      <c r="AB432" s="81"/>
      <c r="AC432" s="81"/>
      <c r="AD432" s="81"/>
      <c r="AE432" s="81"/>
      <c r="AF432" s="81"/>
      <c r="AG432" s="81"/>
      <c r="AH432" s="81"/>
    </row>
    <row r="433" spans="4:34" ht="14.25" customHeight="1">
      <c r="D433" s="81"/>
      <c r="E433" s="81"/>
      <c r="F433" s="81"/>
      <c r="G433" s="81"/>
      <c r="H433" s="81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1"/>
      <c r="Y433" s="81"/>
      <c r="Z433" s="81"/>
      <c r="AA433" s="81"/>
      <c r="AB433" s="81"/>
      <c r="AC433" s="81"/>
      <c r="AD433" s="81"/>
      <c r="AE433" s="81"/>
      <c r="AF433" s="81"/>
      <c r="AG433" s="81"/>
      <c r="AH433" s="81"/>
    </row>
    <row r="434" spans="4:34" ht="14.25" customHeight="1"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1"/>
      <c r="Y434" s="81"/>
      <c r="Z434" s="81"/>
      <c r="AA434" s="81"/>
      <c r="AB434" s="81"/>
      <c r="AC434" s="81"/>
      <c r="AD434" s="81"/>
      <c r="AE434" s="81"/>
      <c r="AF434" s="81"/>
      <c r="AG434" s="81"/>
      <c r="AH434" s="81"/>
    </row>
    <row r="435" spans="4:34" ht="14.25" customHeight="1">
      <c r="D435" s="81"/>
      <c r="E435" s="81"/>
      <c r="F435" s="81"/>
      <c r="G435" s="81"/>
      <c r="H435" s="81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1"/>
      <c r="Y435" s="81"/>
      <c r="Z435" s="81"/>
      <c r="AA435" s="81"/>
      <c r="AB435" s="81"/>
      <c r="AC435" s="81"/>
      <c r="AD435" s="81"/>
      <c r="AE435" s="81"/>
      <c r="AF435" s="81"/>
      <c r="AG435" s="81"/>
      <c r="AH435" s="81"/>
    </row>
    <row r="436" spans="4:34" ht="14.25" customHeight="1">
      <c r="D436" s="81"/>
      <c r="E436" s="81"/>
      <c r="F436" s="81"/>
      <c r="G436" s="81"/>
      <c r="H436" s="81"/>
      <c r="I436" s="81"/>
      <c r="J436" s="81"/>
      <c r="K436" s="81"/>
      <c r="L436" s="81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81"/>
      <c r="Y436" s="81"/>
      <c r="Z436" s="81"/>
      <c r="AA436" s="81"/>
      <c r="AB436" s="81"/>
      <c r="AC436" s="81"/>
      <c r="AD436" s="81"/>
      <c r="AE436" s="81"/>
      <c r="AF436" s="81"/>
      <c r="AG436" s="81"/>
      <c r="AH436" s="81"/>
    </row>
    <row r="437" spans="4:34" ht="14.25" customHeight="1">
      <c r="D437" s="81"/>
      <c r="E437" s="81"/>
      <c r="F437" s="81"/>
      <c r="G437" s="81"/>
      <c r="H437" s="81"/>
      <c r="I437" s="81"/>
      <c r="J437" s="81"/>
      <c r="K437" s="81"/>
      <c r="L437" s="81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1"/>
      <c r="Y437" s="81"/>
      <c r="Z437" s="81"/>
      <c r="AA437" s="81"/>
      <c r="AB437" s="81"/>
      <c r="AC437" s="81"/>
      <c r="AD437" s="81"/>
      <c r="AE437" s="81"/>
      <c r="AF437" s="81"/>
      <c r="AG437" s="81"/>
      <c r="AH437" s="81"/>
    </row>
    <row r="438" spans="4:34" ht="14.25" customHeight="1"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81"/>
      <c r="Y438" s="81"/>
      <c r="Z438" s="81"/>
      <c r="AA438" s="81"/>
      <c r="AB438" s="81"/>
      <c r="AC438" s="81"/>
      <c r="AD438" s="81"/>
      <c r="AE438" s="81"/>
      <c r="AF438" s="81"/>
      <c r="AG438" s="81"/>
      <c r="AH438" s="81"/>
    </row>
    <row r="439" spans="4:34" ht="14.25" customHeight="1">
      <c r="D439" s="81"/>
      <c r="E439" s="81"/>
      <c r="F439" s="81"/>
      <c r="G439" s="81"/>
      <c r="H439" s="81"/>
      <c r="I439" s="81"/>
      <c r="J439" s="81"/>
      <c r="K439" s="81"/>
      <c r="L439" s="81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1"/>
      <c r="Y439" s="81"/>
      <c r="Z439" s="81"/>
      <c r="AA439" s="81"/>
      <c r="AB439" s="81"/>
      <c r="AC439" s="81"/>
      <c r="AD439" s="81"/>
      <c r="AE439" s="81"/>
      <c r="AF439" s="81"/>
      <c r="AG439" s="81"/>
      <c r="AH439" s="81"/>
    </row>
    <row r="440" spans="4:34" ht="14.25" customHeight="1">
      <c r="D440" s="81"/>
      <c r="E440" s="81"/>
      <c r="F440" s="81"/>
      <c r="G440" s="81"/>
      <c r="H440" s="81"/>
      <c r="I440" s="81"/>
      <c r="J440" s="81"/>
      <c r="K440" s="81"/>
      <c r="L440" s="81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81"/>
      <c r="Y440" s="81"/>
      <c r="Z440" s="81"/>
      <c r="AA440" s="81"/>
      <c r="AB440" s="81"/>
      <c r="AC440" s="81"/>
      <c r="AD440" s="81"/>
      <c r="AE440" s="81"/>
      <c r="AF440" s="81"/>
      <c r="AG440" s="81"/>
      <c r="AH440" s="81"/>
    </row>
    <row r="441" spans="4:34" ht="14.25" customHeight="1">
      <c r="D441" s="81"/>
      <c r="E441" s="81"/>
      <c r="F441" s="81"/>
      <c r="G441" s="81"/>
      <c r="H441" s="81"/>
      <c r="I441" s="81"/>
      <c r="J441" s="81"/>
      <c r="K441" s="81"/>
      <c r="L441" s="81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1"/>
      <c r="Y441" s="81"/>
      <c r="Z441" s="81"/>
      <c r="AA441" s="81"/>
      <c r="AB441" s="81"/>
      <c r="AC441" s="81"/>
      <c r="AD441" s="81"/>
      <c r="AE441" s="81"/>
      <c r="AF441" s="81"/>
      <c r="AG441" s="81"/>
      <c r="AH441" s="81"/>
    </row>
    <row r="442" spans="4:34" ht="14.25" customHeight="1"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81"/>
      <c r="Y442" s="81"/>
      <c r="Z442" s="81"/>
      <c r="AA442" s="81"/>
      <c r="AB442" s="81"/>
      <c r="AC442" s="81"/>
      <c r="AD442" s="81"/>
      <c r="AE442" s="81"/>
      <c r="AF442" s="81"/>
      <c r="AG442" s="81"/>
      <c r="AH442" s="81"/>
    </row>
    <row r="443" spans="4:34" ht="14.25" customHeight="1">
      <c r="D443" s="81"/>
      <c r="E443" s="81"/>
      <c r="F443" s="81"/>
      <c r="G443" s="81"/>
      <c r="H443" s="81"/>
      <c r="I443" s="81"/>
      <c r="J443" s="81"/>
      <c r="K443" s="81"/>
      <c r="L443" s="81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1"/>
      <c r="Y443" s="81"/>
      <c r="Z443" s="81"/>
      <c r="AA443" s="81"/>
      <c r="AB443" s="81"/>
      <c r="AC443" s="81"/>
      <c r="AD443" s="81"/>
      <c r="AE443" s="81"/>
      <c r="AF443" s="81"/>
      <c r="AG443" s="81"/>
      <c r="AH443" s="81"/>
    </row>
    <row r="444" spans="4:34" ht="14.25" customHeight="1">
      <c r="D444" s="81"/>
      <c r="E444" s="81"/>
      <c r="F444" s="81"/>
      <c r="G444" s="81"/>
      <c r="H444" s="81"/>
      <c r="I444" s="81"/>
      <c r="J444" s="81"/>
      <c r="K444" s="81"/>
      <c r="L444" s="81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81"/>
      <c r="Y444" s="81"/>
      <c r="Z444" s="81"/>
      <c r="AA444" s="81"/>
      <c r="AB444" s="81"/>
      <c r="AC444" s="81"/>
      <c r="AD444" s="81"/>
      <c r="AE444" s="81"/>
      <c r="AF444" s="81"/>
      <c r="AG444" s="81"/>
      <c r="AH444" s="81"/>
    </row>
    <row r="445" spans="4:34" ht="14.25" customHeight="1">
      <c r="D445" s="81"/>
      <c r="E445" s="81"/>
      <c r="F445" s="81"/>
      <c r="G445" s="81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1"/>
      <c r="Y445" s="81"/>
      <c r="Z445" s="81"/>
      <c r="AA445" s="81"/>
      <c r="AB445" s="81"/>
      <c r="AC445" s="81"/>
      <c r="AD445" s="81"/>
      <c r="AE445" s="81"/>
      <c r="AF445" s="81"/>
      <c r="AG445" s="81"/>
      <c r="AH445" s="81"/>
    </row>
    <row r="446" spans="4:34" ht="14.25" customHeight="1"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1"/>
      <c r="Y446" s="81"/>
      <c r="Z446" s="81"/>
      <c r="AA446" s="81"/>
      <c r="AB446" s="81"/>
      <c r="AC446" s="81"/>
      <c r="AD446" s="81"/>
      <c r="AE446" s="81"/>
      <c r="AF446" s="81"/>
      <c r="AG446" s="81"/>
      <c r="AH446" s="81"/>
    </row>
    <row r="447" spans="4:34" ht="14.25" customHeight="1">
      <c r="D447" s="81"/>
      <c r="E447" s="81"/>
      <c r="F447" s="81"/>
      <c r="G447" s="81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1"/>
      <c r="Y447" s="81"/>
      <c r="Z447" s="81"/>
      <c r="AA447" s="81"/>
      <c r="AB447" s="81"/>
      <c r="AC447" s="81"/>
      <c r="AD447" s="81"/>
      <c r="AE447" s="81"/>
      <c r="AF447" s="81"/>
      <c r="AG447" s="81"/>
      <c r="AH447" s="81"/>
    </row>
    <row r="448" spans="4:34" ht="14.25" customHeight="1">
      <c r="D448" s="81"/>
      <c r="E448" s="81"/>
      <c r="F448" s="81"/>
      <c r="G448" s="81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1"/>
      <c r="Y448" s="81"/>
      <c r="Z448" s="81"/>
      <c r="AA448" s="81"/>
      <c r="AB448" s="81"/>
      <c r="AC448" s="81"/>
      <c r="AD448" s="81"/>
      <c r="AE448" s="81"/>
      <c r="AF448" s="81"/>
      <c r="AG448" s="81"/>
      <c r="AH448" s="81"/>
    </row>
    <row r="449" spans="4:34" ht="14.25" customHeight="1">
      <c r="D449" s="81"/>
      <c r="E449" s="81"/>
      <c r="F449" s="81"/>
      <c r="G449" s="81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1"/>
      <c r="Y449" s="81"/>
      <c r="Z449" s="81"/>
      <c r="AA449" s="81"/>
      <c r="AB449" s="81"/>
      <c r="AC449" s="81"/>
      <c r="AD449" s="81"/>
      <c r="AE449" s="81"/>
      <c r="AF449" s="81"/>
      <c r="AG449" s="81"/>
      <c r="AH449" s="81"/>
    </row>
    <row r="450" spans="4:34" ht="14.25" customHeight="1"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1"/>
      <c r="Y450" s="81"/>
      <c r="Z450" s="81"/>
      <c r="AA450" s="81"/>
      <c r="AB450" s="81"/>
      <c r="AC450" s="81"/>
      <c r="AD450" s="81"/>
      <c r="AE450" s="81"/>
      <c r="AF450" s="81"/>
      <c r="AG450" s="81"/>
      <c r="AH450" s="81"/>
    </row>
    <row r="451" spans="4:34" ht="14.25" customHeight="1">
      <c r="D451" s="81"/>
      <c r="E451" s="81"/>
      <c r="F451" s="81"/>
      <c r="G451" s="81"/>
      <c r="H451" s="81"/>
      <c r="I451" s="81"/>
      <c r="J451" s="81"/>
      <c r="K451" s="81"/>
      <c r="L451" s="81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1"/>
      <c r="Y451" s="81"/>
      <c r="Z451" s="81"/>
      <c r="AA451" s="81"/>
      <c r="AB451" s="81"/>
      <c r="AC451" s="81"/>
      <c r="AD451" s="81"/>
      <c r="AE451" s="81"/>
      <c r="AF451" s="81"/>
      <c r="AG451" s="81"/>
      <c r="AH451" s="81"/>
    </row>
    <row r="452" spans="4:34" ht="14.25" customHeight="1">
      <c r="D452" s="81"/>
      <c r="E452" s="81"/>
      <c r="F452" s="81"/>
      <c r="G452" s="81"/>
      <c r="H452" s="81"/>
      <c r="I452" s="81"/>
      <c r="J452" s="81"/>
      <c r="K452" s="81"/>
      <c r="L452" s="81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81"/>
      <c r="Y452" s="81"/>
      <c r="Z452" s="81"/>
      <c r="AA452" s="81"/>
      <c r="AB452" s="81"/>
      <c r="AC452" s="81"/>
      <c r="AD452" s="81"/>
      <c r="AE452" s="81"/>
      <c r="AF452" s="81"/>
      <c r="AG452" s="81"/>
      <c r="AH452" s="81"/>
    </row>
    <row r="453" spans="4:34" ht="14.25" customHeight="1">
      <c r="D453" s="81"/>
      <c r="E453" s="81"/>
      <c r="F453" s="81"/>
      <c r="G453" s="81"/>
      <c r="H453" s="81"/>
      <c r="I453" s="81"/>
      <c r="J453" s="81"/>
      <c r="K453" s="81"/>
      <c r="L453" s="81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1"/>
      <c r="Y453" s="81"/>
      <c r="Z453" s="81"/>
      <c r="AA453" s="81"/>
      <c r="AB453" s="81"/>
      <c r="AC453" s="81"/>
      <c r="AD453" s="81"/>
      <c r="AE453" s="81"/>
      <c r="AF453" s="81"/>
      <c r="AG453" s="81"/>
      <c r="AH453" s="81"/>
    </row>
    <row r="454" spans="4:34" ht="14.25" customHeight="1"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81"/>
      <c r="Y454" s="81"/>
      <c r="Z454" s="81"/>
      <c r="AA454" s="81"/>
      <c r="AB454" s="81"/>
      <c r="AC454" s="81"/>
      <c r="AD454" s="81"/>
      <c r="AE454" s="81"/>
      <c r="AF454" s="81"/>
      <c r="AG454" s="81"/>
      <c r="AH454" s="81"/>
    </row>
    <row r="455" spans="4:34" ht="14.25" customHeight="1">
      <c r="D455" s="81"/>
      <c r="E455" s="81"/>
      <c r="F455" s="81"/>
      <c r="G455" s="81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1"/>
      <c r="Y455" s="81"/>
      <c r="Z455" s="81"/>
      <c r="AA455" s="81"/>
      <c r="AB455" s="81"/>
      <c r="AC455" s="81"/>
      <c r="AD455" s="81"/>
      <c r="AE455" s="81"/>
      <c r="AF455" s="81"/>
      <c r="AG455" s="81"/>
      <c r="AH455" s="81"/>
    </row>
    <row r="456" spans="4:34" ht="14.25" customHeight="1">
      <c r="D456" s="81"/>
      <c r="E456" s="81"/>
      <c r="F456" s="81"/>
      <c r="G456" s="81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1"/>
      <c r="Y456" s="81"/>
      <c r="Z456" s="81"/>
      <c r="AA456" s="81"/>
      <c r="AB456" s="81"/>
      <c r="AC456" s="81"/>
      <c r="AD456" s="81"/>
      <c r="AE456" s="81"/>
      <c r="AF456" s="81"/>
      <c r="AG456" s="81"/>
      <c r="AH456" s="81"/>
    </row>
    <row r="457" spans="4:34" ht="14.25" customHeight="1">
      <c r="D457" s="81"/>
      <c r="E457" s="81"/>
      <c r="F457" s="81"/>
      <c r="G457" s="81"/>
      <c r="H457" s="81"/>
      <c r="I457" s="81"/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1"/>
      <c r="Y457" s="81"/>
      <c r="Z457" s="81"/>
      <c r="AA457" s="81"/>
      <c r="AB457" s="81"/>
      <c r="AC457" s="81"/>
      <c r="AD457" s="81"/>
      <c r="AE457" s="81"/>
      <c r="AF457" s="81"/>
      <c r="AG457" s="81"/>
      <c r="AH457" s="81"/>
    </row>
    <row r="458" spans="4:34" ht="14.25" customHeight="1"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1"/>
      <c r="Y458" s="81"/>
      <c r="Z458" s="81"/>
      <c r="AA458" s="81"/>
      <c r="AB458" s="81"/>
      <c r="AC458" s="81"/>
      <c r="AD458" s="81"/>
      <c r="AE458" s="81"/>
      <c r="AF458" s="81"/>
      <c r="AG458" s="81"/>
      <c r="AH458" s="81"/>
    </row>
    <row r="459" spans="4:34" ht="14.25" customHeight="1">
      <c r="D459" s="81"/>
      <c r="E459" s="81"/>
      <c r="F459" s="81"/>
      <c r="G459" s="81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1"/>
      <c r="Y459" s="81"/>
      <c r="Z459" s="81"/>
      <c r="AA459" s="81"/>
      <c r="AB459" s="81"/>
      <c r="AC459" s="81"/>
      <c r="AD459" s="81"/>
      <c r="AE459" s="81"/>
      <c r="AF459" s="81"/>
      <c r="AG459" s="81"/>
      <c r="AH459" s="81"/>
    </row>
    <row r="460" spans="4:34" ht="14.25" customHeight="1">
      <c r="D460" s="81"/>
      <c r="E460" s="81"/>
      <c r="F460" s="81"/>
      <c r="G460" s="81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1"/>
      <c r="Y460" s="81"/>
      <c r="Z460" s="81"/>
      <c r="AA460" s="81"/>
      <c r="AB460" s="81"/>
      <c r="AC460" s="81"/>
      <c r="AD460" s="81"/>
      <c r="AE460" s="81"/>
      <c r="AF460" s="81"/>
      <c r="AG460" s="81"/>
      <c r="AH460" s="81"/>
    </row>
    <row r="461" spans="4:34" ht="14.25" customHeight="1">
      <c r="D461" s="81"/>
      <c r="E461" s="81"/>
      <c r="F461" s="81"/>
      <c r="G461" s="81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1"/>
      <c r="Y461" s="81"/>
      <c r="Z461" s="81"/>
      <c r="AA461" s="81"/>
      <c r="AB461" s="81"/>
      <c r="AC461" s="81"/>
      <c r="AD461" s="81"/>
      <c r="AE461" s="81"/>
      <c r="AF461" s="81"/>
      <c r="AG461" s="81"/>
      <c r="AH461" s="81"/>
    </row>
    <row r="462" spans="4:34" ht="14.25" customHeight="1"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81"/>
      <c r="Y462" s="81"/>
      <c r="Z462" s="81"/>
      <c r="AA462" s="81"/>
      <c r="AB462" s="81"/>
      <c r="AC462" s="81"/>
      <c r="AD462" s="81"/>
      <c r="AE462" s="81"/>
      <c r="AF462" s="81"/>
      <c r="AG462" s="81"/>
      <c r="AH462" s="81"/>
    </row>
    <row r="463" spans="4:34" ht="14.25" customHeight="1">
      <c r="D463" s="81"/>
      <c r="E463" s="81"/>
      <c r="F463" s="81"/>
      <c r="G463" s="81"/>
      <c r="H463" s="81"/>
      <c r="I463" s="81"/>
      <c r="J463" s="81"/>
      <c r="K463" s="81"/>
      <c r="L463" s="81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1"/>
      <c r="Y463" s="81"/>
      <c r="Z463" s="81"/>
      <c r="AA463" s="81"/>
      <c r="AB463" s="81"/>
      <c r="AC463" s="81"/>
      <c r="AD463" s="81"/>
      <c r="AE463" s="81"/>
      <c r="AF463" s="81"/>
      <c r="AG463" s="81"/>
      <c r="AH463" s="81"/>
    </row>
    <row r="464" spans="4:34" ht="14.25" customHeight="1">
      <c r="D464" s="81"/>
      <c r="E464" s="81"/>
      <c r="F464" s="81"/>
      <c r="G464" s="81"/>
      <c r="H464" s="81"/>
      <c r="I464" s="81"/>
      <c r="J464" s="81"/>
      <c r="K464" s="81"/>
      <c r="L464" s="81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81"/>
      <c r="Y464" s="81"/>
      <c r="Z464" s="81"/>
      <c r="AA464" s="81"/>
      <c r="AB464" s="81"/>
      <c r="AC464" s="81"/>
      <c r="AD464" s="81"/>
      <c r="AE464" s="81"/>
      <c r="AF464" s="81"/>
      <c r="AG464" s="81"/>
      <c r="AH464" s="81"/>
    </row>
    <row r="465" spans="4:34" ht="14.25" customHeight="1">
      <c r="D465" s="81"/>
      <c r="E465" s="81"/>
      <c r="F465" s="81"/>
      <c r="G465" s="81"/>
      <c r="H465" s="81"/>
      <c r="I465" s="81"/>
      <c r="J465" s="81"/>
      <c r="K465" s="81"/>
      <c r="L465" s="81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1"/>
      <c r="Y465" s="81"/>
      <c r="Z465" s="81"/>
      <c r="AA465" s="81"/>
      <c r="AB465" s="81"/>
      <c r="AC465" s="81"/>
      <c r="AD465" s="81"/>
      <c r="AE465" s="81"/>
      <c r="AF465" s="81"/>
      <c r="AG465" s="81"/>
      <c r="AH465" s="81"/>
    </row>
    <row r="466" spans="4:34" ht="14.25" customHeight="1"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81"/>
      <c r="Y466" s="81"/>
      <c r="Z466" s="81"/>
      <c r="AA466" s="81"/>
      <c r="AB466" s="81"/>
      <c r="AC466" s="81"/>
      <c r="AD466" s="81"/>
      <c r="AE466" s="81"/>
      <c r="AF466" s="81"/>
      <c r="AG466" s="81"/>
      <c r="AH466" s="81"/>
    </row>
    <row r="467" spans="4:34" ht="14.25" customHeight="1">
      <c r="D467" s="81"/>
      <c r="E467" s="81"/>
      <c r="F467" s="81"/>
      <c r="G467" s="81"/>
      <c r="H467" s="81"/>
      <c r="I467" s="81"/>
      <c r="J467" s="81"/>
      <c r="K467" s="81"/>
      <c r="L467" s="81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1"/>
      <c r="Y467" s="81"/>
      <c r="Z467" s="81"/>
      <c r="AA467" s="81"/>
      <c r="AB467" s="81"/>
      <c r="AC467" s="81"/>
      <c r="AD467" s="81"/>
      <c r="AE467" s="81"/>
      <c r="AF467" s="81"/>
      <c r="AG467" s="81"/>
      <c r="AH467" s="81"/>
    </row>
    <row r="468" spans="4:34" ht="14.25" customHeight="1">
      <c r="D468" s="81"/>
      <c r="E468" s="81"/>
      <c r="F468" s="81"/>
      <c r="G468" s="81"/>
      <c r="H468" s="81"/>
      <c r="I468" s="81"/>
      <c r="J468" s="81"/>
      <c r="K468" s="81"/>
      <c r="L468" s="81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81"/>
      <c r="Y468" s="81"/>
      <c r="Z468" s="81"/>
      <c r="AA468" s="81"/>
      <c r="AB468" s="81"/>
      <c r="AC468" s="81"/>
      <c r="AD468" s="81"/>
      <c r="AE468" s="81"/>
      <c r="AF468" s="81"/>
      <c r="AG468" s="81"/>
      <c r="AH468" s="81"/>
    </row>
    <row r="469" spans="4:34" ht="14.25" customHeight="1">
      <c r="D469" s="81"/>
      <c r="E469" s="81"/>
      <c r="F469" s="81"/>
      <c r="G469" s="81"/>
      <c r="H469" s="81"/>
      <c r="I469" s="81"/>
      <c r="J469" s="81"/>
      <c r="K469" s="81"/>
      <c r="L469" s="81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1"/>
      <c r="Y469" s="81"/>
      <c r="Z469" s="81"/>
      <c r="AA469" s="81"/>
      <c r="AB469" s="81"/>
      <c r="AC469" s="81"/>
      <c r="AD469" s="81"/>
      <c r="AE469" s="81"/>
      <c r="AF469" s="81"/>
      <c r="AG469" s="81"/>
      <c r="AH469" s="81"/>
    </row>
    <row r="470" spans="4:34" ht="14.25" customHeight="1"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81"/>
      <c r="Y470" s="81"/>
      <c r="Z470" s="81"/>
      <c r="AA470" s="81"/>
      <c r="AB470" s="81"/>
      <c r="AC470" s="81"/>
      <c r="AD470" s="81"/>
      <c r="AE470" s="81"/>
      <c r="AF470" s="81"/>
      <c r="AG470" s="81"/>
      <c r="AH470" s="81"/>
    </row>
    <row r="471" spans="4:34" ht="14.25" customHeight="1">
      <c r="D471" s="81"/>
      <c r="E471" s="81"/>
      <c r="F471" s="81"/>
      <c r="G471" s="81"/>
      <c r="H471" s="81"/>
      <c r="I471" s="81"/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1"/>
      <c r="Y471" s="81"/>
      <c r="Z471" s="81"/>
      <c r="AA471" s="81"/>
      <c r="AB471" s="81"/>
      <c r="AC471" s="81"/>
      <c r="AD471" s="81"/>
      <c r="AE471" s="81"/>
      <c r="AF471" s="81"/>
      <c r="AG471" s="81"/>
      <c r="AH471" s="81"/>
    </row>
    <row r="472" spans="4:34" ht="14.25" customHeight="1">
      <c r="D472" s="81"/>
      <c r="E472" s="81"/>
      <c r="F472" s="81"/>
      <c r="G472" s="81"/>
      <c r="H472" s="81"/>
      <c r="I472" s="81"/>
      <c r="J472" s="81"/>
      <c r="K472" s="81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1"/>
      <c r="Y472" s="81"/>
      <c r="Z472" s="81"/>
      <c r="AA472" s="81"/>
      <c r="AB472" s="81"/>
      <c r="AC472" s="81"/>
      <c r="AD472" s="81"/>
      <c r="AE472" s="81"/>
      <c r="AF472" s="81"/>
      <c r="AG472" s="81"/>
      <c r="AH472" s="81"/>
    </row>
    <row r="473" spans="4:34" ht="14.25" customHeight="1">
      <c r="D473" s="81"/>
      <c r="E473" s="81"/>
      <c r="F473" s="81"/>
      <c r="G473" s="81"/>
      <c r="H473" s="81"/>
      <c r="I473" s="81"/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1"/>
      <c r="Y473" s="81"/>
      <c r="Z473" s="81"/>
      <c r="AA473" s="81"/>
      <c r="AB473" s="81"/>
      <c r="AC473" s="81"/>
      <c r="AD473" s="81"/>
      <c r="AE473" s="81"/>
      <c r="AF473" s="81"/>
      <c r="AG473" s="81"/>
      <c r="AH473" s="81"/>
    </row>
    <row r="474" spans="4:34" ht="14.25" customHeight="1"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1"/>
      <c r="Y474" s="81"/>
      <c r="Z474" s="81"/>
      <c r="AA474" s="81"/>
      <c r="AB474" s="81"/>
      <c r="AC474" s="81"/>
      <c r="AD474" s="81"/>
      <c r="AE474" s="81"/>
      <c r="AF474" s="81"/>
      <c r="AG474" s="81"/>
      <c r="AH474" s="81"/>
    </row>
    <row r="475" spans="4:34" ht="14.25" customHeight="1">
      <c r="D475" s="81"/>
      <c r="E475" s="81"/>
      <c r="F475" s="81"/>
      <c r="G475" s="81"/>
      <c r="H475" s="81"/>
      <c r="I475" s="81"/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1"/>
      <c r="Y475" s="81"/>
      <c r="Z475" s="81"/>
      <c r="AA475" s="81"/>
      <c r="AB475" s="81"/>
      <c r="AC475" s="81"/>
      <c r="AD475" s="81"/>
      <c r="AE475" s="81"/>
      <c r="AF475" s="81"/>
      <c r="AG475" s="81"/>
      <c r="AH475" s="81"/>
    </row>
    <row r="476" spans="4:34" ht="14.25" customHeight="1">
      <c r="D476" s="81"/>
      <c r="E476" s="81"/>
      <c r="F476" s="81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1"/>
      <c r="Y476" s="81"/>
      <c r="Z476" s="81"/>
      <c r="AA476" s="81"/>
      <c r="AB476" s="81"/>
      <c r="AC476" s="81"/>
      <c r="AD476" s="81"/>
      <c r="AE476" s="81"/>
      <c r="AF476" s="81"/>
      <c r="AG476" s="81"/>
      <c r="AH476" s="81"/>
    </row>
    <row r="477" spans="4:34" ht="14.25" customHeight="1">
      <c r="D477" s="81"/>
      <c r="E477" s="81"/>
      <c r="F477" s="81"/>
      <c r="G477" s="81"/>
      <c r="H477" s="81"/>
      <c r="I477" s="81"/>
      <c r="J477" s="81"/>
      <c r="K477" s="81"/>
      <c r="L477" s="81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1"/>
      <c r="Y477" s="81"/>
      <c r="Z477" s="81"/>
      <c r="AA477" s="81"/>
      <c r="AB477" s="81"/>
      <c r="AC477" s="81"/>
      <c r="AD477" s="81"/>
      <c r="AE477" s="81"/>
      <c r="AF477" s="81"/>
      <c r="AG477" s="81"/>
      <c r="AH477" s="81"/>
    </row>
    <row r="478" spans="4:34" ht="14.25" customHeight="1"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81"/>
      <c r="Y478" s="81"/>
      <c r="Z478" s="81"/>
      <c r="AA478" s="81"/>
      <c r="AB478" s="81"/>
      <c r="AC478" s="81"/>
      <c r="AD478" s="81"/>
      <c r="AE478" s="81"/>
      <c r="AF478" s="81"/>
      <c r="AG478" s="81"/>
      <c r="AH478" s="81"/>
    </row>
    <row r="479" spans="4:34" ht="14.25" customHeight="1">
      <c r="D479" s="81"/>
      <c r="E479" s="81"/>
      <c r="F479" s="81"/>
      <c r="G479" s="81"/>
      <c r="H479" s="81"/>
      <c r="I479" s="81"/>
      <c r="J479" s="81"/>
      <c r="K479" s="81"/>
      <c r="L479" s="81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1"/>
      <c r="Y479" s="81"/>
      <c r="Z479" s="81"/>
      <c r="AA479" s="81"/>
      <c r="AB479" s="81"/>
      <c r="AC479" s="81"/>
      <c r="AD479" s="81"/>
      <c r="AE479" s="81"/>
      <c r="AF479" s="81"/>
      <c r="AG479" s="81"/>
      <c r="AH479" s="81"/>
    </row>
    <row r="480" spans="4:34" ht="14.25" customHeight="1">
      <c r="D480" s="81"/>
      <c r="E480" s="81"/>
      <c r="F480" s="81"/>
      <c r="G480" s="81"/>
      <c r="H480" s="81"/>
      <c r="I480" s="81"/>
      <c r="J480" s="81"/>
      <c r="K480" s="81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1"/>
      <c r="Y480" s="81"/>
      <c r="Z480" s="81"/>
      <c r="AA480" s="81"/>
      <c r="AB480" s="81"/>
      <c r="AC480" s="81"/>
      <c r="AD480" s="81"/>
      <c r="AE480" s="81"/>
      <c r="AF480" s="81"/>
      <c r="AG480" s="81"/>
      <c r="AH480" s="81"/>
    </row>
    <row r="481" spans="4:34" ht="14.25" customHeight="1">
      <c r="D481" s="81"/>
      <c r="E481" s="81"/>
      <c r="F481" s="81"/>
      <c r="G481" s="81"/>
      <c r="H481" s="81"/>
      <c r="I481" s="81"/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1"/>
      <c r="Y481" s="81"/>
      <c r="Z481" s="81"/>
      <c r="AA481" s="81"/>
      <c r="AB481" s="81"/>
      <c r="AC481" s="81"/>
      <c r="AD481" s="81"/>
      <c r="AE481" s="81"/>
      <c r="AF481" s="81"/>
      <c r="AG481" s="81"/>
      <c r="AH481" s="81"/>
    </row>
    <row r="482" spans="4:34" ht="14.25" customHeight="1"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1"/>
      <c r="Y482" s="81"/>
      <c r="Z482" s="81"/>
      <c r="AA482" s="81"/>
      <c r="AB482" s="81"/>
      <c r="AC482" s="81"/>
      <c r="AD482" s="81"/>
      <c r="AE482" s="81"/>
      <c r="AF482" s="81"/>
      <c r="AG482" s="81"/>
      <c r="AH482" s="81"/>
    </row>
    <row r="483" spans="4:34" ht="14.25" customHeight="1">
      <c r="D483" s="81"/>
      <c r="E483" s="81"/>
      <c r="F483" s="81"/>
      <c r="G483" s="81"/>
      <c r="H483" s="81"/>
      <c r="I483" s="81"/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1"/>
      <c r="Y483" s="81"/>
      <c r="Z483" s="81"/>
      <c r="AA483" s="81"/>
      <c r="AB483" s="81"/>
      <c r="AC483" s="81"/>
      <c r="AD483" s="81"/>
      <c r="AE483" s="81"/>
      <c r="AF483" s="81"/>
      <c r="AG483" s="81"/>
      <c r="AH483" s="81"/>
    </row>
    <row r="484" spans="4:34" ht="14.25" customHeight="1">
      <c r="D484" s="81"/>
      <c r="E484" s="81"/>
      <c r="F484" s="81"/>
      <c r="G484" s="81"/>
      <c r="H484" s="81"/>
      <c r="I484" s="81"/>
      <c r="J484" s="81"/>
      <c r="K484" s="81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1"/>
      <c r="Y484" s="81"/>
      <c r="Z484" s="81"/>
      <c r="AA484" s="81"/>
      <c r="AB484" s="81"/>
      <c r="AC484" s="81"/>
      <c r="AD484" s="81"/>
      <c r="AE484" s="81"/>
      <c r="AF484" s="81"/>
      <c r="AG484" s="81"/>
      <c r="AH484" s="81"/>
    </row>
    <row r="485" spans="4:34" ht="14.25" customHeight="1">
      <c r="D485" s="81"/>
      <c r="E485" s="81"/>
      <c r="F485" s="81"/>
      <c r="G485" s="81"/>
      <c r="H485" s="81"/>
      <c r="I485" s="81"/>
      <c r="J485" s="81"/>
      <c r="K485" s="81"/>
      <c r="L485" s="81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1"/>
      <c r="Y485" s="81"/>
      <c r="Z485" s="81"/>
      <c r="AA485" s="81"/>
      <c r="AB485" s="81"/>
      <c r="AC485" s="81"/>
      <c r="AD485" s="81"/>
      <c r="AE485" s="81"/>
      <c r="AF485" s="81"/>
      <c r="AG485" s="81"/>
      <c r="AH485" s="81"/>
    </row>
    <row r="486" spans="4:34" ht="14.25" customHeight="1"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81"/>
      <c r="Y486" s="81"/>
      <c r="Z486" s="81"/>
      <c r="AA486" s="81"/>
      <c r="AB486" s="81"/>
      <c r="AC486" s="81"/>
      <c r="AD486" s="81"/>
      <c r="AE486" s="81"/>
      <c r="AF486" s="81"/>
      <c r="AG486" s="81"/>
      <c r="AH486" s="81"/>
    </row>
    <row r="487" spans="4:34" ht="14.25" customHeight="1">
      <c r="D487" s="81"/>
      <c r="E487" s="81"/>
      <c r="F487" s="81"/>
      <c r="G487" s="81"/>
      <c r="H487" s="81"/>
      <c r="I487" s="81"/>
      <c r="J487" s="81"/>
      <c r="K487" s="81"/>
      <c r="L487" s="81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1"/>
      <c r="Y487" s="81"/>
      <c r="Z487" s="81"/>
      <c r="AA487" s="81"/>
      <c r="AB487" s="81"/>
      <c r="AC487" s="81"/>
      <c r="AD487" s="81"/>
      <c r="AE487" s="81"/>
      <c r="AF487" s="81"/>
      <c r="AG487" s="81"/>
      <c r="AH487" s="81"/>
    </row>
    <row r="488" spans="4:34" ht="14.25" customHeight="1">
      <c r="D488" s="81"/>
      <c r="E488" s="81"/>
      <c r="F488" s="81"/>
      <c r="G488" s="81"/>
      <c r="H488" s="81"/>
      <c r="I488" s="81"/>
      <c r="J488" s="81"/>
      <c r="K488" s="81"/>
      <c r="L488" s="81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81"/>
      <c r="Y488" s="81"/>
      <c r="Z488" s="81"/>
      <c r="AA488" s="81"/>
      <c r="AB488" s="81"/>
      <c r="AC488" s="81"/>
      <c r="AD488" s="81"/>
      <c r="AE488" s="81"/>
      <c r="AF488" s="81"/>
      <c r="AG488" s="81"/>
      <c r="AH488" s="81"/>
    </row>
    <row r="489" spans="4:34" ht="14.25" customHeight="1">
      <c r="D489" s="81"/>
      <c r="E489" s="81"/>
      <c r="F489" s="81"/>
      <c r="G489" s="81"/>
      <c r="H489" s="81"/>
      <c r="I489" s="81"/>
      <c r="J489" s="81"/>
      <c r="K489" s="81"/>
      <c r="L489" s="81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1"/>
      <c r="Y489" s="81"/>
      <c r="Z489" s="81"/>
      <c r="AA489" s="81"/>
      <c r="AB489" s="81"/>
      <c r="AC489" s="81"/>
      <c r="AD489" s="81"/>
      <c r="AE489" s="81"/>
      <c r="AF489" s="81"/>
      <c r="AG489" s="81"/>
      <c r="AH489" s="81"/>
    </row>
    <row r="490" spans="4:34" ht="14.25" customHeight="1"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81"/>
      <c r="Y490" s="81"/>
      <c r="Z490" s="81"/>
      <c r="AA490" s="81"/>
      <c r="AB490" s="81"/>
      <c r="AC490" s="81"/>
      <c r="AD490" s="81"/>
      <c r="AE490" s="81"/>
      <c r="AF490" s="81"/>
      <c r="AG490" s="81"/>
      <c r="AH490" s="81"/>
    </row>
    <row r="491" spans="4:34" ht="14.25" customHeight="1">
      <c r="D491" s="81"/>
      <c r="E491" s="81"/>
      <c r="F491" s="81"/>
      <c r="G491" s="81"/>
      <c r="H491" s="81"/>
      <c r="I491" s="81"/>
      <c r="J491" s="81"/>
      <c r="K491" s="81"/>
      <c r="L491" s="81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1"/>
      <c r="Y491" s="81"/>
      <c r="Z491" s="81"/>
      <c r="AA491" s="81"/>
      <c r="AB491" s="81"/>
      <c r="AC491" s="81"/>
      <c r="AD491" s="81"/>
      <c r="AE491" s="81"/>
      <c r="AF491" s="81"/>
      <c r="AG491" s="81"/>
      <c r="AH491" s="81"/>
    </row>
    <row r="492" spans="4:34" ht="14.25" customHeight="1">
      <c r="D492" s="81"/>
      <c r="E492" s="81"/>
      <c r="F492" s="81"/>
      <c r="G492" s="81"/>
      <c r="H492" s="81"/>
      <c r="I492" s="81"/>
      <c r="J492" s="81"/>
      <c r="K492" s="81"/>
      <c r="L492" s="81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81"/>
      <c r="Y492" s="81"/>
      <c r="Z492" s="81"/>
      <c r="AA492" s="81"/>
      <c r="AB492" s="81"/>
      <c r="AC492" s="81"/>
      <c r="AD492" s="81"/>
      <c r="AE492" s="81"/>
      <c r="AF492" s="81"/>
      <c r="AG492" s="81"/>
      <c r="AH492" s="81"/>
    </row>
    <row r="493" spans="4:34" ht="14.25" customHeight="1">
      <c r="D493" s="81"/>
      <c r="E493" s="81"/>
      <c r="F493" s="81"/>
      <c r="G493" s="81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1"/>
      <c r="Y493" s="81"/>
      <c r="Z493" s="81"/>
      <c r="AA493" s="81"/>
      <c r="AB493" s="81"/>
      <c r="AC493" s="81"/>
      <c r="AD493" s="81"/>
      <c r="AE493" s="81"/>
      <c r="AF493" s="81"/>
      <c r="AG493" s="81"/>
      <c r="AH493" s="81"/>
    </row>
    <row r="494" spans="4:34" ht="14.25" customHeight="1"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1"/>
      <c r="Y494" s="81"/>
      <c r="Z494" s="81"/>
      <c r="AA494" s="81"/>
      <c r="AB494" s="81"/>
      <c r="AC494" s="81"/>
      <c r="AD494" s="81"/>
      <c r="AE494" s="81"/>
      <c r="AF494" s="81"/>
      <c r="AG494" s="81"/>
      <c r="AH494" s="81"/>
    </row>
    <row r="495" spans="4:34" ht="14.25" customHeight="1">
      <c r="D495" s="81"/>
      <c r="E495" s="81"/>
      <c r="F495" s="81"/>
      <c r="G495" s="81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1"/>
      <c r="Y495" s="81"/>
      <c r="Z495" s="81"/>
      <c r="AA495" s="81"/>
      <c r="AB495" s="81"/>
      <c r="AC495" s="81"/>
      <c r="AD495" s="81"/>
      <c r="AE495" s="81"/>
      <c r="AF495" s="81"/>
      <c r="AG495" s="81"/>
      <c r="AH495" s="81"/>
    </row>
    <row r="496" spans="4:34" ht="14.25" customHeight="1">
      <c r="D496" s="81"/>
      <c r="E496" s="81"/>
      <c r="F496" s="81"/>
      <c r="G496" s="81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1"/>
      <c r="Y496" s="81"/>
      <c r="Z496" s="81"/>
      <c r="AA496" s="81"/>
      <c r="AB496" s="81"/>
      <c r="AC496" s="81"/>
      <c r="AD496" s="81"/>
      <c r="AE496" s="81"/>
      <c r="AF496" s="81"/>
      <c r="AG496" s="81"/>
      <c r="AH496" s="81"/>
    </row>
    <row r="497" spans="4:34" ht="14.25" customHeight="1">
      <c r="D497" s="81"/>
      <c r="E497" s="81"/>
      <c r="F497" s="81"/>
      <c r="G497" s="81"/>
      <c r="H497" s="81"/>
      <c r="I497" s="81"/>
      <c r="J497" s="81"/>
      <c r="K497" s="81"/>
      <c r="L497" s="81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1"/>
      <c r="Y497" s="81"/>
      <c r="Z497" s="81"/>
      <c r="AA497" s="81"/>
      <c r="AB497" s="81"/>
      <c r="AC497" s="81"/>
      <c r="AD497" s="81"/>
      <c r="AE497" s="81"/>
      <c r="AF497" s="81"/>
      <c r="AG497" s="81"/>
      <c r="AH497" s="81"/>
    </row>
    <row r="498" spans="4:34" ht="14.25" customHeight="1"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81"/>
      <c r="Y498" s="81"/>
      <c r="Z498" s="81"/>
      <c r="AA498" s="81"/>
      <c r="AB498" s="81"/>
      <c r="AC498" s="81"/>
      <c r="AD498" s="81"/>
      <c r="AE498" s="81"/>
      <c r="AF498" s="81"/>
      <c r="AG498" s="81"/>
      <c r="AH498" s="81"/>
    </row>
    <row r="499" spans="4:34" ht="14.25" customHeight="1">
      <c r="D499" s="81"/>
      <c r="E499" s="81"/>
      <c r="F499" s="81"/>
      <c r="G499" s="81"/>
      <c r="H499" s="81"/>
      <c r="I499" s="81"/>
      <c r="J499" s="81"/>
      <c r="K499" s="81"/>
      <c r="L499" s="81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1"/>
      <c r="Y499" s="81"/>
      <c r="Z499" s="81"/>
      <c r="AA499" s="81"/>
      <c r="AB499" s="81"/>
      <c r="AC499" s="81"/>
      <c r="AD499" s="81"/>
      <c r="AE499" s="81"/>
      <c r="AF499" s="81"/>
      <c r="AG499" s="81"/>
      <c r="AH499" s="81"/>
    </row>
    <row r="500" spans="4:34" ht="14.25" customHeight="1">
      <c r="D500" s="81"/>
      <c r="E500" s="81"/>
      <c r="F500" s="81"/>
      <c r="G500" s="81"/>
      <c r="H500" s="81"/>
      <c r="I500" s="81"/>
      <c r="J500" s="81"/>
      <c r="K500" s="81"/>
      <c r="L500" s="81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81"/>
      <c r="Y500" s="81"/>
      <c r="Z500" s="81"/>
      <c r="AA500" s="81"/>
      <c r="AB500" s="81"/>
      <c r="AC500" s="81"/>
      <c r="AD500" s="81"/>
      <c r="AE500" s="81"/>
      <c r="AF500" s="81"/>
      <c r="AG500" s="81"/>
      <c r="AH500" s="81"/>
    </row>
    <row r="501" spans="4:34" ht="14.25" customHeight="1">
      <c r="D501" s="81"/>
      <c r="E501" s="81"/>
      <c r="F501" s="81"/>
      <c r="G501" s="81"/>
      <c r="H501" s="81"/>
      <c r="I501" s="81"/>
      <c r="J501" s="81"/>
      <c r="K501" s="81"/>
      <c r="L501" s="81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1"/>
      <c r="Y501" s="81"/>
      <c r="Z501" s="81"/>
      <c r="AA501" s="81"/>
      <c r="AB501" s="81"/>
      <c r="AC501" s="81"/>
      <c r="AD501" s="81"/>
      <c r="AE501" s="81"/>
      <c r="AF501" s="81"/>
      <c r="AG501" s="81"/>
      <c r="AH501" s="81"/>
    </row>
    <row r="502" spans="4:34" ht="14.25" customHeight="1"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81"/>
      <c r="Y502" s="81"/>
      <c r="Z502" s="81"/>
      <c r="AA502" s="81"/>
      <c r="AB502" s="81"/>
      <c r="AC502" s="81"/>
      <c r="AD502" s="81"/>
      <c r="AE502" s="81"/>
      <c r="AF502" s="81"/>
      <c r="AG502" s="81"/>
      <c r="AH502" s="81"/>
    </row>
    <row r="503" spans="4:34" ht="14.25" customHeight="1">
      <c r="D503" s="81"/>
      <c r="E503" s="81"/>
      <c r="F503" s="81"/>
      <c r="G503" s="81"/>
      <c r="H503" s="81"/>
      <c r="I503" s="81"/>
      <c r="J503" s="81"/>
      <c r="K503" s="81"/>
      <c r="L503" s="81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1"/>
      <c r="Y503" s="81"/>
      <c r="Z503" s="81"/>
      <c r="AA503" s="81"/>
      <c r="AB503" s="81"/>
      <c r="AC503" s="81"/>
      <c r="AD503" s="81"/>
      <c r="AE503" s="81"/>
      <c r="AF503" s="81"/>
      <c r="AG503" s="81"/>
      <c r="AH503" s="81"/>
    </row>
    <row r="504" spans="4:34" ht="14.25" customHeight="1">
      <c r="D504" s="81"/>
      <c r="E504" s="81"/>
      <c r="F504" s="81"/>
      <c r="G504" s="81"/>
      <c r="H504" s="81"/>
      <c r="I504" s="81"/>
      <c r="J504" s="81"/>
      <c r="K504" s="81"/>
      <c r="L504" s="81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81"/>
      <c r="Y504" s="81"/>
      <c r="Z504" s="81"/>
      <c r="AA504" s="81"/>
      <c r="AB504" s="81"/>
      <c r="AC504" s="81"/>
      <c r="AD504" s="81"/>
      <c r="AE504" s="81"/>
      <c r="AF504" s="81"/>
      <c r="AG504" s="81"/>
      <c r="AH504" s="81"/>
    </row>
    <row r="505" spans="4:34" ht="14.25" customHeight="1">
      <c r="D505" s="81"/>
      <c r="E505" s="81"/>
      <c r="F505" s="81"/>
      <c r="G505" s="81"/>
      <c r="H505" s="81"/>
      <c r="I505" s="81"/>
      <c r="J505" s="81"/>
      <c r="K505" s="81"/>
      <c r="L505" s="81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1"/>
      <c r="Y505" s="81"/>
      <c r="Z505" s="81"/>
      <c r="AA505" s="81"/>
      <c r="AB505" s="81"/>
      <c r="AC505" s="81"/>
      <c r="AD505" s="81"/>
      <c r="AE505" s="81"/>
      <c r="AF505" s="81"/>
      <c r="AG505" s="81"/>
      <c r="AH505" s="81"/>
    </row>
    <row r="506" spans="4:34" ht="14.25" customHeight="1"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81"/>
      <c r="Y506" s="81"/>
      <c r="Z506" s="81"/>
      <c r="AA506" s="81"/>
      <c r="AB506" s="81"/>
      <c r="AC506" s="81"/>
      <c r="AD506" s="81"/>
      <c r="AE506" s="81"/>
      <c r="AF506" s="81"/>
      <c r="AG506" s="81"/>
      <c r="AH506" s="81"/>
    </row>
    <row r="507" spans="4:34" ht="14.25" customHeight="1">
      <c r="D507" s="81"/>
      <c r="E507" s="81"/>
      <c r="F507" s="81"/>
      <c r="G507" s="81"/>
      <c r="H507" s="81"/>
      <c r="I507" s="81"/>
      <c r="J507" s="81"/>
      <c r="K507" s="81"/>
      <c r="L507" s="81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1"/>
      <c r="Y507" s="81"/>
      <c r="Z507" s="81"/>
      <c r="AA507" s="81"/>
      <c r="AB507" s="81"/>
      <c r="AC507" s="81"/>
      <c r="AD507" s="81"/>
      <c r="AE507" s="81"/>
      <c r="AF507" s="81"/>
      <c r="AG507" s="81"/>
      <c r="AH507" s="81"/>
    </row>
    <row r="508" spans="4:34" ht="14.25" customHeight="1">
      <c r="D508" s="81"/>
      <c r="E508" s="81"/>
      <c r="F508" s="81"/>
      <c r="G508" s="81"/>
      <c r="H508" s="81"/>
      <c r="I508" s="81"/>
      <c r="J508" s="81"/>
      <c r="K508" s="81"/>
      <c r="L508" s="81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81"/>
      <c r="Y508" s="81"/>
      <c r="Z508" s="81"/>
      <c r="AA508" s="81"/>
      <c r="AB508" s="81"/>
      <c r="AC508" s="81"/>
      <c r="AD508" s="81"/>
      <c r="AE508" s="81"/>
      <c r="AF508" s="81"/>
      <c r="AG508" s="81"/>
      <c r="AH508" s="81"/>
    </row>
    <row r="509" spans="4:34" ht="14.25" customHeight="1">
      <c r="D509" s="81"/>
      <c r="E509" s="81"/>
      <c r="F509" s="81"/>
      <c r="G509" s="81"/>
      <c r="H509" s="81"/>
      <c r="I509" s="81"/>
      <c r="J509" s="81"/>
      <c r="K509" s="81"/>
      <c r="L509" s="81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1"/>
      <c r="Y509" s="81"/>
      <c r="Z509" s="81"/>
      <c r="AA509" s="81"/>
      <c r="AB509" s="81"/>
      <c r="AC509" s="81"/>
      <c r="AD509" s="81"/>
      <c r="AE509" s="81"/>
      <c r="AF509" s="81"/>
      <c r="AG509" s="81"/>
      <c r="AH509" s="81"/>
    </row>
    <row r="510" spans="4:34" ht="14.25" customHeight="1"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81"/>
      <c r="Y510" s="81"/>
      <c r="Z510" s="81"/>
      <c r="AA510" s="81"/>
      <c r="AB510" s="81"/>
      <c r="AC510" s="81"/>
      <c r="AD510" s="81"/>
      <c r="AE510" s="81"/>
      <c r="AF510" s="81"/>
      <c r="AG510" s="81"/>
      <c r="AH510" s="81"/>
    </row>
    <row r="511" spans="4:34" ht="14.25" customHeight="1">
      <c r="D511" s="81"/>
      <c r="E511" s="81"/>
      <c r="F511" s="81"/>
      <c r="G511" s="81"/>
      <c r="H511" s="81"/>
      <c r="I511" s="81"/>
      <c r="J511" s="81"/>
      <c r="K511" s="81"/>
      <c r="L511" s="81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1"/>
      <c r="Y511" s="81"/>
      <c r="Z511" s="81"/>
      <c r="AA511" s="81"/>
      <c r="AB511" s="81"/>
      <c r="AC511" s="81"/>
      <c r="AD511" s="81"/>
      <c r="AE511" s="81"/>
      <c r="AF511" s="81"/>
      <c r="AG511" s="81"/>
      <c r="AH511" s="81"/>
    </row>
    <row r="512" spans="4:34" ht="14.25" customHeight="1">
      <c r="D512" s="81"/>
      <c r="E512" s="81"/>
      <c r="F512" s="81"/>
      <c r="G512" s="81"/>
      <c r="H512" s="81"/>
      <c r="I512" s="81"/>
      <c r="J512" s="81"/>
      <c r="K512" s="81"/>
      <c r="L512" s="81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81"/>
      <c r="Y512" s="81"/>
      <c r="Z512" s="81"/>
      <c r="AA512" s="81"/>
      <c r="AB512" s="81"/>
      <c r="AC512" s="81"/>
      <c r="AD512" s="81"/>
      <c r="AE512" s="81"/>
      <c r="AF512" s="81"/>
      <c r="AG512" s="81"/>
      <c r="AH512" s="81"/>
    </row>
    <row r="513" spans="4:34" ht="14.25" customHeight="1">
      <c r="D513" s="81"/>
      <c r="E513" s="81"/>
      <c r="F513" s="81"/>
      <c r="G513" s="81"/>
      <c r="H513" s="81"/>
      <c r="I513" s="81"/>
      <c r="J513" s="81"/>
      <c r="K513" s="81"/>
      <c r="L513" s="81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1"/>
      <c r="Y513" s="81"/>
      <c r="Z513" s="81"/>
      <c r="AA513" s="81"/>
      <c r="AB513" s="81"/>
      <c r="AC513" s="81"/>
      <c r="AD513" s="81"/>
      <c r="AE513" s="81"/>
      <c r="AF513" s="81"/>
      <c r="AG513" s="81"/>
      <c r="AH513" s="81"/>
    </row>
    <row r="514" spans="4:34" ht="14.25" customHeight="1"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81"/>
      <c r="Y514" s="81"/>
      <c r="Z514" s="81"/>
      <c r="AA514" s="81"/>
      <c r="AB514" s="81"/>
      <c r="AC514" s="81"/>
      <c r="AD514" s="81"/>
      <c r="AE514" s="81"/>
      <c r="AF514" s="81"/>
      <c r="AG514" s="81"/>
      <c r="AH514" s="81"/>
    </row>
    <row r="515" spans="4:34" ht="14.25" customHeight="1">
      <c r="D515" s="81"/>
      <c r="E515" s="81"/>
      <c r="F515" s="81"/>
      <c r="G515" s="81"/>
      <c r="H515" s="81"/>
      <c r="I515" s="81"/>
      <c r="J515" s="81"/>
      <c r="K515" s="81"/>
      <c r="L515" s="81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1"/>
      <c r="Y515" s="81"/>
      <c r="Z515" s="81"/>
      <c r="AA515" s="81"/>
      <c r="AB515" s="81"/>
      <c r="AC515" s="81"/>
      <c r="AD515" s="81"/>
      <c r="AE515" s="81"/>
      <c r="AF515" s="81"/>
      <c r="AG515" s="81"/>
      <c r="AH515" s="81"/>
    </row>
    <row r="516" spans="4:34" ht="14.25" customHeight="1">
      <c r="D516" s="81"/>
      <c r="E516" s="81"/>
      <c r="F516" s="81"/>
      <c r="G516" s="81"/>
      <c r="H516" s="81"/>
      <c r="I516" s="81"/>
      <c r="J516" s="81"/>
      <c r="K516" s="81"/>
      <c r="L516" s="81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81"/>
      <c r="Y516" s="81"/>
      <c r="Z516" s="81"/>
      <c r="AA516" s="81"/>
      <c r="AB516" s="81"/>
      <c r="AC516" s="81"/>
      <c r="AD516" s="81"/>
      <c r="AE516" s="81"/>
      <c r="AF516" s="81"/>
      <c r="AG516" s="81"/>
      <c r="AH516" s="81"/>
    </row>
    <row r="517" spans="4:34" ht="14.25" customHeight="1">
      <c r="D517" s="81"/>
      <c r="E517" s="81"/>
      <c r="F517" s="81"/>
      <c r="G517" s="81"/>
      <c r="H517" s="81"/>
      <c r="I517" s="81"/>
      <c r="J517" s="81"/>
      <c r="K517" s="81"/>
      <c r="L517" s="81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1"/>
      <c r="Y517" s="81"/>
      <c r="Z517" s="81"/>
      <c r="AA517" s="81"/>
      <c r="AB517" s="81"/>
      <c r="AC517" s="81"/>
      <c r="AD517" s="81"/>
      <c r="AE517" s="81"/>
      <c r="AF517" s="81"/>
      <c r="AG517" s="81"/>
      <c r="AH517" s="81"/>
    </row>
    <row r="518" spans="4:34" ht="14.25" customHeight="1"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81"/>
      <c r="Y518" s="81"/>
      <c r="Z518" s="81"/>
      <c r="AA518" s="81"/>
      <c r="AB518" s="81"/>
      <c r="AC518" s="81"/>
      <c r="AD518" s="81"/>
      <c r="AE518" s="81"/>
      <c r="AF518" s="81"/>
      <c r="AG518" s="81"/>
      <c r="AH518" s="81"/>
    </row>
    <row r="519" spans="4:34" ht="14.25" customHeight="1">
      <c r="D519" s="81"/>
      <c r="E519" s="81"/>
      <c r="F519" s="81"/>
      <c r="G519" s="81"/>
      <c r="H519" s="81"/>
      <c r="I519" s="81"/>
      <c r="J519" s="81"/>
      <c r="K519" s="81"/>
      <c r="L519" s="81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1"/>
      <c r="Y519" s="81"/>
      <c r="Z519" s="81"/>
      <c r="AA519" s="81"/>
      <c r="AB519" s="81"/>
      <c r="AC519" s="81"/>
      <c r="AD519" s="81"/>
      <c r="AE519" s="81"/>
      <c r="AF519" s="81"/>
      <c r="AG519" s="81"/>
      <c r="AH519" s="81"/>
    </row>
    <row r="520" spans="4:34" ht="14.25" customHeight="1">
      <c r="D520" s="81"/>
      <c r="E520" s="81"/>
      <c r="F520" s="81"/>
      <c r="G520" s="81"/>
      <c r="H520" s="81"/>
      <c r="I520" s="81"/>
      <c r="J520" s="81"/>
      <c r="K520" s="81"/>
      <c r="L520" s="81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81"/>
      <c r="Y520" s="81"/>
      <c r="Z520" s="81"/>
      <c r="AA520" s="81"/>
      <c r="AB520" s="81"/>
      <c r="AC520" s="81"/>
      <c r="AD520" s="81"/>
      <c r="AE520" s="81"/>
      <c r="AF520" s="81"/>
      <c r="AG520" s="81"/>
      <c r="AH520" s="81"/>
    </row>
    <row r="521" spans="4:34" ht="14.25" customHeight="1">
      <c r="D521" s="81"/>
      <c r="E521" s="81"/>
      <c r="F521" s="81"/>
      <c r="G521" s="81"/>
      <c r="H521" s="81"/>
      <c r="I521" s="81"/>
      <c r="J521" s="81"/>
      <c r="K521" s="81"/>
      <c r="L521" s="81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1"/>
      <c r="Y521" s="81"/>
      <c r="Z521" s="81"/>
      <c r="AA521" s="81"/>
      <c r="AB521" s="81"/>
      <c r="AC521" s="81"/>
      <c r="AD521" s="81"/>
      <c r="AE521" s="81"/>
      <c r="AF521" s="81"/>
      <c r="AG521" s="81"/>
      <c r="AH521" s="81"/>
    </row>
    <row r="522" spans="4:34" ht="14.25" customHeight="1"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81"/>
      <c r="Y522" s="81"/>
      <c r="Z522" s="81"/>
      <c r="AA522" s="81"/>
      <c r="AB522" s="81"/>
      <c r="AC522" s="81"/>
      <c r="AD522" s="81"/>
      <c r="AE522" s="81"/>
      <c r="AF522" s="81"/>
      <c r="AG522" s="81"/>
      <c r="AH522" s="81"/>
    </row>
    <row r="523" spans="4:34" ht="14.25" customHeight="1">
      <c r="D523" s="81"/>
      <c r="E523" s="81"/>
      <c r="F523" s="81"/>
      <c r="G523" s="81"/>
      <c r="H523" s="81"/>
      <c r="I523" s="81"/>
      <c r="J523" s="81"/>
      <c r="K523" s="81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1"/>
      <c r="Y523" s="81"/>
      <c r="Z523" s="81"/>
      <c r="AA523" s="81"/>
      <c r="AB523" s="81"/>
      <c r="AC523" s="81"/>
      <c r="AD523" s="81"/>
      <c r="AE523" s="81"/>
      <c r="AF523" s="81"/>
      <c r="AG523" s="81"/>
      <c r="AH523" s="81"/>
    </row>
    <row r="524" spans="4:34" ht="14.25" customHeight="1">
      <c r="D524" s="81"/>
      <c r="E524" s="81"/>
      <c r="F524" s="81"/>
      <c r="G524" s="81"/>
      <c r="H524" s="81"/>
      <c r="I524" s="81"/>
      <c r="J524" s="81"/>
      <c r="K524" s="81"/>
      <c r="L524" s="81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81"/>
      <c r="Y524" s="81"/>
      <c r="Z524" s="81"/>
      <c r="AA524" s="81"/>
      <c r="AB524" s="81"/>
      <c r="AC524" s="81"/>
      <c r="AD524" s="81"/>
      <c r="AE524" s="81"/>
      <c r="AF524" s="81"/>
      <c r="AG524" s="81"/>
      <c r="AH524" s="81"/>
    </row>
    <row r="525" spans="4:34" ht="14.25" customHeight="1">
      <c r="D525" s="81"/>
      <c r="E525" s="81"/>
      <c r="F525" s="81"/>
      <c r="G525" s="81"/>
      <c r="H525" s="81"/>
      <c r="I525" s="81"/>
      <c r="J525" s="81"/>
      <c r="K525" s="81"/>
      <c r="L525" s="81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1"/>
      <c r="Y525" s="81"/>
      <c r="Z525" s="81"/>
      <c r="AA525" s="81"/>
      <c r="AB525" s="81"/>
      <c r="AC525" s="81"/>
      <c r="AD525" s="81"/>
      <c r="AE525" s="81"/>
      <c r="AF525" s="81"/>
      <c r="AG525" s="81"/>
      <c r="AH525" s="81"/>
    </row>
    <row r="526" spans="4:34" ht="14.25" customHeight="1"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81"/>
      <c r="Y526" s="81"/>
      <c r="Z526" s="81"/>
      <c r="AA526" s="81"/>
      <c r="AB526" s="81"/>
      <c r="AC526" s="81"/>
      <c r="AD526" s="81"/>
      <c r="AE526" s="81"/>
      <c r="AF526" s="81"/>
      <c r="AG526" s="81"/>
      <c r="AH526" s="81"/>
    </row>
    <row r="527" spans="4:34" ht="14.25" customHeight="1">
      <c r="D527" s="81"/>
      <c r="E527" s="81"/>
      <c r="F527" s="81"/>
      <c r="G527" s="81"/>
      <c r="H527" s="81"/>
      <c r="I527" s="81"/>
      <c r="J527" s="81"/>
      <c r="K527" s="81"/>
      <c r="L527" s="81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1"/>
      <c r="Y527" s="81"/>
      <c r="Z527" s="81"/>
      <c r="AA527" s="81"/>
      <c r="AB527" s="81"/>
      <c r="AC527" s="81"/>
      <c r="AD527" s="81"/>
      <c r="AE527" s="81"/>
      <c r="AF527" s="81"/>
      <c r="AG527" s="81"/>
      <c r="AH527" s="81"/>
    </row>
    <row r="528" spans="4:34" ht="14.25" customHeight="1">
      <c r="D528" s="81"/>
      <c r="E528" s="81"/>
      <c r="F528" s="81"/>
      <c r="G528" s="81"/>
      <c r="H528" s="81"/>
      <c r="I528" s="81"/>
      <c r="J528" s="81"/>
      <c r="K528" s="81"/>
      <c r="L528" s="81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81"/>
      <c r="Y528" s="81"/>
      <c r="Z528" s="81"/>
      <c r="AA528" s="81"/>
      <c r="AB528" s="81"/>
      <c r="AC528" s="81"/>
      <c r="AD528" s="81"/>
      <c r="AE528" s="81"/>
      <c r="AF528" s="81"/>
      <c r="AG528" s="81"/>
      <c r="AH528" s="81"/>
    </row>
    <row r="529" spans="4:34" ht="14.25" customHeight="1">
      <c r="D529" s="81"/>
      <c r="E529" s="81"/>
      <c r="F529" s="81"/>
      <c r="G529" s="81"/>
      <c r="H529" s="81"/>
      <c r="I529" s="81"/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1"/>
      <c r="Y529" s="81"/>
      <c r="Z529" s="81"/>
      <c r="AA529" s="81"/>
      <c r="AB529" s="81"/>
      <c r="AC529" s="81"/>
      <c r="AD529" s="81"/>
      <c r="AE529" s="81"/>
      <c r="AF529" s="81"/>
      <c r="AG529" s="81"/>
      <c r="AH529" s="81"/>
    </row>
    <row r="530" spans="4:34" ht="14.25" customHeight="1"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1"/>
      <c r="Y530" s="81"/>
      <c r="Z530" s="81"/>
      <c r="AA530" s="81"/>
      <c r="AB530" s="81"/>
      <c r="AC530" s="81"/>
      <c r="AD530" s="81"/>
      <c r="AE530" s="81"/>
      <c r="AF530" s="81"/>
      <c r="AG530" s="81"/>
      <c r="AH530" s="81"/>
    </row>
    <row r="531" spans="4:34" ht="14.25" customHeight="1">
      <c r="D531" s="81"/>
      <c r="E531" s="81"/>
      <c r="F531" s="81"/>
      <c r="G531" s="81"/>
      <c r="H531" s="81"/>
      <c r="I531" s="81"/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1"/>
      <c r="Y531" s="81"/>
      <c r="Z531" s="81"/>
      <c r="AA531" s="81"/>
      <c r="AB531" s="81"/>
      <c r="AC531" s="81"/>
      <c r="AD531" s="81"/>
      <c r="AE531" s="81"/>
      <c r="AF531" s="81"/>
      <c r="AG531" s="81"/>
      <c r="AH531" s="81"/>
    </row>
    <row r="532" spans="4:34" ht="14.25" customHeight="1">
      <c r="D532" s="81"/>
      <c r="E532" s="81"/>
      <c r="F532" s="81"/>
      <c r="G532" s="81"/>
      <c r="H532" s="81"/>
      <c r="I532" s="81"/>
      <c r="J532" s="81"/>
      <c r="K532" s="81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1"/>
      <c r="Y532" s="81"/>
      <c r="Z532" s="81"/>
      <c r="AA532" s="81"/>
      <c r="AB532" s="81"/>
      <c r="AC532" s="81"/>
      <c r="AD532" s="81"/>
      <c r="AE532" s="81"/>
      <c r="AF532" s="81"/>
      <c r="AG532" s="81"/>
      <c r="AH532" s="81"/>
    </row>
    <row r="533" spans="4:34" ht="14.25" customHeight="1">
      <c r="D533" s="81"/>
      <c r="E533" s="81"/>
      <c r="F533" s="81"/>
      <c r="G533" s="81"/>
      <c r="H533" s="81"/>
      <c r="I533" s="81"/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1"/>
      <c r="Y533" s="81"/>
      <c r="Z533" s="81"/>
      <c r="AA533" s="81"/>
      <c r="AB533" s="81"/>
      <c r="AC533" s="81"/>
      <c r="AD533" s="81"/>
      <c r="AE533" s="81"/>
      <c r="AF533" s="81"/>
      <c r="AG533" s="81"/>
      <c r="AH533" s="81"/>
    </row>
    <row r="534" spans="4:34" ht="14.25" customHeight="1"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1"/>
      <c r="Y534" s="81"/>
      <c r="Z534" s="81"/>
      <c r="AA534" s="81"/>
      <c r="AB534" s="81"/>
      <c r="AC534" s="81"/>
      <c r="AD534" s="81"/>
      <c r="AE534" s="81"/>
      <c r="AF534" s="81"/>
      <c r="AG534" s="81"/>
      <c r="AH534" s="81"/>
    </row>
    <row r="535" spans="4:34" ht="14.25" customHeight="1">
      <c r="D535" s="81"/>
      <c r="E535" s="81"/>
      <c r="F535" s="81"/>
      <c r="G535" s="81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1"/>
      <c r="Y535" s="81"/>
      <c r="Z535" s="81"/>
      <c r="AA535" s="81"/>
      <c r="AB535" s="81"/>
      <c r="AC535" s="81"/>
      <c r="AD535" s="81"/>
      <c r="AE535" s="81"/>
      <c r="AF535" s="81"/>
      <c r="AG535" s="81"/>
      <c r="AH535" s="81"/>
    </row>
    <row r="536" spans="4:34" ht="14.25" customHeight="1">
      <c r="D536" s="81"/>
      <c r="E536" s="81"/>
      <c r="F536" s="81"/>
      <c r="G536" s="81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1"/>
      <c r="Y536" s="81"/>
      <c r="Z536" s="81"/>
      <c r="AA536" s="81"/>
      <c r="AB536" s="81"/>
      <c r="AC536" s="81"/>
      <c r="AD536" s="81"/>
      <c r="AE536" s="81"/>
      <c r="AF536" s="81"/>
      <c r="AG536" s="81"/>
      <c r="AH536" s="81"/>
    </row>
    <row r="537" spans="4:34" ht="14.25" customHeight="1">
      <c r="D537" s="81"/>
      <c r="E537" s="81"/>
      <c r="F537" s="81"/>
      <c r="G537" s="81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1"/>
      <c r="Y537" s="81"/>
      <c r="Z537" s="81"/>
      <c r="AA537" s="81"/>
      <c r="AB537" s="81"/>
      <c r="AC537" s="81"/>
      <c r="AD537" s="81"/>
      <c r="AE537" s="81"/>
      <c r="AF537" s="81"/>
      <c r="AG537" s="81"/>
      <c r="AH537" s="81"/>
    </row>
    <row r="538" spans="4:34" ht="14.25" customHeight="1"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1"/>
      <c r="Y538" s="81"/>
      <c r="Z538" s="81"/>
      <c r="AA538" s="81"/>
      <c r="AB538" s="81"/>
      <c r="AC538" s="81"/>
      <c r="AD538" s="81"/>
      <c r="AE538" s="81"/>
      <c r="AF538" s="81"/>
      <c r="AG538" s="81"/>
      <c r="AH538" s="81"/>
    </row>
    <row r="539" spans="4:34" ht="14.25" customHeight="1">
      <c r="D539" s="81"/>
      <c r="E539" s="81"/>
      <c r="F539" s="81"/>
      <c r="G539" s="81"/>
      <c r="H539" s="81"/>
      <c r="I539" s="81"/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1"/>
      <c r="Y539" s="81"/>
      <c r="Z539" s="81"/>
      <c r="AA539" s="81"/>
      <c r="AB539" s="81"/>
      <c r="AC539" s="81"/>
      <c r="AD539" s="81"/>
      <c r="AE539" s="81"/>
      <c r="AF539" s="81"/>
      <c r="AG539" s="81"/>
      <c r="AH539" s="81"/>
    </row>
    <row r="540" spans="4:34" ht="14.25" customHeight="1">
      <c r="D540" s="81"/>
      <c r="E540" s="81"/>
      <c r="F540" s="81"/>
      <c r="G540" s="81"/>
      <c r="H540" s="81"/>
      <c r="I540" s="81"/>
      <c r="J540" s="81"/>
      <c r="K540" s="81"/>
      <c r="L540" s="81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81"/>
      <c r="Y540" s="81"/>
      <c r="Z540" s="81"/>
      <c r="AA540" s="81"/>
      <c r="AB540" s="81"/>
      <c r="AC540" s="81"/>
      <c r="AD540" s="81"/>
      <c r="AE540" s="81"/>
      <c r="AF540" s="81"/>
      <c r="AG540" s="81"/>
      <c r="AH540" s="81"/>
    </row>
    <row r="541" spans="4:34" ht="14.25" customHeight="1">
      <c r="D541" s="81"/>
      <c r="E541" s="81"/>
      <c r="F541" s="81"/>
      <c r="G541" s="81"/>
      <c r="H541" s="81"/>
      <c r="I541" s="81"/>
      <c r="J541" s="81"/>
      <c r="K541" s="81"/>
      <c r="L541" s="81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1"/>
      <c r="Y541" s="81"/>
      <c r="Z541" s="81"/>
      <c r="AA541" s="81"/>
      <c r="AB541" s="81"/>
      <c r="AC541" s="81"/>
      <c r="AD541" s="81"/>
      <c r="AE541" s="81"/>
      <c r="AF541" s="81"/>
      <c r="AG541" s="81"/>
      <c r="AH541" s="81"/>
    </row>
    <row r="542" spans="4:34" ht="14.25" customHeight="1"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81"/>
      <c r="Y542" s="81"/>
      <c r="Z542" s="81"/>
      <c r="AA542" s="81"/>
      <c r="AB542" s="81"/>
      <c r="AC542" s="81"/>
      <c r="AD542" s="81"/>
      <c r="AE542" s="81"/>
      <c r="AF542" s="81"/>
      <c r="AG542" s="81"/>
      <c r="AH542" s="81"/>
    </row>
    <row r="543" spans="4:34" ht="14.25" customHeight="1">
      <c r="D543" s="81"/>
      <c r="E543" s="81"/>
      <c r="F543" s="81"/>
      <c r="G543" s="81"/>
      <c r="H543" s="81"/>
      <c r="I543" s="81"/>
      <c r="J543" s="81"/>
      <c r="K543" s="81"/>
      <c r="L543" s="81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1"/>
      <c r="Y543" s="81"/>
      <c r="Z543" s="81"/>
      <c r="AA543" s="81"/>
      <c r="AB543" s="81"/>
      <c r="AC543" s="81"/>
      <c r="AD543" s="81"/>
      <c r="AE543" s="81"/>
      <c r="AF543" s="81"/>
      <c r="AG543" s="81"/>
      <c r="AH543" s="81"/>
    </row>
    <row r="544" spans="4:34" ht="14.25" customHeight="1">
      <c r="D544" s="81"/>
      <c r="E544" s="81"/>
      <c r="F544" s="81"/>
      <c r="G544" s="81"/>
      <c r="H544" s="81"/>
      <c r="I544" s="81"/>
      <c r="J544" s="81"/>
      <c r="K544" s="81"/>
      <c r="L544" s="81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81"/>
      <c r="Y544" s="81"/>
      <c r="Z544" s="81"/>
      <c r="AA544" s="81"/>
      <c r="AB544" s="81"/>
      <c r="AC544" s="81"/>
      <c r="AD544" s="81"/>
      <c r="AE544" s="81"/>
      <c r="AF544" s="81"/>
      <c r="AG544" s="81"/>
      <c r="AH544" s="81"/>
    </row>
    <row r="545" spans="4:34" ht="14.25" customHeight="1">
      <c r="D545" s="81"/>
      <c r="E545" s="81"/>
      <c r="F545" s="81"/>
      <c r="G545" s="81"/>
      <c r="H545" s="81"/>
      <c r="I545" s="81"/>
      <c r="J545" s="81"/>
      <c r="K545" s="81"/>
      <c r="L545" s="81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1"/>
      <c r="Y545" s="81"/>
      <c r="Z545" s="81"/>
      <c r="AA545" s="81"/>
      <c r="AB545" s="81"/>
      <c r="AC545" s="81"/>
      <c r="AD545" s="81"/>
      <c r="AE545" s="81"/>
      <c r="AF545" s="81"/>
      <c r="AG545" s="81"/>
      <c r="AH545" s="81"/>
    </row>
    <row r="546" spans="4:34" ht="14.25" customHeight="1"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81"/>
      <c r="Y546" s="81"/>
      <c r="Z546" s="81"/>
      <c r="AA546" s="81"/>
      <c r="AB546" s="81"/>
      <c r="AC546" s="81"/>
      <c r="AD546" s="81"/>
      <c r="AE546" s="81"/>
      <c r="AF546" s="81"/>
      <c r="AG546" s="81"/>
      <c r="AH546" s="81"/>
    </row>
    <row r="547" spans="4:34" ht="14.25" customHeight="1">
      <c r="D547" s="81"/>
      <c r="E547" s="81"/>
      <c r="F547" s="81"/>
      <c r="G547" s="81"/>
      <c r="H547" s="81"/>
      <c r="I547" s="81"/>
      <c r="J547" s="81"/>
      <c r="K547" s="81"/>
      <c r="L547" s="81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1"/>
      <c r="Y547" s="81"/>
      <c r="Z547" s="81"/>
      <c r="AA547" s="81"/>
      <c r="AB547" s="81"/>
      <c r="AC547" s="81"/>
      <c r="AD547" s="81"/>
      <c r="AE547" s="81"/>
      <c r="AF547" s="81"/>
      <c r="AG547" s="81"/>
      <c r="AH547" s="81"/>
    </row>
    <row r="548" spans="4:34" ht="14.25" customHeight="1">
      <c r="D548" s="81"/>
      <c r="E548" s="81"/>
      <c r="F548" s="81"/>
      <c r="G548" s="81"/>
      <c r="H548" s="81"/>
      <c r="I548" s="81"/>
      <c r="J548" s="81"/>
      <c r="K548" s="81"/>
      <c r="L548" s="81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81"/>
      <c r="Y548" s="81"/>
      <c r="Z548" s="81"/>
      <c r="AA548" s="81"/>
      <c r="AB548" s="81"/>
      <c r="AC548" s="81"/>
      <c r="AD548" s="81"/>
      <c r="AE548" s="81"/>
      <c r="AF548" s="81"/>
      <c r="AG548" s="81"/>
      <c r="AH548" s="81"/>
    </row>
    <row r="549" spans="4:34" ht="14.25" customHeight="1">
      <c r="D549" s="81"/>
      <c r="E549" s="81"/>
      <c r="F549" s="81"/>
      <c r="G549" s="81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1"/>
      <c r="Y549" s="81"/>
      <c r="Z549" s="81"/>
      <c r="AA549" s="81"/>
      <c r="AB549" s="81"/>
      <c r="AC549" s="81"/>
      <c r="AD549" s="81"/>
      <c r="AE549" s="81"/>
      <c r="AF549" s="81"/>
      <c r="AG549" s="81"/>
      <c r="AH549" s="81"/>
    </row>
    <row r="550" spans="4:34" ht="14.25" customHeight="1"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1"/>
      <c r="Y550" s="81"/>
      <c r="Z550" s="81"/>
      <c r="AA550" s="81"/>
      <c r="AB550" s="81"/>
      <c r="AC550" s="81"/>
      <c r="AD550" s="81"/>
      <c r="AE550" s="81"/>
      <c r="AF550" s="81"/>
      <c r="AG550" s="81"/>
      <c r="AH550" s="81"/>
    </row>
    <row r="551" spans="4:34" ht="14.25" customHeight="1">
      <c r="D551" s="81"/>
      <c r="E551" s="81"/>
      <c r="F551" s="81"/>
      <c r="G551" s="81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1"/>
      <c r="Y551" s="81"/>
      <c r="Z551" s="81"/>
      <c r="AA551" s="81"/>
      <c r="AB551" s="81"/>
      <c r="AC551" s="81"/>
      <c r="AD551" s="81"/>
      <c r="AE551" s="81"/>
      <c r="AF551" s="81"/>
      <c r="AG551" s="81"/>
      <c r="AH551" s="81"/>
    </row>
    <row r="552" spans="4:34" ht="14.25" customHeight="1">
      <c r="D552" s="81"/>
      <c r="E552" s="81"/>
      <c r="F552" s="81"/>
      <c r="G552" s="81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1"/>
      <c r="Y552" s="81"/>
      <c r="Z552" s="81"/>
      <c r="AA552" s="81"/>
      <c r="AB552" s="81"/>
      <c r="AC552" s="81"/>
      <c r="AD552" s="81"/>
      <c r="AE552" s="81"/>
      <c r="AF552" s="81"/>
      <c r="AG552" s="81"/>
      <c r="AH552" s="81"/>
    </row>
    <row r="553" spans="4:34" ht="14.25" customHeight="1">
      <c r="D553" s="81"/>
      <c r="E553" s="81"/>
      <c r="F553" s="81"/>
      <c r="G553" s="81"/>
      <c r="H553" s="81"/>
      <c r="I553" s="81"/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1"/>
      <c r="Y553" s="81"/>
      <c r="Z553" s="81"/>
      <c r="AA553" s="81"/>
      <c r="AB553" s="81"/>
      <c r="AC553" s="81"/>
      <c r="AD553" s="81"/>
      <c r="AE553" s="81"/>
      <c r="AF553" s="81"/>
      <c r="AG553" s="81"/>
      <c r="AH553" s="81"/>
    </row>
    <row r="554" spans="4:34" ht="14.25" customHeight="1"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1"/>
      <c r="Y554" s="81"/>
      <c r="Z554" s="81"/>
      <c r="AA554" s="81"/>
      <c r="AB554" s="81"/>
      <c r="AC554" s="81"/>
      <c r="AD554" s="81"/>
      <c r="AE554" s="81"/>
      <c r="AF554" s="81"/>
      <c r="AG554" s="81"/>
      <c r="AH554" s="81"/>
    </row>
    <row r="555" spans="4:34" ht="14.25" customHeight="1">
      <c r="D555" s="81"/>
      <c r="E555" s="81"/>
      <c r="F555" s="81"/>
      <c r="G555" s="81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1"/>
      <c r="Y555" s="81"/>
      <c r="Z555" s="81"/>
      <c r="AA555" s="81"/>
      <c r="AB555" s="81"/>
      <c r="AC555" s="81"/>
      <c r="AD555" s="81"/>
      <c r="AE555" s="81"/>
      <c r="AF555" s="81"/>
      <c r="AG555" s="81"/>
      <c r="AH555" s="81"/>
    </row>
    <row r="556" spans="4:34" ht="14.25" customHeight="1">
      <c r="D556" s="81"/>
      <c r="E556" s="81"/>
      <c r="F556" s="81"/>
      <c r="G556" s="81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1"/>
      <c r="Y556" s="81"/>
      <c r="Z556" s="81"/>
      <c r="AA556" s="81"/>
      <c r="AB556" s="81"/>
      <c r="AC556" s="81"/>
      <c r="AD556" s="81"/>
      <c r="AE556" s="81"/>
      <c r="AF556" s="81"/>
      <c r="AG556" s="81"/>
      <c r="AH556" s="81"/>
    </row>
    <row r="557" spans="4:34" ht="14.25" customHeight="1">
      <c r="D557" s="81"/>
      <c r="E557" s="81"/>
      <c r="F557" s="81"/>
      <c r="G557" s="81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1"/>
      <c r="Y557" s="81"/>
      <c r="Z557" s="81"/>
      <c r="AA557" s="81"/>
      <c r="AB557" s="81"/>
      <c r="AC557" s="81"/>
      <c r="AD557" s="81"/>
      <c r="AE557" s="81"/>
      <c r="AF557" s="81"/>
      <c r="AG557" s="81"/>
      <c r="AH557" s="81"/>
    </row>
    <row r="558" spans="4:34" ht="14.25" customHeight="1"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1"/>
      <c r="Y558" s="81"/>
      <c r="Z558" s="81"/>
      <c r="AA558" s="81"/>
      <c r="AB558" s="81"/>
      <c r="AC558" s="81"/>
      <c r="AD558" s="81"/>
      <c r="AE558" s="81"/>
      <c r="AF558" s="81"/>
      <c r="AG558" s="81"/>
      <c r="AH558" s="81"/>
    </row>
    <row r="559" spans="4:34" ht="14.25" customHeight="1">
      <c r="D559" s="81"/>
      <c r="E559" s="81"/>
      <c r="F559" s="81"/>
      <c r="G559" s="81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1"/>
      <c r="Y559" s="81"/>
      <c r="Z559" s="81"/>
      <c r="AA559" s="81"/>
      <c r="AB559" s="81"/>
      <c r="AC559" s="81"/>
      <c r="AD559" s="81"/>
      <c r="AE559" s="81"/>
      <c r="AF559" s="81"/>
      <c r="AG559" s="81"/>
      <c r="AH559" s="81"/>
    </row>
    <row r="560" spans="4:34" ht="14.25" customHeight="1">
      <c r="D560" s="81"/>
      <c r="E560" s="81"/>
      <c r="F560" s="81"/>
      <c r="G560" s="81"/>
      <c r="H560" s="81"/>
      <c r="I560" s="81"/>
      <c r="J560" s="81"/>
      <c r="K560" s="81"/>
      <c r="L560" s="81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81"/>
      <c r="Y560" s="81"/>
      <c r="Z560" s="81"/>
      <c r="AA560" s="81"/>
      <c r="AB560" s="81"/>
      <c r="AC560" s="81"/>
      <c r="AD560" s="81"/>
      <c r="AE560" s="81"/>
      <c r="AF560" s="81"/>
      <c r="AG560" s="81"/>
      <c r="AH560" s="81"/>
    </row>
    <row r="561" spans="4:34" ht="14.25" customHeight="1">
      <c r="D561" s="81"/>
      <c r="E561" s="81"/>
      <c r="F561" s="81"/>
      <c r="G561" s="81"/>
      <c r="H561" s="81"/>
      <c r="I561" s="81"/>
      <c r="J561" s="81"/>
      <c r="K561" s="81"/>
      <c r="L561" s="81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1"/>
      <c r="Y561" s="81"/>
      <c r="Z561" s="81"/>
      <c r="AA561" s="81"/>
      <c r="AB561" s="81"/>
      <c r="AC561" s="81"/>
      <c r="AD561" s="81"/>
      <c r="AE561" s="81"/>
      <c r="AF561" s="81"/>
      <c r="AG561" s="81"/>
      <c r="AH561" s="81"/>
    </row>
    <row r="562" spans="4:34" ht="14.25" customHeight="1"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81"/>
      <c r="Y562" s="81"/>
      <c r="Z562" s="81"/>
      <c r="AA562" s="81"/>
      <c r="AB562" s="81"/>
      <c r="AC562" s="81"/>
      <c r="AD562" s="81"/>
      <c r="AE562" s="81"/>
      <c r="AF562" s="81"/>
      <c r="AG562" s="81"/>
      <c r="AH562" s="81"/>
    </row>
    <row r="563" spans="4:34" ht="14.25" customHeight="1">
      <c r="D563" s="81"/>
      <c r="E563" s="81"/>
      <c r="F563" s="81"/>
      <c r="G563" s="81"/>
      <c r="H563" s="81"/>
      <c r="I563" s="81"/>
      <c r="J563" s="81"/>
      <c r="K563" s="81"/>
      <c r="L563" s="81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1"/>
      <c r="Y563" s="81"/>
      <c r="Z563" s="81"/>
      <c r="AA563" s="81"/>
      <c r="AB563" s="81"/>
      <c r="AC563" s="81"/>
      <c r="AD563" s="81"/>
      <c r="AE563" s="81"/>
      <c r="AF563" s="81"/>
      <c r="AG563" s="81"/>
      <c r="AH563" s="81"/>
    </row>
    <row r="564" spans="4:34" ht="14.25" customHeight="1">
      <c r="D564" s="81"/>
      <c r="E564" s="81"/>
      <c r="F564" s="81"/>
      <c r="G564" s="81"/>
      <c r="H564" s="81"/>
      <c r="I564" s="81"/>
      <c r="J564" s="81"/>
      <c r="K564" s="81"/>
      <c r="L564" s="81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81"/>
      <c r="Y564" s="81"/>
      <c r="Z564" s="81"/>
      <c r="AA564" s="81"/>
      <c r="AB564" s="81"/>
      <c r="AC564" s="81"/>
      <c r="AD564" s="81"/>
      <c r="AE564" s="81"/>
      <c r="AF564" s="81"/>
      <c r="AG564" s="81"/>
      <c r="AH564" s="81"/>
    </row>
    <row r="565" spans="4:34" ht="14.25" customHeight="1">
      <c r="D565" s="81"/>
      <c r="E565" s="81"/>
      <c r="F565" s="81"/>
      <c r="G565" s="81"/>
      <c r="H565" s="81"/>
      <c r="I565" s="81"/>
      <c r="J565" s="81"/>
      <c r="K565" s="81"/>
      <c r="L565" s="81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1"/>
      <c r="Y565" s="81"/>
      <c r="Z565" s="81"/>
      <c r="AA565" s="81"/>
      <c r="AB565" s="81"/>
      <c r="AC565" s="81"/>
      <c r="AD565" s="81"/>
      <c r="AE565" s="81"/>
      <c r="AF565" s="81"/>
      <c r="AG565" s="81"/>
      <c r="AH565" s="81"/>
    </row>
    <row r="566" spans="4:34" ht="14.25" customHeight="1"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81"/>
      <c r="Y566" s="81"/>
      <c r="Z566" s="81"/>
      <c r="AA566" s="81"/>
      <c r="AB566" s="81"/>
      <c r="AC566" s="81"/>
      <c r="AD566" s="81"/>
      <c r="AE566" s="81"/>
      <c r="AF566" s="81"/>
      <c r="AG566" s="81"/>
      <c r="AH566" s="81"/>
    </row>
    <row r="567" spans="4:34" ht="14.25" customHeight="1">
      <c r="D567" s="81"/>
      <c r="E567" s="81"/>
      <c r="F567" s="81"/>
      <c r="G567" s="81"/>
      <c r="H567" s="81"/>
      <c r="I567" s="81"/>
      <c r="J567" s="81"/>
      <c r="K567" s="81"/>
      <c r="L567" s="81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1"/>
      <c r="Y567" s="81"/>
      <c r="Z567" s="81"/>
      <c r="AA567" s="81"/>
      <c r="AB567" s="81"/>
      <c r="AC567" s="81"/>
      <c r="AD567" s="81"/>
      <c r="AE567" s="81"/>
      <c r="AF567" s="81"/>
      <c r="AG567" s="81"/>
      <c r="AH567" s="81"/>
    </row>
    <row r="568" spans="4:34" ht="14.25" customHeight="1">
      <c r="D568" s="81"/>
      <c r="E568" s="81"/>
      <c r="F568" s="81"/>
      <c r="G568" s="81"/>
      <c r="H568" s="81"/>
      <c r="I568" s="81"/>
      <c r="J568" s="81"/>
      <c r="K568" s="81"/>
      <c r="L568" s="81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81"/>
      <c r="Y568" s="81"/>
      <c r="Z568" s="81"/>
      <c r="AA568" s="81"/>
      <c r="AB568" s="81"/>
      <c r="AC568" s="81"/>
      <c r="AD568" s="81"/>
      <c r="AE568" s="81"/>
      <c r="AF568" s="81"/>
      <c r="AG568" s="81"/>
      <c r="AH568" s="81"/>
    </row>
    <row r="569" spans="4:34" ht="14.25" customHeight="1">
      <c r="D569" s="81"/>
      <c r="E569" s="81"/>
      <c r="F569" s="81"/>
      <c r="G569" s="81"/>
      <c r="H569" s="81"/>
      <c r="I569" s="81"/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1"/>
      <c r="Y569" s="81"/>
      <c r="Z569" s="81"/>
      <c r="AA569" s="81"/>
      <c r="AB569" s="81"/>
      <c r="AC569" s="81"/>
      <c r="AD569" s="81"/>
      <c r="AE569" s="81"/>
      <c r="AF569" s="81"/>
      <c r="AG569" s="81"/>
      <c r="AH569" s="81"/>
    </row>
    <row r="570" spans="4:34" ht="14.25" customHeight="1"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81"/>
      <c r="Y570" s="81"/>
      <c r="Z570" s="81"/>
      <c r="AA570" s="81"/>
      <c r="AB570" s="81"/>
      <c r="AC570" s="81"/>
      <c r="AD570" s="81"/>
      <c r="AE570" s="81"/>
      <c r="AF570" s="81"/>
      <c r="AG570" s="81"/>
      <c r="AH570" s="81"/>
    </row>
    <row r="571" spans="4:34" ht="14.25" customHeight="1">
      <c r="D571" s="81"/>
      <c r="E571" s="81"/>
      <c r="F571" s="81"/>
      <c r="G571" s="81"/>
      <c r="H571" s="81"/>
      <c r="I571" s="81"/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1"/>
      <c r="Y571" s="81"/>
      <c r="Z571" s="81"/>
      <c r="AA571" s="81"/>
      <c r="AB571" s="81"/>
      <c r="AC571" s="81"/>
      <c r="AD571" s="81"/>
      <c r="AE571" s="81"/>
      <c r="AF571" s="81"/>
      <c r="AG571" s="81"/>
      <c r="AH571" s="81"/>
    </row>
    <row r="572" spans="4:34" ht="14.25" customHeight="1">
      <c r="D572" s="81"/>
      <c r="E572" s="81"/>
      <c r="F572" s="81"/>
      <c r="G572" s="81"/>
      <c r="H572" s="81"/>
      <c r="I572" s="81"/>
      <c r="J572" s="81"/>
      <c r="K572" s="81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81"/>
      <c r="Y572" s="81"/>
      <c r="Z572" s="81"/>
      <c r="AA572" s="81"/>
      <c r="AB572" s="81"/>
      <c r="AC572" s="81"/>
      <c r="AD572" s="81"/>
      <c r="AE572" s="81"/>
      <c r="AF572" s="81"/>
      <c r="AG572" s="81"/>
      <c r="AH572" s="81"/>
    </row>
    <row r="573" spans="4:34" ht="14.25" customHeight="1">
      <c r="D573" s="81"/>
      <c r="E573" s="81"/>
      <c r="F573" s="81"/>
      <c r="G573" s="81"/>
      <c r="H573" s="81"/>
      <c r="I573" s="81"/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1"/>
      <c r="Y573" s="81"/>
      <c r="Z573" s="81"/>
      <c r="AA573" s="81"/>
      <c r="AB573" s="81"/>
      <c r="AC573" s="81"/>
      <c r="AD573" s="81"/>
      <c r="AE573" s="81"/>
      <c r="AF573" s="81"/>
      <c r="AG573" s="81"/>
      <c r="AH573" s="81"/>
    </row>
    <row r="574" spans="4:34" ht="14.25" customHeight="1"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81"/>
      <c r="Y574" s="81"/>
      <c r="Z574" s="81"/>
      <c r="AA574" s="81"/>
      <c r="AB574" s="81"/>
      <c r="AC574" s="81"/>
      <c r="AD574" s="81"/>
      <c r="AE574" s="81"/>
      <c r="AF574" s="81"/>
      <c r="AG574" s="81"/>
      <c r="AH574" s="81"/>
    </row>
    <row r="575" spans="4:34" ht="14.25" customHeight="1">
      <c r="D575" s="81"/>
      <c r="E575" s="81"/>
      <c r="F575" s="81"/>
      <c r="G575" s="81"/>
      <c r="H575" s="81"/>
      <c r="I575" s="81"/>
      <c r="J575" s="81"/>
      <c r="K575" s="81"/>
      <c r="L575" s="81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1"/>
      <c r="Y575" s="81"/>
      <c r="Z575" s="81"/>
      <c r="AA575" s="81"/>
      <c r="AB575" s="81"/>
      <c r="AC575" s="81"/>
      <c r="AD575" s="81"/>
      <c r="AE575" s="81"/>
      <c r="AF575" s="81"/>
      <c r="AG575" s="81"/>
      <c r="AH575" s="81"/>
    </row>
    <row r="576" spans="4:34" ht="14.25" customHeight="1">
      <c r="D576" s="81"/>
      <c r="E576" s="81"/>
      <c r="F576" s="81"/>
      <c r="G576" s="81"/>
      <c r="H576" s="81"/>
      <c r="I576" s="81"/>
      <c r="J576" s="81"/>
      <c r="K576" s="81"/>
      <c r="L576" s="81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81"/>
      <c r="Y576" s="81"/>
      <c r="Z576" s="81"/>
      <c r="AA576" s="81"/>
      <c r="AB576" s="81"/>
      <c r="AC576" s="81"/>
      <c r="AD576" s="81"/>
      <c r="AE576" s="81"/>
      <c r="AF576" s="81"/>
      <c r="AG576" s="81"/>
      <c r="AH576" s="81"/>
    </row>
    <row r="577" spans="4:34" ht="14.25" customHeight="1">
      <c r="D577" s="81"/>
      <c r="E577" s="81"/>
      <c r="F577" s="81"/>
      <c r="G577" s="81"/>
      <c r="H577" s="81"/>
      <c r="I577" s="81"/>
      <c r="J577" s="81"/>
      <c r="K577" s="81"/>
      <c r="L577" s="81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1"/>
      <c r="Y577" s="81"/>
      <c r="Z577" s="81"/>
      <c r="AA577" s="81"/>
      <c r="AB577" s="81"/>
      <c r="AC577" s="81"/>
      <c r="AD577" s="81"/>
      <c r="AE577" s="81"/>
      <c r="AF577" s="81"/>
      <c r="AG577" s="81"/>
      <c r="AH577" s="81"/>
    </row>
    <row r="578" spans="4:34" ht="14.25" customHeight="1"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81"/>
      <c r="Y578" s="81"/>
      <c r="Z578" s="81"/>
      <c r="AA578" s="81"/>
      <c r="AB578" s="81"/>
      <c r="AC578" s="81"/>
      <c r="AD578" s="81"/>
      <c r="AE578" s="81"/>
      <c r="AF578" s="81"/>
      <c r="AG578" s="81"/>
      <c r="AH578" s="81"/>
    </row>
    <row r="579" spans="4:34" ht="14.25" customHeight="1">
      <c r="D579" s="81"/>
      <c r="E579" s="81"/>
      <c r="F579" s="81"/>
      <c r="G579" s="81"/>
      <c r="H579" s="81"/>
      <c r="I579" s="81"/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1"/>
      <c r="Y579" s="81"/>
      <c r="Z579" s="81"/>
      <c r="AA579" s="81"/>
      <c r="AB579" s="81"/>
      <c r="AC579" s="81"/>
      <c r="AD579" s="81"/>
      <c r="AE579" s="81"/>
      <c r="AF579" s="81"/>
      <c r="AG579" s="81"/>
      <c r="AH579" s="81"/>
    </row>
    <row r="580" spans="4:34" ht="14.25" customHeight="1">
      <c r="D580" s="81"/>
      <c r="E580" s="81"/>
      <c r="F580" s="81"/>
      <c r="G580" s="81"/>
      <c r="H580" s="81"/>
      <c r="I580" s="81"/>
      <c r="J580" s="81"/>
      <c r="K580" s="81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81"/>
      <c r="Y580" s="81"/>
      <c r="Z580" s="81"/>
      <c r="AA580" s="81"/>
      <c r="AB580" s="81"/>
      <c r="AC580" s="81"/>
      <c r="AD580" s="81"/>
      <c r="AE580" s="81"/>
      <c r="AF580" s="81"/>
      <c r="AG580" s="81"/>
      <c r="AH580" s="81"/>
    </row>
    <row r="581" spans="4:34" ht="14.25" customHeight="1">
      <c r="D581" s="81"/>
      <c r="E581" s="81"/>
      <c r="F581" s="81"/>
      <c r="G581" s="81"/>
      <c r="H581" s="81"/>
      <c r="I581" s="81"/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1"/>
      <c r="Y581" s="81"/>
      <c r="Z581" s="81"/>
      <c r="AA581" s="81"/>
      <c r="AB581" s="81"/>
      <c r="AC581" s="81"/>
      <c r="AD581" s="81"/>
      <c r="AE581" s="81"/>
      <c r="AF581" s="81"/>
      <c r="AG581" s="81"/>
      <c r="AH581" s="81"/>
    </row>
    <row r="582" spans="4:34" ht="14.25" customHeight="1"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81"/>
      <c r="Y582" s="81"/>
      <c r="Z582" s="81"/>
      <c r="AA582" s="81"/>
      <c r="AB582" s="81"/>
      <c r="AC582" s="81"/>
      <c r="AD582" s="81"/>
      <c r="AE582" s="81"/>
      <c r="AF582" s="81"/>
      <c r="AG582" s="81"/>
      <c r="AH582" s="81"/>
    </row>
    <row r="583" spans="4:34" ht="14.25" customHeight="1">
      <c r="D583" s="81"/>
      <c r="E583" s="81"/>
      <c r="F583" s="81"/>
      <c r="G583" s="81"/>
      <c r="H583" s="81"/>
      <c r="I583" s="81"/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1"/>
      <c r="Y583" s="81"/>
      <c r="Z583" s="81"/>
      <c r="AA583" s="81"/>
      <c r="AB583" s="81"/>
      <c r="AC583" s="81"/>
      <c r="AD583" s="81"/>
      <c r="AE583" s="81"/>
      <c r="AF583" s="81"/>
      <c r="AG583" s="81"/>
      <c r="AH583" s="81"/>
    </row>
    <row r="584" spans="4:34" ht="14.25" customHeight="1">
      <c r="D584" s="81"/>
      <c r="E584" s="81"/>
      <c r="F584" s="81"/>
      <c r="G584" s="81"/>
      <c r="H584" s="81"/>
      <c r="I584" s="81"/>
      <c r="J584" s="81"/>
      <c r="K584" s="81"/>
      <c r="L584" s="81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81"/>
      <c r="Y584" s="81"/>
      <c r="Z584" s="81"/>
      <c r="AA584" s="81"/>
      <c r="AB584" s="81"/>
      <c r="AC584" s="81"/>
      <c r="AD584" s="81"/>
      <c r="AE584" s="81"/>
      <c r="AF584" s="81"/>
      <c r="AG584" s="81"/>
      <c r="AH584" s="81"/>
    </row>
    <row r="585" spans="4:34" ht="14.25" customHeight="1">
      <c r="D585" s="81"/>
      <c r="E585" s="81"/>
      <c r="F585" s="81"/>
      <c r="G585" s="81"/>
      <c r="H585" s="81"/>
      <c r="I585" s="81"/>
      <c r="J585" s="81"/>
      <c r="K585" s="81"/>
      <c r="L585" s="81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1"/>
      <c r="Y585" s="81"/>
      <c r="Z585" s="81"/>
      <c r="AA585" s="81"/>
      <c r="AB585" s="81"/>
      <c r="AC585" s="81"/>
      <c r="AD585" s="81"/>
      <c r="AE585" s="81"/>
      <c r="AF585" s="81"/>
      <c r="AG585" s="81"/>
      <c r="AH585" s="81"/>
    </row>
    <row r="586" spans="4:34" ht="14.25" customHeight="1"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81"/>
      <c r="Y586" s="81"/>
      <c r="Z586" s="81"/>
      <c r="AA586" s="81"/>
      <c r="AB586" s="81"/>
      <c r="AC586" s="81"/>
      <c r="AD586" s="81"/>
      <c r="AE586" s="81"/>
      <c r="AF586" s="81"/>
      <c r="AG586" s="81"/>
      <c r="AH586" s="81"/>
    </row>
    <row r="587" spans="4:34" ht="14.25" customHeight="1">
      <c r="D587" s="81"/>
      <c r="E587" s="81"/>
      <c r="F587" s="81"/>
      <c r="G587" s="81"/>
      <c r="H587" s="81"/>
      <c r="I587" s="81"/>
      <c r="J587" s="81"/>
      <c r="K587" s="81"/>
      <c r="L587" s="81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1"/>
      <c r="Y587" s="81"/>
      <c r="Z587" s="81"/>
      <c r="AA587" s="81"/>
      <c r="AB587" s="81"/>
      <c r="AC587" s="81"/>
      <c r="AD587" s="81"/>
      <c r="AE587" s="81"/>
      <c r="AF587" s="81"/>
      <c r="AG587" s="81"/>
      <c r="AH587" s="81"/>
    </row>
    <row r="588" spans="4:34" ht="14.25" customHeight="1">
      <c r="D588" s="81"/>
      <c r="E588" s="81"/>
      <c r="F588" s="81"/>
      <c r="G588" s="81"/>
      <c r="H588" s="81"/>
      <c r="I588" s="81"/>
      <c r="J588" s="81"/>
      <c r="K588" s="81"/>
      <c r="L588" s="81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81"/>
      <c r="Y588" s="81"/>
      <c r="Z588" s="81"/>
      <c r="AA588" s="81"/>
      <c r="AB588" s="81"/>
      <c r="AC588" s="81"/>
      <c r="AD588" s="81"/>
      <c r="AE588" s="81"/>
      <c r="AF588" s="81"/>
      <c r="AG588" s="81"/>
      <c r="AH588" s="81"/>
    </row>
    <row r="589" spans="4:34" ht="14.25" customHeight="1">
      <c r="D589" s="81"/>
      <c r="E589" s="81"/>
      <c r="F589" s="81"/>
      <c r="G589" s="81"/>
      <c r="H589" s="81"/>
      <c r="I589" s="81"/>
      <c r="J589" s="81"/>
      <c r="K589" s="81"/>
      <c r="L589" s="81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1"/>
      <c r="Y589" s="81"/>
      <c r="Z589" s="81"/>
      <c r="AA589" s="81"/>
      <c r="AB589" s="81"/>
      <c r="AC589" s="81"/>
      <c r="AD589" s="81"/>
      <c r="AE589" s="81"/>
      <c r="AF589" s="81"/>
      <c r="AG589" s="81"/>
      <c r="AH589" s="81"/>
    </row>
    <row r="590" spans="4:34" ht="14.25" customHeight="1"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81"/>
      <c r="Y590" s="81"/>
      <c r="Z590" s="81"/>
      <c r="AA590" s="81"/>
      <c r="AB590" s="81"/>
      <c r="AC590" s="81"/>
      <c r="AD590" s="81"/>
      <c r="AE590" s="81"/>
      <c r="AF590" s="81"/>
      <c r="AG590" s="81"/>
      <c r="AH590" s="81"/>
    </row>
    <row r="591" spans="4:34" ht="14.25" customHeight="1">
      <c r="D591" s="81"/>
      <c r="E591" s="81"/>
      <c r="F591" s="81"/>
      <c r="G591" s="81"/>
      <c r="H591" s="81"/>
      <c r="I591" s="81"/>
      <c r="J591" s="81"/>
      <c r="K591" s="81"/>
      <c r="L591" s="81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1"/>
      <c r="Y591" s="81"/>
      <c r="Z591" s="81"/>
      <c r="AA591" s="81"/>
      <c r="AB591" s="81"/>
      <c r="AC591" s="81"/>
      <c r="AD591" s="81"/>
      <c r="AE591" s="81"/>
      <c r="AF591" s="81"/>
      <c r="AG591" s="81"/>
      <c r="AH591" s="81"/>
    </row>
    <row r="592" spans="4:34" ht="14.25" customHeight="1">
      <c r="D592" s="81"/>
      <c r="E592" s="81"/>
      <c r="F592" s="81"/>
      <c r="G592" s="81"/>
      <c r="H592" s="81"/>
      <c r="I592" s="81"/>
      <c r="J592" s="81"/>
      <c r="K592" s="81"/>
      <c r="L592" s="81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81"/>
      <c r="Y592" s="81"/>
      <c r="Z592" s="81"/>
      <c r="AA592" s="81"/>
      <c r="AB592" s="81"/>
      <c r="AC592" s="81"/>
      <c r="AD592" s="81"/>
      <c r="AE592" s="81"/>
      <c r="AF592" s="81"/>
      <c r="AG592" s="81"/>
      <c r="AH592" s="81"/>
    </row>
    <row r="593" spans="4:34" ht="14.25" customHeight="1">
      <c r="D593" s="81"/>
      <c r="E593" s="81"/>
      <c r="F593" s="81"/>
      <c r="G593" s="81"/>
      <c r="H593" s="81"/>
      <c r="I593" s="81"/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1"/>
      <c r="Y593" s="81"/>
      <c r="Z593" s="81"/>
      <c r="AA593" s="81"/>
      <c r="AB593" s="81"/>
      <c r="AC593" s="81"/>
      <c r="AD593" s="81"/>
      <c r="AE593" s="81"/>
      <c r="AF593" s="81"/>
      <c r="AG593" s="81"/>
      <c r="AH593" s="81"/>
    </row>
    <row r="594" spans="4:34" ht="14.25" customHeight="1"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1"/>
      <c r="Y594" s="81"/>
      <c r="Z594" s="81"/>
      <c r="AA594" s="81"/>
      <c r="AB594" s="81"/>
      <c r="AC594" s="81"/>
      <c r="AD594" s="81"/>
      <c r="AE594" s="81"/>
      <c r="AF594" s="81"/>
      <c r="AG594" s="81"/>
      <c r="AH594" s="81"/>
    </row>
    <row r="595" spans="4:34" ht="14.25" customHeight="1">
      <c r="D595" s="81"/>
      <c r="E595" s="81"/>
      <c r="F595" s="81"/>
      <c r="G595" s="81"/>
      <c r="H595" s="81"/>
      <c r="I595" s="81"/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1"/>
      <c r="Y595" s="81"/>
      <c r="Z595" s="81"/>
      <c r="AA595" s="81"/>
      <c r="AB595" s="81"/>
      <c r="AC595" s="81"/>
      <c r="AD595" s="81"/>
      <c r="AE595" s="81"/>
      <c r="AF595" s="81"/>
      <c r="AG595" s="81"/>
      <c r="AH595" s="81"/>
    </row>
    <row r="596" spans="4:34" ht="14.25" customHeight="1">
      <c r="D596" s="81"/>
      <c r="E596" s="81"/>
      <c r="F596" s="81"/>
      <c r="G596" s="81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1"/>
      <c r="Y596" s="81"/>
      <c r="Z596" s="81"/>
      <c r="AA596" s="81"/>
      <c r="AB596" s="81"/>
      <c r="AC596" s="81"/>
      <c r="AD596" s="81"/>
      <c r="AE596" s="81"/>
      <c r="AF596" s="81"/>
      <c r="AG596" s="81"/>
      <c r="AH596" s="81"/>
    </row>
    <row r="597" spans="4:34" ht="14.25" customHeight="1">
      <c r="D597" s="81"/>
      <c r="E597" s="81"/>
      <c r="F597" s="81"/>
      <c r="G597" s="81"/>
      <c r="H597" s="81"/>
      <c r="I597" s="81"/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1"/>
      <c r="Y597" s="81"/>
      <c r="Z597" s="81"/>
      <c r="AA597" s="81"/>
      <c r="AB597" s="81"/>
      <c r="AC597" s="81"/>
      <c r="AD597" s="81"/>
      <c r="AE597" s="81"/>
      <c r="AF597" s="81"/>
      <c r="AG597" s="81"/>
      <c r="AH597" s="81"/>
    </row>
    <row r="598" spans="4:34" ht="14.25" customHeight="1"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81"/>
      <c r="Y598" s="81"/>
      <c r="Z598" s="81"/>
      <c r="AA598" s="81"/>
      <c r="AB598" s="81"/>
      <c r="AC598" s="81"/>
      <c r="AD598" s="81"/>
      <c r="AE598" s="81"/>
      <c r="AF598" s="81"/>
      <c r="AG598" s="81"/>
      <c r="AH598" s="81"/>
    </row>
    <row r="599" spans="4:34" ht="14.25" customHeight="1">
      <c r="D599" s="81"/>
      <c r="E599" s="81"/>
      <c r="F599" s="81"/>
      <c r="G599" s="81"/>
      <c r="H599" s="81"/>
      <c r="I599" s="81"/>
      <c r="J599" s="81"/>
      <c r="K599" s="81"/>
      <c r="L599" s="81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1"/>
      <c r="Y599" s="81"/>
      <c r="Z599" s="81"/>
      <c r="AA599" s="81"/>
      <c r="AB599" s="81"/>
      <c r="AC599" s="81"/>
      <c r="AD599" s="81"/>
      <c r="AE599" s="81"/>
      <c r="AF599" s="81"/>
      <c r="AG599" s="81"/>
      <c r="AH599" s="81"/>
    </row>
    <row r="600" spans="4:34" ht="14.25" customHeight="1">
      <c r="D600" s="81"/>
      <c r="E600" s="81"/>
      <c r="F600" s="81"/>
      <c r="G600" s="81"/>
      <c r="H600" s="81"/>
      <c r="I600" s="81"/>
      <c r="J600" s="81"/>
      <c r="K600" s="81"/>
      <c r="L600" s="81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81"/>
      <c r="Y600" s="81"/>
      <c r="Z600" s="81"/>
      <c r="AA600" s="81"/>
      <c r="AB600" s="81"/>
      <c r="AC600" s="81"/>
      <c r="AD600" s="81"/>
      <c r="AE600" s="81"/>
      <c r="AF600" s="81"/>
      <c r="AG600" s="81"/>
      <c r="AH600" s="81"/>
    </row>
    <row r="601" spans="4:34" ht="14.25" customHeight="1">
      <c r="D601" s="81"/>
      <c r="E601" s="81"/>
      <c r="F601" s="81"/>
      <c r="G601" s="81"/>
      <c r="H601" s="81"/>
      <c r="I601" s="81"/>
      <c r="J601" s="81"/>
      <c r="K601" s="81"/>
      <c r="L601" s="81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1"/>
      <c r="Y601" s="81"/>
      <c r="Z601" s="81"/>
      <c r="AA601" s="81"/>
      <c r="AB601" s="81"/>
      <c r="AC601" s="81"/>
      <c r="AD601" s="81"/>
      <c r="AE601" s="81"/>
      <c r="AF601" s="81"/>
      <c r="AG601" s="81"/>
      <c r="AH601" s="81"/>
    </row>
    <row r="602" spans="4:34" ht="14.25" customHeight="1"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1"/>
      <c r="Y602" s="81"/>
      <c r="Z602" s="81"/>
      <c r="AA602" s="81"/>
      <c r="AB602" s="81"/>
      <c r="AC602" s="81"/>
      <c r="AD602" s="81"/>
      <c r="AE602" s="81"/>
      <c r="AF602" s="81"/>
      <c r="AG602" s="81"/>
      <c r="AH602" s="81"/>
    </row>
    <row r="603" spans="4:34" ht="14.25" customHeight="1">
      <c r="D603" s="81"/>
      <c r="E603" s="81"/>
      <c r="F603" s="81"/>
      <c r="G603" s="81"/>
      <c r="H603" s="81"/>
      <c r="I603" s="81"/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1"/>
      <c r="Y603" s="81"/>
      <c r="Z603" s="81"/>
      <c r="AA603" s="81"/>
      <c r="AB603" s="81"/>
      <c r="AC603" s="81"/>
      <c r="AD603" s="81"/>
      <c r="AE603" s="81"/>
      <c r="AF603" s="81"/>
      <c r="AG603" s="81"/>
      <c r="AH603" s="81"/>
    </row>
    <row r="604" spans="4:34" ht="14.25" customHeight="1">
      <c r="D604" s="81"/>
      <c r="E604" s="81"/>
      <c r="F604" s="81"/>
      <c r="G604" s="81"/>
      <c r="H604" s="81"/>
      <c r="I604" s="81"/>
      <c r="J604" s="81"/>
      <c r="K604" s="81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1"/>
      <c r="Y604" s="81"/>
      <c r="Z604" s="81"/>
      <c r="AA604" s="81"/>
      <c r="AB604" s="81"/>
      <c r="AC604" s="81"/>
      <c r="AD604" s="81"/>
      <c r="AE604" s="81"/>
      <c r="AF604" s="81"/>
      <c r="AG604" s="81"/>
      <c r="AH604" s="81"/>
    </row>
    <row r="605" spans="4:34" ht="14.25" customHeight="1">
      <c r="D605" s="81"/>
      <c r="E605" s="81"/>
      <c r="F605" s="81"/>
      <c r="G605" s="81"/>
      <c r="H605" s="81"/>
      <c r="I605" s="81"/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1"/>
      <c r="Y605" s="81"/>
      <c r="Z605" s="81"/>
      <c r="AA605" s="81"/>
      <c r="AB605" s="81"/>
      <c r="AC605" s="81"/>
      <c r="AD605" s="81"/>
      <c r="AE605" s="81"/>
      <c r="AF605" s="81"/>
      <c r="AG605" s="81"/>
      <c r="AH605" s="81"/>
    </row>
    <row r="606" spans="4:34" ht="14.25" customHeight="1"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1"/>
      <c r="Y606" s="81"/>
      <c r="Z606" s="81"/>
      <c r="AA606" s="81"/>
      <c r="AB606" s="81"/>
      <c r="AC606" s="81"/>
      <c r="AD606" s="81"/>
      <c r="AE606" s="81"/>
      <c r="AF606" s="81"/>
      <c r="AG606" s="81"/>
      <c r="AH606" s="81"/>
    </row>
    <row r="607" spans="4:34" ht="14.25" customHeight="1">
      <c r="D607" s="81"/>
      <c r="E607" s="81"/>
      <c r="F607" s="81"/>
      <c r="G607" s="81"/>
      <c r="H607" s="81"/>
      <c r="I607" s="81"/>
      <c r="J607" s="81"/>
      <c r="K607" s="81"/>
      <c r="L607" s="81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1"/>
      <c r="Y607" s="81"/>
      <c r="Z607" s="81"/>
      <c r="AA607" s="81"/>
      <c r="AB607" s="81"/>
      <c r="AC607" s="81"/>
      <c r="AD607" s="81"/>
      <c r="AE607" s="81"/>
      <c r="AF607" s="81"/>
      <c r="AG607" s="81"/>
      <c r="AH607" s="81"/>
    </row>
    <row r="608" spans="4:34" ht="14.25" customHeight="1">
      <c r="D608" s="81"/>
      <c r="E608" s="81"/>
      <c r="F608" s="81"/>
      <c r="G608" s="81"/>
      <c r="H608" s="81"/>
      <c r="I608" s="81"/>
      <c r="J608" s="81"/>
      <c r="K608" s="81"/>
      <c r="L608" s="81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81"/>
      <c r="Y608" s="81"/>
      <c r="Z608" s="81"/>
      <c r="AA608" s="81"/>
      <c r="AB608" s="81"/>
      <c r="AC608" s="81"/>
      <c r="AD608" s="81"/>
      <c r="AE608" s="81"/>
      <c r="AF608" s="81"/>
      <c r="AG608" s="81"/>
      <c r="AH608" s="81"/>
    </row>
    <row r="609" spans="4:34" ht="14.25" customHeight="1">
      <c r="D609" s="81"/>
      <c r="E609" s="81"/>
      <c r="F609" s="81"/>
      <c r="G609" s="81"/>
      <c r="H609" s="81"/>
      <c r="I609" s="81"/>
      <c r="J609" s="81"/>
      <c r="K609" s="81"/>
      <c r="L609" s="81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1"/>
      <c r="Y609" s="81"/>
      <c r="Z609" s="81"/>
      <c r="AA609" s="81"/>
      <c r="AB609" s="81"/>
      <c r="AC609" s="81"/>
      <c r="AD609" s="81"/>
      <c r="AE609" s="81"/>
      <c r="AF609" s="81"/>
      <c r="AG609" s="81"/>
      <c r="AH609" s="81"/>
    </row>
    <row r="610" spans="4:34" ht="14.25" customHeight="1"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81"/>
      <c r="Y610" s="81"/>
      <c r="Z610" s="81"/>
      <c r="AA610" s="81"/>
      <c r="AB610" s="81"/>
      <c r="AC610" s="81"/>
      <c r="AD610" s="81"/>
      <c r="AE610" s="81"/>
      <c r="AF610" s="81"/>
      <c r="AG610" s="81"/>
      <c r="AH610" s="81"/>
    </row>
    <row r="611" spans="4:34" ht="14.25" customHeight="1">
      <c r="D611" s="81"/>
      <c r="E611" s="81"/>
      <c r="F611" s="81"/>
      <c r="G611" s="81"/>
      <c r="H611" s="81"/>
      <c r="I611" s="81"/>
      <c r="J611" s="81"/>
      <c r="K611" s="81"/>
      <c r="L611" s="81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1"/>
      <c r="Y611" s="81"/>
      <c r="Z611" s="81"/>
      <c r="AA611" s="81"/>
      <c r="AB611" s="81"/>
      <c r="AC611" s="81"/>
      <c r="AD611" s="81"/>
      <c r="AE611" s="81"/>
      <c r="AF611" s="81"/>
      <c r="AG611" s="81"/>
      <c r="AH611" s="81"/>
    </row>
    <row r="612" spans="4:34" ht="14.25" customHeight="1">
      <c r="D612" s="81"/>
      <c r="E612" s="81"/>
      <c r="F612" s="81"/>
      <c r="G612" s="81"/>
      <c r="H612" s="81"/>
      <c r="I612" s="81"/>
      <c r="J612" s="81"/>
      <c r="K612" s="81"/>
      <c r="L612" s="81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81"/>
      <c r="Y612" s="81"/>
      <c r="Z612" s="81"/>
      <c r="AA612" s="81"/>
      <c r="AB612" s="81"/>
      <c r="AC612" s="81"/>
      <c r="AD612" s="81"/>
      <c r="AE612" s="81"/>
      <c r="AF612" s="81"/>
      <c r="AG612" s="81"/>
      <c r="AH612" s="81"/>
    </row>
    <row r="613" spans="4:34" ht="14.25" customHeight="1">
      <c r="D613" s="81"/>
      <c r="E613" s="81"/>
      <c r="F613" s="81"/>
      <c r="G613" s="81"/>
      <c r="H613" s="81"/>
      <c r="I613" s="81"/>
      <c r="J613" s="81"/>
      <c r="K613" s="81"/>
      <c r="L613" s="81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1"/>
      <c r="Y613" s="81"/>
      <c r="Z613" s="81"/>
      <c r="AA613" s="81"/>
      <c r="AB613" s="81"/>
      <c r="AC613" s="81"/>
      <c r="AD613" s="81"/>
      <c r="AE613" s="81"/>
      <c r="AF613" s="81"/>
      <c r="AG613" s="81"/>
      <c r="AH613" s="81"/>
    </row>
    <row r="614" spans="4:34" ht="14.25" customHeight="1"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81"/>
      <c r="Y614" s="81"/>
      <c r="Z614" s="81"/>
      <c r="AA614" s="81"/>
      <c r="AB614" s="81"/>
      <c r="AC614" s="81"/>
      <c r="AD614" s="81"/>
      <c r="AE614" s="81"/>
      <c r="AF614" s="81"/>
      <c r="AG614" s="81"/>
      <c r="AH614" s="81"/>
    </row>
    <row r="615" spans="4:34" ht="14.25" customHeight="1">
      <c r="D615" s="81"/>
      <c r="E615" s="81"/>
      <c r="F615" s="81"/>
      <c r="G615" s="81"/>
      <c r="H615" s="81"/>
      <c r="I615" s="81"/>
      <c r="J615" s="81"/>
      <c r="K615" s="81"/>
      <c r="L615" s="81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1"/>
      <c r="Y615" s="81"/>
      <c r="Z615" s="81"/>
      <c r="AA615" s="81"/>
      <c r="AB615" s="81"/>
      <c r="AC615" s="81"/>
      <c r="AD615" s="81"/>
      <c r="AE615" s="81"/>
      <c r="AF615" s="81"/>
      <c r="AG615" s="81"/>
      <c r="AH615" s="81"/>
    </row>
    <row r="616" spans="4:34" ht="14.25" customHeight="1">
      <c r="D616" s="81"/>
      <c r="E616" s="81"/>
      <c r="F616" s="81"/>
      <c r="G616" s="81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1"/>
      <c r="Y616" s="81"/>
      <c r="Z616" s="81"/>
      <c r="AA616" s="81"/>
      <c r="AB616" s="81"/>
      <c r="AC616" s="81"/>
      <c r="AD616" s="81"/>
      <c r="AE616" s="81"/>
      <c r="AF616" s="81"/>
      <c r="AG616" s="81"/>
      <c r="AH616" s="81"/>
    </row>
    <row r="617" spans="4:34" ht="14.25" customHeight="1">
      <c r="D617" s="81"/>
      <c r="E617" s="81"/>
      <c r="F617" s="81"/>
      <c r="G617" s="81"/>
      <c r="H617" s="81"/>
      <c r="I617" s="81"/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1"/>
      <c r="Y617" s="81"/>
      <c r="Z617" s="81"/>
      <c r="AA617" s="81"/>
      <c r="AB617" s="81"/>
      <c r="AC617" s="81"/>
      <c r="AD617" s="81"/>
      <c r="AE617" s="81"/>
      <c r="AF617" s="81"/>
      <c r="AG617" s="81"/>
      <c r="AH617" s="81"/>
    </row>
    <row r="618" spans="4:34" ht="14.25" customHeight="1"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1"/>
      <c r="Y618" s="81"/>
      <c r="Z618" s="81"/>
      <c r="AA618" s="81"/>
      <c r="AB618" s="81"/>
      <c r="AC618" s="81"/>
      <c r="AD618" s="81"/>
      <c r="AE618" s="81"/>
      <c r="AF618" s="81"/>
      <c r="AG618" s="81"/>
      <c r="AH618" s="81"/>
    </row>
    <row r="619" spans="4:34" ht="14.25" customHeight="1">
      <c r="D619" s="81"/>
      <c r="E619" s="81"/>
      <c r="F619" s="81"/>
      <c r="G619" s="81"/>
      <c r="H619" s="81"/>
      <c r="I619" s="81"/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1"/>
      <c r="Y619" s="81"/>
      <c r="Z619" s="81"/>
      <c r="AA619" s="81"/>
      <c r="AB619" s="81"/>
      <c r="AC619" s="81"/>
      <c r="AD619" s="81"/>
      <c r="AE619" s="81"/>
      <c r="AF619" s="81"/>
      <c r="AG619" s="81"/>
      <c r="AH619" s="81"/>
    </row>
    <row r="620" spans="4:34" ht="14.25" customHeight="1">
      <c r="D620" s="81"/>
      <c r="E620" s="81"/>
      <c r="F620" s="81"/>
      <c r="G620" s="81"/>
      <c r="H620" s="81"/>
      <c r="I620" s="81"/>
      <c r="J620" s="81"/>
      <c r="K620" s="81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1"/>
      <c r="Y620" s="81"/>
      <c r="Z620" s="81"/>
      <c r="AA620" s="81"/>
      <c r="AB620" s="81"/>
      <c r="AC620" s="81"/>
      <c r="AD620" s="81"/>
      <c r="AE620" s="81"/>
      <c r="AF620" s="81"/>
      <c r="AG620" s="81"/>
      <c r="AH620" s="81"/>
    </row>
    <row r="621" spans="4:34" ht="14.25" customHeight="1">
      <c r="D621" s="81"/>
      <c r="E621" s="81"/>
      <c r="F621" s="81"/>
      <c r="G621" s="81"/>
      <c r="H621" s="81"/>
      <c r="I621" s="81"/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1"/>
      <c r="Y621" s="81"/>
      <c r="Z621" s="81"/>
      <c r="AA621" s="81"/>
      <c r="AB621" s="81"/>
      <c r="AC621" s="81"/>
      <c r="AD621" s="81"/>
      <c r="AE621" s="81"/>
      <c r="AF621" s="81"/>
      <c r="AG621" s="81"/>
      <c r="AH621" s="81"/>
    </row>
    <row r="622" spans="4:34" ht="14.25" customHeight="1"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81"/>
      <c r="Y622" s="81"/>
      <c r="Z622" s="81"/>
      <c r="AA622" s="81"/>
      <c r="AB622" s="81"/>
      <c r="AC622" s="81"/>
      <c r="AD622" s="81"/>
      <c r="AE622" s="81"/>
      <c r="AF622" s="81"/>
      <c r="AG622" s="81"/>
      <c r="AH622" s="81"/>
    </row>
    <row r="623" spans="4:34" ht="14.25" customHeight="1">
      <c r="D623" s="81"/>
      <c r="E623" s="81"/>
      <c r="F623" s="81"/>
      <c r="G623" s="81"/>
      <c r="H623" s="81"/>
      <c r="I623" s="81"/>
      <c r="J623" s="81"/>
      <c r="K623" s="81"/>
      <c r="L623" s="81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81"/>
      <c r="Y623" s="81"/>
      <c r="Z623" s="81"/>
      <c r="AA623" s="81"/>
      <c r="AB623" s="81"/>
      <c r="AC623" s="81"/>
      <c r="AD623" s="81"/>
      <c r="AE623" s="81"/>
      <c r="AF623" s="81"/>
      <c r="AG623" s="81"/>
      <c r="AH623" s="81"/>
    </row>
    <row r="624" spans="4:34" ht="14.25" customHeight="1">
      <c r="D624" s="81"/>
      <c r="E624" s="81"/>
      <c r="F624" s="81"/>
      <c r="G624" s="81"/>
      <c r="H624" s="81"/>
      <c r="I624" s="81"/>
      <c r="J624" s="81"/>
      <c r="K624" s="81"/>
      <c r="L624" s="81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81"/>
      <c r="Y624" s="81"/>
      <c r="Z624" s="81"/>
      <c r="AA624" s="81"/>
      <c r="AB624" s="81"/>
      <c r="AC624" s="81"/>
      <c r="AD624" s="81"/>
      <c r="AE624" s="81"/>
      <c r="AF624" s="81"/>
      <c r="AG624" s="81"/>
      <c r="AH624" s="81"/>
    </row>
    <row r="625" spans="4:34" ht="14.25" customHeight="1">
      <c r="D625" s="81"/>
      <c r="E625" s="81"/>
      <c r="F625" s="81"/>
      <c r="G625" s="81"/>
      <c r="H625" s="81"/>
      <c r="I625" s="81"/>
      <c r="J625" s="81"/>
      <c r="K625" s="81"/>
      <c r="L625" s="81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81"/>
      <c r="Y625" s="81"/>
      <c r="Z625" s="81"/>
      <c r="AA625" s="81"/>
      <c r="AB625" s="81"/>
      <c r="AC625" s="81"/>
      <c r="AD625" s="81"/>
      <c r="AE625" s="81"/>
      <c r="AF625" s="81"/>
      <c r="AG625" s="81"/>
      <c r="AH625" s="81"/>
    </row>
    <row r="626" spans="4:34" ht="14.25" customHeight="1"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1"/>
      <c r="Y626" s="81"/>
      <c r="Z626" s="81"/>
      <c r="AA626" s="81"/>
      <c r="AB626" s="81"/>
      <c r="AC626" s="81"/>
      <c r="AD626" s="81"/>
      <c r="AE626" s="81"/>
      <c r="AF626" s="81"/>
      <c r="AG626" s="81"/>
      <c r="AH626" s="81"/>
    </row>
    <row r="627" spans="4:34" ht="14.25" customHeight="1">
      <c r="D627" s="81"/>
      <c r="E627" s="81"/>
      <c r="F627" s="81"/>
      <c r="G627" s="81"/>
      <c r="H627" s="81"/>
      <c r="I627" s="81"/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1"/>
      <c r="Y627" s="81"/>
      <c r="Z627" s="81"/>
      <c r="AA627" s="81"/>
      <c r="AB627" s="81"/>
      <c r="AC627" s="81"/>
      <c r="AD627" s="81"/>
      <c r="AE627" s="81"/>
      <c r="AF627" s="81"/>
      <c r="AG627" s="81"/>
      <c r="AH627" s="81"/>
    </row>
    <row r="628" spans="4:34" ht="14.25" customHeight="1">
      <c r="D628" s="81"/>
      <c r="E628" s="81"/>
      <c r="F628" s="81"/>
      <c r="G628" s="81"/>
      <c r="H628" s="81"/>
      <c r="I628" s="81"/>
      <c r="J628" s="81"/>
      <c r="K628" s="81"/>
      <c r="L628" s="81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1"/>
      <c r="Y628" s="81"/>
      <c r="Z628" s="81"/>
      <c r="AA628" s="81"/>
      <c r="AB628" s="81"/>
      <c r="AC628" s="81"/>
      <c r="AD628" s="81"/>
      <c r="AE628" s="81"/>
      <c r="AF628" s="81"/>
      <c r="AG628" s="81"/>
      <c r="AH628" s="81"/>
    </row>
    <row r="629" spans="4:34" ht="14.25" customHeight="1">
      <c r="D629" s="81"/>
      <c r="E629" s="81"/>
      <c r="F629" s="81"/>
      <c r="G629" s="81"/>
      <c r="H629" s="81"/>
      <c r="I629" s="81"/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1"/>
      <c r="Y629" s="81"/>
      <c r="Z629" s="81"/>
      <c r="AA629" s="81"/>
      <c r="AB629" s="81"/>
      <c r="AC629" s="81"/>
      <c r="AD629" s="81"/>
      <c r="AE629" s="81"/>
      <c r="AF629" s="81"/>
      <c r="AG629" s="81"/>
      <c r="AH629" s="81"/>
    </row>
    <row r="630" spans="4:34" ht="14.25" customHeight="1"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1"/>
      <c r="Y630" s="81"/>
      <c r="Z630" s="81"/>
      <c r="AA630" s="81"/>
      <c r="AB630" s="81"/>
      <c r="AC630" s="81"/>
      <c r="AD630" s="81"/>
      <c r="AE630" s="81"/>
      <c r="AF630" s="81"/>
      <c r="AG630" s="81"/>
      <c r="AH630" s="81"/>
    </row>
    <row r="631" spans="4:34" ht="14.25" customHeight="1">
      <c r="D631" s="81"/>
      <c r="E631" s="81"/>
      <c r="F631" s="81"/>
      <c r="G631" s="81"/>
      <c r="H631" s="81"/>
      <c r="I631" s="81"/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1"/>
      <c r="Y631" s="81"/>
      <c r="Z631" s="81"/>
      <c r="AA631" s="81"/>
      <c r="AB631" s="81"/>
      <c r="AC631" s="81"/>
      <c r="AD631" s="81"/>
      <c r="AE631" s="81"/>
      <c r="AF631" s="81"/>
      <c r="AG631" s="81"/>
      <c r="AH631" s="81"/>
    </row>
    <row r="632" spans="4:34" ht="14.25" customHeight="1">
      <c r="D632" s="81"/>
      <c r="E632" s="81"/>
      <c r="F632" s="81"/>
      <c r="G632" s="81"/>
      <c r="H632" s="81"/>
      <c r="I632" s="81"/>
      <c r="J632" s="81"/>
      <c r="K632" s="81"/>
      <c r="L632" s="81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1"/>
      <c r="Y632" s="81"/>
      <c r="Z632" s="81"/>
      <c r="AA632" s="81"/>
      <c r="AB632" s="81"/>
      <c r="AC632" s="81"/>
      <c r="AD632" s="81"/>
      <c r="AE632" s="81"/>
      <c r="AF632" s="81"/>
      <c r="AG632" s="81"/>
      <c r="AH632" s="81"/>
    </row>
    <row r="633" spans="4:34" ht="14.25" customHeight="1">
      <c r="D633" s="81"/>
      <c r="E633" s="81"/>
      <c r="F633" s="81"/>
      <c r="G633" s="81"/>
      <c r="H633" s="81"/>
      <c r="I633" s="81"/>
      <c r="J633" s="81"/>
      <c r="K633" s="81"/>
      <c r="L633" s="81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81"/>
      <c r="Y633" s="81"/>
      <c r="Z633" s="81"/>
      <c r="AA633" s="81"/>
      <c r="AB633" s="81"/>
      <c r="AC633" s="81"/>
      <c r="AD633" s="81"/>
      <c r="AE633" s="81"/>
      <c r="AF633" s="81"/>
      <c r="AG633" s="81"/>
      <c r="AH633" s="81"/>
    </row>
    <row r="634" spans="4:34" ht="14.25" customHeight="1"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  <c r="S634" s="81"/>
      <c r="T634" s="81"/>
      <c r="U634" s="81"/>
      <c r="V634" s="81"/>
      <c r="W634" s="81"/>
      <c r="X634" s="81"/>
      <c r="Y634" s="81"/>
      <c r="Z634" s="81"/>
      <c r="AA634" s="81"/>
      <c r="AB634" s="81"/>
      <c r="AC634" s="81"/>
      <c r="AD634" s="81"/>
      <c r="AE634" s="81"/>
      <c r="AF634" s="81"/>
      <c r="AG634" s="81"/>
      <c r="AH634" s="81"/>
    </row>
    <row r="635" spans="4:34" ht="14.25" customHeight="1">
      <c r="D635" s="81"/>
      <c r="E635" s="81"/>
      <c r="F635" s="81"/>
      <c r="G635" s="81"/>
      <c r="H635" s="81"/>
      <c r="I635" s="81"/>
      <c r="J635" s="81"/>
      <c r="K635" s="81"/>
      <c r="L635" s="81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81"/>
      <c r="Y635" s="81"/>
      <c r="Z635" s="81"/>
      <c r="AA635" s="81"/>
      <c r="AB635" s="81"/>
      <c r="AC635" s="81"/>
      <c r="AD635" s="81"/>
      <c r="AE635" s="81"/>
      <c r="AF635" s="81"/>
      <c r="AG635" s="81"/>
      <c r="AH635" s="81"/>
    </row>
    <row r="636" spans="4:34" ht="14.25" customHeight="1">
      <c r="D636" s="81"/>
      <c r="E636" s="81"/>
      <c r="F636" s="81"/>
      <c r="G636" s="81"/>
      <c r="H636" s="81"/>
      <c r="I636" s="81"/>
      <c r="J636" s="81"/>
      <c r="K636" s="81"/>
      <c r="L636" s="81"/>
      <c r="M636" s="81"/>
      <c r="N636" s="81"/>
      <c r="O636" s="81"/>
      <c r="P636" s="81"/>
      <c r="Q636" s="81"/>
      <c r="R636" s="81"/>
      <c r="S636" s="81"/>
      <c r="T636" s="81"/>
      <c r="U636" s="81"/>
      <c r="V636" s="81"/>
      <c r="W636" s="81"/>
      <c r="X636" s="81"/>
      <c r="Y636" s="81"/>
      <c r="Z636" s="81"/>
      <c r="AA636" s="81"/>
      <c r="AB636" s="81"/>
      <c r="AC636" s="81"/>
      <c r="AD636" s="81"/>
      <c r="AE636" s="81"/>
      <c r="AF636" s="81"/>
      <c r="AG636" s="81"/>
      <c r="AH636" s="81"/>
    </row>
    <row r="637" spans="4:34" ht="14.25" customHeight="1">
      <c r="D637" s="81"/>
      <c r="E637" s="81"/>
      <c r="F637" s="81"/>
      <c r="G637" s="81"/>
      <c r="H637" s="81"/>
      <c r="I637" s="81"/>
      <c r="J637" s="81"/>
      <c r="K637" s="81"/>
      <c r="L637" s="81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81"/>
      <c r="Y637" s="81"/>
      <c r="Z637" s="81"/>
      <c r="AA637" s="81"/>
      <c r="AB637" s="81"/>
      <c r="AC637" s="81"/>
      <c r="AD637" s="81"/>
      <c r="AE637" s="81"/>
      <c r="AF637" s="81"/>
      <c r="AG637" s="81"/>
      <c r="AH637" s="81"/>
    </row>
    <row r="638" spans="4:34" ht="14.25" customHeight="1"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  <c r="S638" s="81"/>
      <c r="T638" s="81"/>
      <c r="U638" s="81"/>
      <c r="V638" s="81"/>
      <c r="W638" s="81"/>
      <c r="X638" s="81"/>
      <c r="Y638" s="81"/>
      <c r="Z638" s="81"/>
      <c r="AA638" s="81"/>
      <c r="AB638" s="81"/>
      <c r="AC638" s="81"/>
      <c r="AD638" s="81"/>
      <c r="AE638" s="81"/>
      <c r="AF638" s="81"/>
      <c r="AG638" s="81"/>
      <c r="AH638" s="81"/>
    </row>
    <row r="639" spans="4:34" ht="14.25" customHeight="1">
      <c r="D639" s="81"/>
      <c r="E639" s="81"/>
      <c r="F639" s="81"/>
      <c r="G639" s="81"/>
      <c r="H639" s="81"/>
      <c r="I639" s="81"/>
      <c r="J639" s="81"/>
      <c r="K639" s="81"/>
      <c r="L639" s="81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81"/>
      <c r="Y639" s="81"/>
      <c r="Z639" s="81"/>
      <c r="AA639" s="81"/>
      <c r="AB639" s="81"/>
      <c r="AC639" s="81"/>
      <c r="AD639" s="81"/>
      <c r="AE639" s="81"/>
      <c r="AF639" s="81"/>
      <c r="AG639" s="81"/>
      <c r="AH639" s="81"/>
    </row>
    <row r="640" spans="4:34" ht="14.25" customHeight="1">
      <c r="D640" s="81"/>
      <c r="E640" s="81"/>
      <c r="F640" s="81"/>
      <c r="G640" s="81"/>
      <c r="H640" s="81"/>
      <c r="I640" s="81"/>
      <c r="J640" s="81"/>
      <c r="K640" s="81"/>
      <c r="L640" s="81"/>
      <c r="M640" s="81"/>
      <c r="N640" s="81"/>
      <c r="O640" s="81"/>
      <c r="P640" s="81"/>
      <c r="Q640" s="81"/>
      <c r="R640" s="81"/>
      <c r="S640" s="81"/>
      <c r="T640" s="81"/>
      <c r="U640" s="81"/>
      <c r="V640" s="81"/>
      <c r="W640" s="81"/>
      <c r="X640" s="81"/>
      <c r="Y640" s="81"/>
      <c r="Z640" s="81"/>
      <c r="AA640" s="81"/>
      <c r="AB640" s="81"/>
      <c r="AC640" s="81"/>
      <c r="AD640" s="81"/>
      <c r="AE640" s="81"/>
      <c r="AF640" s="81"/>
      <c r="AG640" s="81"/>
      <c r="AH640" s="81"/>
    </row>
    <row r="641" spans="4:34" ht="14.25" customHeight="1">
      <c r="D641" s="81"/>
      <c r="E641" s="81"/>
      <c r="F641" s="81"/>
      <c r="G641" s="81"/>
      <c r="H641" s="81"/>
      <c r="I641" s="81"/>
      <c r="J641" s="81"/>
      <c r="K641" s="81"/>
      <c r="L641" s="81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81"/>
      <c r="Y641" s="81"/>
      <c r="Z641" s="81"/>
      <c r="AA641" s="81"/>
      <c r="AB641" s="81"/>
      <c r="AC641" s="81"/>
      <c r="AD641" s="81"/>
      <c r="AE641" s="81"/>
      <c r="AF641" s="81"/>
      <c r="AG641" s="81"/>
      <c r="AH641" s="81"/>
    </row>
    <row r="642" spans="4:34" ht="14.25" customHeight="1"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1"/>
      <c r="Y642" s="81"/>
      <c r="Z642" s="81"/>
      <c r="AA642" s="81"/>
      <c r="AB642" s="81"/>
      <c r="AC642" s="81"/>
      <c r="AD642" s="81"/>
      <c r="AE642" s="81"/>
      <c r="AF642" s="81"/>
      <c r="AG642" s="81"/>
      <c r="AH642" s="81"/>
    </row>
    <row r="643" spans="4:34" ht="14.25" customHeight="1">
      <c r="D643" s="81"/>
      <c r="E643" s="81"/>
      <c r="F643" s="81"/>
      <c r="G643" s="81"/>
      <c r="H643" s="81"/>
      <c r="I643" s="81"/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1"/>
      <c r="Y643" s="81"/>
      <c r="Z643" s="81"/>
      <c r="AA643" s="81"/>
      <c r="AB643" s="81"/>
      <c r="AC643" s="81"/>
      <c r="AD643" s="81"/>
      <c r="AE643" s="81"/>
      <c r="AF643" s="81"/>
      <c r="AG643" s="81"/>
      <c r="AH643" s="81"/>
    </row>
    <row r="644" spans="4:34" ht="14.25" customHeight="1">
      <c r="D644" s="81"/>
      <c r="E644" s="81"/>
      <c r="F644" s="81"/>
      <c r="G644" s="81"/>
      <c r="H644" s="81"/>
      <c r="I644" s="81"/>
      <c r="J644" s="81"/>
      <c r="K644" s="81"/>
      <c r="L644" s="81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1"/>
      <c r="Y644" s="81"/>
      <c r="Z644" s="81"/>
      <c r="AA644" s="81"/>
      <c r="AB644" s="81"/>
      <c r="AC644" s="81"/>
      <c r="AD644" s="81"/>
      <c r="AE644" s="81"/>
      <c r="AF644" s="81"/>
      <c r="AG644" s="81"/>
      <c r="AH644" s="81"/>
    </row>
    <row r="645" spans="4:34" ht="14.25" customHeight="1">
      <c r="D645" s="81"/>
      <c r="E645" s="81"/>
      <c r="F645" s="81"/>
      <c r="G645" s="81"/>
      <c r="H645" s="81"/>
      <c r="I645" s="81"/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1"/>
      <c r="Y645" s="81"/>
      <c r="Z645" s="81"/>
      <c r="AA645" s="81"/>
      <c r="AB645" s="81"/>
      <c r="AC645" s="81"/>
      <c r="AD645" s="81"/>
      <c r="AE645" s="81"/>
      <c r="AF645" s="81"/>
      <c r="AG645" s="81"/>
      <c r="AH645" s="81"/>
    </row>
    <row r="646" spans="4:34" ht="14.25" customHeight="1"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1"/>
      <c r="Y646" s="81"/>
      <c r="Z646" s="81"/>
      <c r="AA646" s="81"/>
      <c r="AB646" s="81"/>
      <c r="AC646" s="81"/>
      <c r="AD646" s="81"/>
      <c r="AE646" s="81"/>
      <c r="AF646" s="81"/>
      <c r="AG646" s="81"/>
      <c r="AH646" s="81"/>
    </row>
    <row r="647" spans="4:34" ht="14.25" customHeight="1">
      <c r="D647" s="81"/>
      <c r="E647" s="81"/>
      <c r="F647" s="81"/>
      <c r="G647" s="81"/>
      <c r="H647" s="81"/>
      <c r="I647" s="81"/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1"/>
      <c r="Y647" s="81"/>
      <c r="Z647" s="81"/>
      <c r="AA647" s="81"/>
      <c r="AB647" s="81"/>
      <c r="AC647" s="81"/>
      <c r="AD647" s="81"/>
      <c r="AE647" s="81"/>
      <c r="AF647" s="81"/>
      <c r="AG647" s="81"/>
      <c r="AH647" s="81"/>
    </row>
    <row r="648" spans="4:34" ht="14.25" customHeight="1">
      <c r="D648" s="81"/>
      <c r="E648" s="81"/>
      <c r="F648" s="81"/>
      <c r="G648" s="81"/>
      <c r="H648" s="81"/>
      <c r="I648" s="81"/>
      <c r="J648" s="81"/>
      <c r="K648" s="81"/>
      <c r="L648" s="81"/>
      <c r="M648" s="81"/>
      <c r="N648" s="81"/>
      <c r="O648" s="81"/>
      <c r="P648" s="81"/>
      <c r="Q648" s="81"/>
      <c r="R648" s="81"/>
      <c r="S648" s="81"/>
      <c r="T648" s="81"/>
      <c r="U648" s="81"/>
      <c r="V648" s="81"/>
      <c r="W648" s="81"/>
      <c r="X648" s="81"/>
      <c r="Y648" s="81"/>
      <c r="Z648" s="81"/>
      <c r="AA648" s="81"/>
      <c r="AB648" s="81"/>
      <c r="AC648" s="81"/>
      <c r="AD648" s="81"/>
      <c r="AE648" s="81"/>
      <c r="AF648" s="81"/>
      <c r="AG648" s="81"/>
      <c r="AH648" s="81"/>
    </row>
    <row r="649" spans="4:34" ht="14.25" customHeight="1">
      <c r="D649" s="81"/>
      <c r="E649" s="81"/>
      <c r="F649" s="81"/>
      <c r="G649" s="81"/>
      <c r="H649" s="81"/>
      <c r="I649" s="81"/>
      <c r="J649" s="81"/>
      <c r="K649" s="81"/>
      <c r="L649" s="81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81"/>
      <c r="Y649" s="81"/>
      <c r="Z649" s="81"/>
      <c r="AA649" s="81"/>
      <c r="AB649" s="81"/>
      <c r="AC649" s="81"/>
      <c r="AD649" s="81"/>
      <c r="AE649" s="81"/>
      <c r="AF649" s="81"/>
      <c r="AG649" s="81"/>
      <c r="AH649" s="81"/>
    </row>
    <row r="650" spans="4:34" ht="14.25" customHeight="1"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  <c r="S650" s="81"/>
      <c r="T650" s="81"/>
      <c r="U650" s="81"/>
      <c r="V650" s="81"/>
      <c r="W650" s="81"/>
      <c r="X650" s="81"/>
      <c r="Y650" s="81"/>
      <c r="Z650" s="81"/>
      <c r="AA650" s="81"/>
      <c r="AB650" s="81"/>
      <c r="AC650" s="81"/>
      <c r="AD650" s="81"/>
      <c r="AE650" s="81"/>
      <c r="AF650" s="81"/>
      <c r="AG650" s="81"/>
      <c r="AH650" s="81"/>
    </row>
    <row r="651" spans="4:34" ht="14.25" customHeight="1">
      <c r="D651" s="81"/>
      <c r="E651" s="81"/>
      <c r="F651" s="81"/>
      <c r="G651" s="81"/>
      <c r="H651" s="81"/>
      <c r="I651" s="81"/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1"/>
      <c r="Y651" s="81"/>
      <c r="Z651" s="81"/>
      <c r="AA651" s="81"/>
      <c r="AB651" s="81"/>
      <c r="AC651" s="81"/>
      <c r="AD651" s="81"/>
      <c r="AE651" s="81"/>
      <c r="AF651" s="81"/>
      <c r="AG651" s="81"/>
      <c r="AH651" s="81"/>
    </row>
    <row r="652" spans="4:34" ht="14.25" customHeight="1">
      <c r="D652" s="81"/>
      <c r="E652" s="81"/>
      <c r="F652" s="81"/>
      <c r="G652" s="81"/>
      <c r="H652" s="81"/>
      <c r="I652" s="81"/>
      <c r="J652" s="81"/>
      <c r="K652" s="81"/>
      <c r="L652" s="81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1"/>
      <c r="Y652" s="81"/>
      <c r="Z652" s="81"/>
      <c r="AA652" s="81"/>
      <c r="AB652" s="81"/>
      <c r="AC652" s="81"/>
      <c r="AD652" s="81"/>
      <c r="AE652" s="81"/>
      <c r="AF652" s="81"/>
      <c r="AG652" s="81"/>
      <c r="AH652" s="81"/>
    </row>
    <row r="653" spans="4:34" ht="14.25" customHeight="1">
      <c r="D653" s="81"/>
      <c r="E653" s="81"/>
      <c r="F653" s="81"/>
      <c r="G653" s="81"/>
      <c r="H653" s="81"/>
      <c r="I653" s="81"/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1"/>
      <c r="Y653" s="81"/>
      <c r="Z653" s="81"/>
      <c r="AA653" s="81"/>
      <c r="AB653" s="81"/>
      <c r="AC653" s="81"/>
      <c r="AD653" s="81"/>
      <c r="AE653" s="81"/>
      <c r="AF653" s="81"/>
      <c r="AG653" s="81"/>
      <c r="AH653" s="81"/>
    </row>
    <row r="654" spans="4:34" ht="14.25" customHeight="1"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1"/>
      <c r="Y654" s="81"/>
      <c r="Z654" s="81"/>
      <c r="AA654" s="81"/>
      <c r="AB654" s="81"/>
      <c r="AC654" s="81"/>
      <c r="AD654" s="81"/>
      <c r="AE654" s="81"/>
      <c r="AF654" s="81"/>
      <c r="AG654" s="81"/>
      <c r="AH654" s="81"/>
    </row>
    <row r="655" spans="4:34" ht="14.25" customHeight="1">
      <c r="D655" s="81"/>
      <c r="E655" s="81"/>
      <c r="F655" s="81"/>
      <c r="G655" s="81"/>
      <c r="H655" s="81"/>
      <c r="I655" s="81"/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1"/>
      <c r="Y655" s="81"/>
      <c r="Z655" s="81"/>
      <c r="AA655" s="81"/>
      <c r="AB655" s="81"/>
      <c r="AC655" s="81"/>
      <c r="AD655" s="81"/>
      <c r="AE655" s="81"/>
      <c r="AF655" s="81"/>
      <c r="AG655" s="81"/>
      <c r="AH655" s="81"/>
    </row>
    <row r="656" spans="4:34" ht="14.25" customHeight="1">
      <c r="D656" s="81"/>
      <c r="E656" s="81"/>
      <c r="F656" s="81"/>
      <c r="G656" s="81"/>
      <c r="H656" s="81"/>
      <c r="I656" s="81"/>
      <c r="J656" s="81"/>
      <c r="K656" s="81"/>
      <c r="L656" s="81"/>
      <c r="M656" s="81"/>
      <c r="N656" s="81"/>
      <c r="O656" s="81"/>
      <c r="P656" s="81"/>
      <c r="Q656" s="81"/>
      <c r="R656" s="81"/>
      <c r="S656" s="81"/>
      <c r="T656" s="81"/>
      <c r="U656" s="81"/>
      <c r="V656" s="81"/>
      <c r="W656" s="81"/>
      <c r="X656" s="81"/>
      <c r="Y656" s="81"/>
      <c r="Z656" s="81"/>
      <c r="AA656" s="81"/>
      <c r="AB656" s="81"/>
      <c r="AC656" s="81"/>
      <c r="AD656" s="81"/>
      <c r="AE656" s="81"/>
      <c r="AF656" s="81"/>
      <c r="AG656" s="81"/>
      <c r="AH656" s="81"/>
    </row>
    <row r="657" spans="4:34" ht="14.25" customHeight="1">
      <c r="D657" s="81"/>
      <c r="E657" s="81"/>
      <c r="F657" s="81"/>
      <c r="G657" s="81"/>
      <c r="H657" s="81"/>
      <c r="I657" s="81"/>
      <c r="J657" s="81"/>
      <c r="K657" s="81"/>
      <c r="L657" s="81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81"/>
      <c r="Y657" s="81"/>
      <c r="Z657" s="81"/>
      <c r="AA657" s="81"/>
      <c r="AB657" s="81"/>
      <c r="AC657" s="81"/>
      <c r="AD657" s="81"/>
      <c r="AE657" s="81"/>
      <c r="AF657" s="81"/>
      <c r="AG657" s="81"/>
      <c r="AH657" s="81"/>
    </row>
    <row r="658" spans="4:34" ht="14.25" customHeight="1"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  <c r="S658" s="81"/>
      <c r="T658" s="81"/>
      <c r="U658" s="81"/>
      <c r="V658" s="81"/>
      <c r="W658" s="81"/>
      <c r="X658" s="81"/>
      <c r="Y658" s="81"/>
      <c r="Z658" s="81"/>
      <c r="AA658" s="81"/>
      <c r="AB658" s="81"/>
      <c r="AC658" s="81"/>
      <c r="AD658" s="81"/>
      <c r="AE658" s="81"/>
      <c r="AF658" s="81"/>
      <c r="AG658" s="81"/>
      <c r="AH658" s="81"/>
    </row>
    <row r="659" spans="4:34" ht="14.25" customHeight="1">
      <c r="D659" s="81"/>
      <c r="E659" s="81"/>
      <c r="F659" s="81"/>
      <c r="G659" s="81"/>
      <c r="H659" s="81"/>
      <c r="I659" s="81"/>
      <c r="J659" s="81"/>
      <c r="K659" s="81"/>
      <c r="L659" s="81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81"/>
      <c r="Y659" s="81"/>
      <c r="Z659" s="81"/>
      <c r="AA659" s="81"/>
      <c r="AB659" s="81"/>
      <c r="AC659" s="81"/>
      <c r="AD659" s="81"/>
      <c r="AE659" s="81"/>
      <c r="AF659" s="81"/>
      <c r="AG659" s="81"/>
      <c r="AH659" s="81"/>
    </row>
    <row r="660" spans="4:34" ht="14.25" customHeight="1">
      <c r="D660" s="81"/>
      <c r="E660" s="81"/>
      <c r="F660" s="81"/>
      <c r="G660" s="81"/>
      <c r="H660" s="81"/>
      <c r="I660" s="81"/>
      <c r="J660" s="81"/>
      <c r="K660" s="81"/>
      <c r="L660" s="81"/>
      <c r="M660" s="81"/>
      <c r="N660" s="81"/>
      <c r="O660" s="81"/>
      <c r="P660" s="81"/>
      <c r="Q660" s="81"/>
      <c r="R660" s="81"/>
      <c r="S660" s="81"/>
      <c r="T660" s="81"/>
      <c r="U660" s="81"/>
      <c r="V660" s="81"/>
      <c r="W660" s="81"/>
      <c r="X660" s="81"/>
      <c r="Y660" s="81"/>
      <c r="Z660" s="81"/>
      <c r="AA660" s="81"/>
      <c r="AB660" s="81"/>
      <c r="AC660" s="81"/>
      <c r="AD660" s="81"/>
      <c r="AE660" s="81"/>
      <c r="AF660" s="81"/>
      <c r="AG660" s="81"/>
      <c r="AH660" s="81"/>
    </row>
    <row r="661" spans="4:34" ht="14.25" customHeight="1">
      <c r="D661" s="81"/>
      <c r="E661" s="81"/>
      <c r="F661" s="81"/>
      <c r="G661" s="81"/>
      <c r="H661" s="81"/>
      <c r="I661" s="81"/>
      <c r="J661" s="81"/>
      <c r="K661" s="81"/>
      <c r="L661" s="81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81"/>
      <c r="Y661" s="81"/>
      <c r="Z661" s="81"/>
      <c r="AA661" s="81"/>
      <c r="AB661" s="81"/>
      <c r="AC661" s="81"/>
      <c r="AD661" s="81"/>
      <c r="AE661" s="81"/>
      <c r="AF661" s="81"/>
      <c r="AG661" s="81"/>
      <c r="AH661" s="81"/>
    </row>
    <row r="662" spans="4:34" ht="14.25" customHeight="1"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  <c r="S662" s="81"/>
      <c r="T662" s="81"/>
      <c r="U662" s="81"/>
      <c r="V662" s="81"/>
      <c r="W662" s="81"/>
      <c r="X662" s="81"/>
      <c r="Y662" s="81"/>
      <c r="Z662" s="81"/>
      <c r="AA662" s="81"/>
      <c r="AB662" s="81"/>
      <c r="AC662" s="81"/>
      <c r="AD662" s="81"/>
      <c r="AE662" s="81"/>
      <c r="AF662" s="81"/>
      <c r="AG662" s="81"/>
      <c r="AH662" s="81"/>
    </row>
    <row r="663" spans="4:34" ht="14.25" customHeight="1">
      <c r="D663" s="81"/>
      <c r="E663" s="81"/>
      <c r="F663" s="81"/>
      <c r="G663" s="81"/>
      <c r="H663" s="81"/>
      <c r="I663" s="81"/>
      <c r="J663" s="81"/>
      <c r="K663" s="81"/>
      <c r="L663" s="81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81"/>
      <c r="Y663" s="81"/>
      <c r="Z663" s="81"/>
      <c r="AA663" s="81"/>
      <c r="AB663" s="81"/>
      <c r="AC663" s="81"/>
      <c r="AD663" s="81"/>
      <c r="AE663" s="81"/>
      <c r="AF663" s="81"/>
      <c r="AG663" s="81"/>
      <c r="AH663" s="81"/>
    </row>
    <row r="664" spans="4:34" ht="14.25" customHeight="1">
      <c r="D664" s="81"/>
      <c r="E664" s="81"/>
      <c r="F664" s="81"/>
      <c r="G664" s="81"/>
      <c r="H664" s="81"/>
      <c r="I664" s="81"/>
      <c r="J664" s="81"/>
      <c r="K664" s="81"/>
      <c r="L664" s="81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1"/>
      <c r="Y664" s="81"/>
      <c r="Z664" s="81"/>
      <c r="AA664" s="81"/>
      <c r="AB664" s="81"/>
      <c r="AC664" s="81"/>
      <c r="AD664" s="81"/>
      <c r="AE664" s="81"/>
      <c r="AF664" s="81"/>
      <c r="AG664" s="81"/>
      <c r="AH664" s="81"/>
    </row>
    <row r="665" spans="4:34" ht="14.25" customHeight="1">
      <c r="D665" s="81"/>
      <c r="E665" s="81"/>
      <c r="F665" s="81"/>
      <c r="G665" s="81"/>
      <c r="H665" s="81"/>
      <c r="I665" s="81"/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1"/>
      <c r="Y665" s="81"/>
      <c r="Z665" s="81"/>
      <c r="AA665" s="81"/>
      <c r="AB665" s="81"/>
      <c r="AC665" s="81"/>
      <c r="AD665" s="81"/>
      <c r="AE665" s="81"/>
      <c r="AF665" s="81"/>
      <c r="AG665" s="81"/>
      <c r="AH665" s="81"/>
    </row>
    <row r="666" spans="4:34" ht="14.25" customHeight="1"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1"/>
      <c r="Y666" s="81"/>
      <c r="Z666" s="81"/>
      <c r="AA666" s="81"/>
      <c r="AB666" s="81"/>
      <c r="AC666" s="81"/>
      <c r="AD666" s="81"/>
      <c r="AE666" s="81"/>
      <c r="AF666" s="81"/>
      <c r="AG666" s="81"/>
      <c r="AH666" s="81"/>
    </row>
    <row r="667" spans="4:34" ht="14.25" customHeight="1">
      <c r="D667" s="81"/>
      <c r="E667" s="81"/>
      <c r="F667" s="81"/>
      <c r="G667" s="81"/>
      <c r="H667" s="81"/>
      <c r="I667" s="81"/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1"/>
      <c r="Y667" s="81"/>
      <c r="Z667" s="81"/>
      <c r="AA667" s="81"/>
      <c r="AB667" s="81"/>
      <c r="AC667" s="81"/>
      <c r="AD667" s="81"/>
      <c r="AE667" s="81"/>
      <c r="AF667" s="81"/>
      <c r="AG667" s="81"/>
      <c r="AH667" s="81"/>
    </row>
    <row r="668" spans="4:34" ht="14.25" customHeight="1">
      <c r="D668" s="81"/>
      <c r="E668" s="81"/>
      <c r="F668" s="81"/>
      <c r="G668" s="81"/>
      <c r="H668" s="81"/>
      <c r="I668" s="81"/>
      <c r="J668" s="81"/>
      <c r="K668" s="81"/>
      <c r="L668" s="81"/>
      <c r="M668" s="81"/>
      <c r="N668" s="81"/>
      <c r="O668" s="81"/>
      <c r="P668" s="81"/>
      <c r="Q668" s="81"/>
      <c r="R668" s="81"/>
      <c r="S668" s="81"/>
      <c r="T668" s="81"/>
      <c r="U668" s="81"/>
      <c r="V668" s="81"/>
      <c r="W668" s="81"/>
      <c r="X668" s="81"/>
      <c r="Y668" s="81"/>
      <c r="Z668" s="81"/>
      <c r="AA668" s="81"/>
      <c r="AB668" s="81"/>
      <c r="AC668" s="81"/>
      <c r="AD668" s="81"/>
      <c r="AE668" s="81"/>
      <c r="AF668" s="81"/>
      <c r="AG668" s="81"/>
      <c r="AH668" s="81"/>
    </row>
    <row r="669" spans="4:34" ht="14.25" customHeight="1">
      <c r="D669" s="81"/>
      <c r="E669" s="81"/>
      <c r="F669" s="81"/>
      <c r="G669" s="81"/>
      <c r="H669" s="81"/>
      <c r="I669" s="81"/>
      <c r="J669" s="81"/>
      <c r="K669" s="81"/>
      <c r="L669" s="81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81"/>
      <c r="Y669" s="81"/>
      <c r="Z669" s="81"/>
      <c r="AA669" s="81"/>
      <c r="AB669" s="81"/>
      <c r="AC669" s="81"/>
      <c r="AD669" s="81"/>
      <c r="AE669" s="81"/>
      <c r="AF669" s="81"/>
      <c r="AG669" s="81"/>
      <c r="AH669" s="81"/>
    </row>
    <row r="670" spans="4:34" ht="14.25" customHeight="1"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  <c r="S670" s="81"/>
      <c r="T670" s="81"/>
      <c r="U670" s="81"/>
      <c r="V670" s="81"/>
      <c r="W670" s="81"/>
      <c r="X670" s="81"/>
      <c r="Y670" s="81"/>
      <c r="Z670" s="81"/>
      <c r="AA670" s="81"/>
      <c r="AB670" s="81"/>
      <c r="AC670" s="81"/>
      <c r="AD670" s="81"/>
      <c r="AE670" s="81"/>
      <c r="AF670" s="81"/>
      <c r="AG670" s="81"/>
      <c r="AH670" s="81"/>
    </row>
    <row r="671" spans="4:34" ht="14.25" customHeight="1">
      <c r="D671" s="81"/>
      <c r="E671" s="81"/>
      <c r="F671" s="81"/>
      <c r="G671" s="81"/>
      <c r="H671" s="81"/>
      <c r="I671" s="81"/>
      <c r="J671" s="81"/>
      <c r="K671" s="81"/>
      <c r="L671" s="81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81"/>
      <c r="Y671" s="81"/>
      <c r="Z671" s="81"/>
      <c r="AA671" s="81"/>
      <c r="AB671" s="81"/>
      <c r="AC671" s="81"/>
      <c r="AD671" s="81"/>
      <c r="AE671" s="81"/>
      <c r="AF671" s="81"/>
      <c r="AG671" s="81"/>
      <c r="AH671" s="81"/>
    </row>
    <row r="672" spans="4:34" ht="14.25" customHeight="1">
      <c r="D672" s="81"/>
      <c r="E672" s="81"/>
      <c r="F672" s="81"/>
      <c r="G672" s="81"/>
      <c r="H672" s="81"/>
      <c r="I672" s="81"/>
      <c r="J672" s="81"/>
      <c r="K672" s="81"/>
      <c r="L672" s="81"/>
      <c r="M672" s="81"/>
      <c r="N672" s="81"/>
      <c r="O672" s="81"/>
      <c r="P672" s="81"/>
      <c r="Q672" s="81"/>
      <c r="R672" s="81"/>
      <c r="S672" s="81"/>
      <c r="T672" s="81"/>
      <c r="U672" s="81"/>
      <c r="V672" s="81"/>
      <c r="W672" s="81"/>
      <c r="X672" s="81"/>
      <c r="Y672" s="81"/>
      <c r="Z672" s="81"/>
      <c r="AA672" s="81"/>
      <c r="AB672" s="81"/>
      <c r="AC672" s="81"/>
      <c r="AD672" s="81"/>
      <c r="AE672" s="81"/>
      <c r="AF672" s="81"/>
      <c r="AG672" s="81"/>
      <c r="AH672" s="81"/>
    </row>
    <row r="673" spans="4:34" ht="14.25" customHeight="1">
      <c r="D673" s="81"/>
      <c r="E673" s="81"/>
      <c r="F673" s="81"/>
      <c r="G673" s="81"/>
      <c r="H673" s="81"/>
      <c r="I673" s="81"/>
      <c r="J673" s="81"/>
      <c r="K673" s="81"/>
      <c r="L673" s="81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81"/>
      <c r="Y673" s="81"/>
      <c r="Z673" s="81"/>
      <c r="AA673" s="81"/>
      <c r="AB673" s="81"/>
      <c r="AC673" s="81"/>
      <c r="AD673" s="81"/>
      <c r="AE673" s="81"/>
      <c r="AF673" s="81"/>
      <c r="AG673" s="81"/>
      <c r="AH673" s="81"/>
    </row>
    <row r="674" spans="4:34" ht="14.25" customHeight="1"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  <c r="S674" s="81"/>
      <c r="T674" s="81"/>
      <c r="U674" s="81"/>
      <c r="V674" s="81"/>
      <c r="W674" s="81"/>
      <c r="X674" s="81"/>
      <c r="Y674" s="81"/>
      <c r="Z674" s="81"/>
      <c r="AA674" s="81"/>
      <c r="AB674" s="81"/>
      <c r="AC674" s="81"/>
      <c r="AD674" s="81"/>
      <c r="AE674" s="81"/>
      <c r="AF674" s="81"/>
      <c r="AG674" s="81"/>
      <c r="AH674" s="81"/>
    </row>
    <row r="675" spans="4:34" ht="14.25" customHeight="1">
      <c r="D675" s="81"/>
      <c r="E675" s="81"/>
      <c r="F675" s="81"/>
      <c r="G675" s="81"/>
      <c r="H675" s="81"/>
      <c r="I675" s="81"/>
      <c r="J675" s="81"/>
      <c r="K675" s="81"/>
      <c r="L675" s="81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81"/>
      <c r="Y675" s="81"/>
      <c r="Z675" s="81"/>
      <c r="AA675" s="81"/>
      <c r="AB675" s="81"/>
      <c r="AC675" s="81"/>
      <c r="AD675" s="81"/>
      <c r="AE675" s="81"/>
      <c r="AF675" s="81"/>
      <c r="AG675" s="81"/>
      <c r="AH675" s="81"/>
    </row>
    <row r="676" spans="4:34" ht="14.25" customHeight="1">
      <c r="D676" s="81"/>
      <c r="E676" s="81"/>
      <c r="F676" s="81"/>
      <c r="G676" s="81"/>
      <c r="H676" s="81"/>
      <c r="I676" s="81"/>
      <c r="J676" s="81"/>
      <c r="K676" s="81"/>
      <c r="L676" s="81"/>
      <c r="M676" s="81"/>
      <c r="N676" s="81"/>
      <c r="O676" s="81"/>
      <c r="P676" s="81"/>
      <c r="Q676" s="81"/>
      <c r="R676" s="81"/>
      <c r="S676" s="81"/>
      <c r="T676" s="81"/>
      <c r="U676" s="81"/>
      <c r="V676" s="81"/>
      <c r="W676" s="81"/>
      <c r="X676" s="81"/>
      <c r="Y676" s="81"/>
      <c r="Z676" s="81"/>
      <c r="AA676" s="81"/>
      <c r="AB676" s="81"/>
      <c r="AC676" s="81"/>
      <c r="AD676" s="81"/>
      <c r="AE676" s="81"/>
      <c r="AF676" s="81"/>
      <c r="AG676" s="81"/>
      <c r="AH676" s="81"/>
    </row>
    <row r="677" spans="4:34" ht="14.25" customHeight="1">
      <c r="D677" s="81"/>
      <c r="E677" s="81"/>
      <c r="F677" s="81"/>
      <c r="G677" s="81"/>
      <c r="H677" s="81"/>
      <c r="I677" s="81"/>
      <c r="J677" s="81"/>
      <c r="K677" s="81"/>
      <c r="L677" s="81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81"/>
      <c r="Y677" s="81"/>
      <c r="Z677" s="81"/>
      <c r="AA677" s="81"/>
      <c r="AB677" s="81"/>
      <c r="AC677" s="81"/>
      <c r="AD677" s="81"/>
      <c r="AE677" s="81"/>
      <c r="AF677" s="81"/>
      <c r="AG677" s="81"/>
      <c r="AH677" s="81"/>
    </row>
    <row r="678" spans="4:34" ht="14.25" customHeight="1"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  <c r="S678" s="81"/>
      <c r="T678" s="81"/>
      <c r="U678" s="81"/>
      <c r="V678" s="81"/>
      <c r="W678" s="81"/>
      <c r="X678" s="81"/>
      <c r="Y678" s="81"/>
      <c r="Z678" s="81"/>
      <c r="AA678" s="81"/>
      <c r="AB678" s="81"/>
      <c r="AC678" s="81"/>
      <c r="AD678" s="81"/>
      <c r="AE678" s="81"/>
      <c r="AF678" s="81"/>
      <c r="AG678" s="81"/>
      <c r="AH678" s="81"/>
    </row>
    <row r="679" spans="4:34" ht="14.25" customHeight="1">
      <c r="D679" s="81"/>
      <c r="E679" s="81"/>
      <c r="F679" s="81"/>
      <c r="G679" s="81"/>
      <c r="H679" s="81"/>
      <c r="I679" s="81"/>
      <c r="J679" s="81"/>
      <c r="K679" s="81"/>
      <c r="L679" s="81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81"/>
      <c r="Y679" s="81"/>
      <c r="Z679" s="81"/>
      <c r="AA679" s="81"/>
      <c r="AB679" s="81"/>
      <c r="AC679" s="81"/>
      <c r="AD679" s="81"/>
      <c r="AE679" s="81"/>
      <c r="AF679" s="81"/>
      <c r="AG679" s="81"/>
      <c r="AH679" s="81"/>
    </row>
    <row r="680" spans="4:34" ht="14.25" customHeight="1">
      <c r="D680" s="81"/>
      <c r="E680" s="81"/>
      <c r="F680" s="81"/>
      <c r="G680" s="81"/>
      <c r="H680" s="81"/>
      <c r="I680" s="81"/>
      <c r="J680" s="81"/>
      <c r="K680" s="81"/>
      <c r="L680" s="81"/>
      <c r="M680" s="81"/>
      <c r="N680" s="81"/>
      <c r="O680" s="81"/>
      <c r="P680" s="81"/>
      <c r="Q680" s="81"/>
      <c r="R680" s="81"/>
      <c r="S680" s="81"/>
      <c r="T680" s="81"/>
      <c r="U680" s="81"/>
      <c r="V680" s="81"/>
      <c r="W680" s="81"/>
      <c r="X680" s="81"/>
      <c r="Y680" s="81"/>
      <c r="Z680" s="81"/>
      <c r="AA680" s="81"/>
      <c r="AB680" s="81"/>
      <c r="AC680" s="81"/>
      <c r="AD680" s="81"/>
      <c r="AE680" s="81"/>
      <c r="AF680" s="81"/>
      <c r="AG680" s="81"/>
      <c r="AH680" s="81"/>
    </row>
    <row r="681" spans="4:34" ht="14.25" customHeight="1">
      <c r="D681" s="81"/>
      <c r="E681" s="81"/>
      <c r="F681" s="81"/>
      <c r="G681" s="81"/>
      <c r="H681" s="81"/>
      <c r="I681" s="81"/>
      <c r="J681" s="81"/>
      <c r="K681" s="81"/>
      <c r="L681" s="81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81"/>
      <c r="Y681" s="81"/>
      <c r="Z681" s="81"/>
      <c r="AA681" s="81"/>
      <c r="AB681" s="81"/>
      <c r="AC681" s="81"/>
      <c r="AD681" s="81"/>
      <c r="AE681" s="81"/>
      <c r="AF681" s="81"/>
      <c r="AG681" s="81"/>
      <c r="AH681" s="81"/>
    </row>
    <row r="682" spans="4:34" ht="14.25" customHeight="1"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  <c r="S682" s="81"/>
      <c r="T682" s="81"/>
      <c r="U682" s="81"/>
      <c r="V682" s="81"/>
      <c r="W682" s="81"/>
      <c r="X682" s="81"/>
      <c r="Y682" s="81"/>
      <c r="Z682" s="81"/>
      <c r="AA682" s="81"/>
      <c r="AB682" s="81"/>
      <c r="AC682" s="81"/>
      <c r="AD682" s="81"/>
      <c r="AE682" s="81"/>
      <c r="AF682" s="81"/>
      <c r="AG682" s="81"/>
      <c r="AH682" s="81"/>
    </row>
    <row r="683" spans="4:34" ht="14.25" customHeight="1">
      <c r="D683" s="81"/>
      <c r="E683" s="81"/>
      <c r="F683" s="81"/>
      <c r="G683" s="81"/>
      <c r="H683" s="81"/>
      <c r="I683" s="81"/>
      <c r="J683" s="81"/>
      <c r="K683" s="81"/>
      <c r="L683" s="81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81"/>
      <c r="Y683" s="81"/>
      <c r="Z683" s="81"/>
      <c r="AA683" s="81"/>
      <c r="AB683" s="81"/>
      <c r="AC683" s="81"/>
      <c r="AD683" s="81"/>
      <c r="AE683" s="81"/>
      <c r="AF683" s="81"/>
      <c r="AG683" s="81"/>
      <c r="AH683" s="81"/>
    </row>
    <row r="684" spans="4:34" ht="14.25" customHeight="1">
      <c r="D684" s="81"/>
      <c r="E684" s="81"/>
      <c r="F684" s="81"/>
      <c r="G684" s="81"/>
      <c r="H684" s="81"/>
      <c r="I684" s="81"/>
      <c r="J684" s="81"/>
      <c r="K684" s="81"/>
      <c r="L684" s="81"/>
      <c r="M684" s="81"/>
      <c r="N684" s="81"/>
      <c r="O684" s="81"/>
      <c r="P684" s="81"/>
      <c r="Q684" s="81"/>
      <c r="R684" s="81"/>
      <c r="S684" s="81"/>
      <c r="T684" s="81"/>
      <c r="U684" s="81"/>
      <c r="V684" s="81"/>
      <c r="W684" s="81"/>
      <c r="X684" s="81"/>
      <c r="Y684" s="81"/>
      <c r="Z684" s="81"/>
      <c r="AA684" s="81"/>
      <c r="AB684" s="81"/>
      <c r="AC684" s="81"/>
      <c r="AD684" s="81"/>
      <c r="AE684" s="81"/>
      <c r="AF684" s="81"/>
      <c r="AG684" s="81"/>
      <c r="AH684" s="81"/>
    </row>
    <row r="685" spans="4:34" ht="14.25" customHeight="1">
      <c r="D685" s="81"/>
      <c r="E685" s="81"/>
      <c r="F685" s="81"/>
      <c r="G685" s="81"/>
      <c r="H685" s="81"/>
      <c r="I685" s="81"/>
      <c r="J685" s="81"/>
      <c r="K685" s="81"/>
      <c r="L685" s="81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81"/>
      <c r="Y685" s="81"/>
      <c r="Z685" s="81"/>
      <c r="AA685" s="81"/>
      <c r="AB685" s="81"/>
      <c r="AC685" s="81"/>
      <c r="AD685" s="81"/>
      <c r="AE685" s="81"/>
      <c r="AF685" s="81"/>
      <c r="AG685" s="81"/>
      <c r="AH685" s="81"/>
    </row>
    <row r="686" spans="4:34" ht="14.25" customHeight="1"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  <c r="S686" s="81"/>
      <c r="T686" s="81"/>
      <c r="U686" s="81"/>
      <c r="V686" s="81"/>
      <c r="W686" s="81"/>
      <c r="X686" s="81"/>
      <c r="Y686" s="81"/>
      <c r="Z686" s="81"/>
      <c r="AA686" s="81"/>
      <c r="AB686" s="81"/>
      <c r="AC686" s="81"/>
      <c r="AD686" s="81"/>
      <c r="AE686" s="81"/>
      <c r="AF686" s="81"/>
      <c r="AG686" s="81"/>
      <c r="AH686" s="81"/>
    </row>
    <row r="687" spans="4:34" ht="14.25" customHeight="1">
      <c r="D687" s="81"/>
      <c r="E687" s="81"/>
      <c r="F687" s="81"/>
      <c r="G687" s="81"/>
      <c r="H687" s="81"/>
      <c r="I687" s="81"/>
      <c r="J687" s="81"/>
      <c r="K687" s="81"/>
      <c r="L687" s="81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81"/>
      <c r="Y687" s="81"/>
      <c r="Z687" s="81"/>
      <c r="AA687" s="81"/>
      <c r="AB687" s="81"/>
      <c r="AC687" s="81"/>
      <c r="AD687" s="81"/>
      <c r="AE687" s="81"/>
      <c r="AF687" s="81"/>
      <c r="AG687" s="81"/>
      <c r="AH687" s="81"/>
    </row>
    <row r="688" spans="4:34" ht="14.25" customHeight="1">
      <c r="D688" s="81"/>
      <c r="E688" s="81"/>
      <c r="F688" s="81"/>
      <c r="G688" s="81"/>
      <c r="H688" s="81"/>
      <c r="I688" s="81"/>
      <c r="J688" s="81"/>
      <c r="K688" s="81"/>
      <c r="L688" s="81"/>
      <c r="M688" s="81"/>
      <c r="N688" s="81"/>
      <c r="O688" s="81"/>
      <c r="P688" s="81"/>
      <c r="Q688" s="81"/>
      <c r="R688" s="81"/>
      <c r="S688" s="81"/>
      <c r="T688" s="81"/>
      <c r="U688" s="81"/>
      <c r="V688" s="81"/>
      <c r="W688" s="81"/>
      <c r="X688" s="81"/>
      <c r="Y688" s="81"/>
      <c r="Z688" s="81"/>
      <c r="AA688" s="81"/>
      <c r="AB688" s="81"/>
      <c r="AC688" s="81"/>
      <c r="AD688" s="81"/>
      <c r="AE688" s="81"/>
      <c r="AF688" s="81"/>
      <c r="AG688" s="81"/>
      <c r="AH688" s="81"/>
    </row>
    <row r="689" spans="4:34" ht="14.25" customHeight="1">
      <c r="D689" s="81"/>
      <c r="E689" s="81"/>
      <c r="F689" s="81"/>
      <c r="G689" s="81"/>
      <c r="H689" s="81"/>
      <c r="I689" s="81"/>
      <c r="J689" s="81"/>
      <c r="K689" s="81"/>
      <c r="L689" s="81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81"/>
      <c r="Y689" s="81"/>
      <c r="Z689" s="81"/>
      <c r="AA689" s="81"/>
      <c r="AB689" s="81"/>
      <c r="AC689" s="81"/>
      <c r="AD689" s="81"/>
      <c r="AE689" s="81"/>
      <c r="AF689" s="81"/>
      <c r="AG689" s="81"/>
      <c r="AH689" s="81"/>
    </row>
    <row r="690" spans="4:34" ht="14.25" customHeight="1"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  <c r="S690" s="81"/>
      <c r="T690" s="81"/>
      <c r="U690" s="81"/>
      <c r="V690" s="81"/>
      <c r="W690" s="81"/>
      <c r="X690" s="81"/>
      <c r="Y690" s="81"/>
      <c r="Z690" s="81"/>
      <c r="AA690" s="81"/>
      <c r="AB690" s="81"/>
      <c r="AC690" s="81"/>
      <c r="AD690" s="81"/>
      <c r="AE690" s="81"/>
      <c r="AF690" s="81"/>
      <c r="AG690" s="81"/>
      <c r="AH690" s="81"/>
    </row>
    <row r="691" spans="4:34" ht="14.25" customHeight="1">
      <c r="D691" s="81"/>
      <c r="E691" s="81"/>
      <c r="F691" s="81"/>
      <c r="G691" s="81"/>
      <c r="H691" s="81"/>
      <c r="I691" s="81"/>
      <c r="J691" s="81"/>
      <c r="K691" s="81"/>
      <c r="L691" s="81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81"/>
      <c r="Y691" s="81"/>
      <c r="Z691" s="81"/>
      <c r="AA691" s="81"/>
      <c r="AB691" s="81"/>
      <c r="AC691" s="81"/>
      <c r="AD691" s="81"/>
      <c r="AE691" s="81"/>
      <c r="AF691" s="81"/>
      <c r="AG691" s="81"/>
      <c r="AH691" s="81"/>
    </row>
    <row r="692" spans="4:34" ht="14.25" customHeight="1">
      <c r="D692" s="81"/>
      <c r="E692" s="81"/>
      <c r="F692" s="81"/>
      <c r="G692" s="81"/>
      <c r="H692" s="81"/>
      <c r="I692" s="81"/>
      <c r="J692" s="81"/>
      <c r="K692" s="81"/>
      <c r="L692" s="81"/>
      <c r="M692" s="81"/>
      <c r="N692" s="81"/>
      <c r="O692" s="81"/>
      <c r="P692" s="81"/>
      <c r="Q692" s="81"/>
      <c r="R692" s="81"/>
      <c r="S692" s="81"/>
      <c r="T692" s="81"/>
      <c r="U692" s="81"/>
      <c r="V692" s="81"/>
      <c r="W692" s="81"/>
      <c r="X692" s="81"/>
      <c r="Y692" s="81"/>
      <c r="Z692" s="81"/>
      <c r="AA692" s="81"/>
      <c r="AB692" s="81"/>
      <c r="AC692" s="81"/>
      <c r="AD692" s="81"/>
      <c r="AE692" s="81"/>
      <c r="AF692" s="81"/>
      <c r="AG692" s="81"/>
      <c r="AH692" s="81"/>
    </row>
    <row r="693" spans="4:34" ht="14.25" customHeight="1">
      <c r="D693" s="81"/>
      <c r="E693" s="81"/>
      <c r="F693" s="81"/>
      <c r="G693" s="81"/>
      <c r="H693" s="81"/>
      <c r="I693" s="81"/>
      <c r="J693" s="81"/>
      <c r="K693" s="81"/>
      <c r="L693" s="81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81"/>
      <c r="Y693" s="81"/>
      <c r="Z693" s="81"/>
      <c r="AA693" s="81"/>
      <c r="AB693" s="81"/>
      <c r="AC693" s="81"/>
      <c r="AD693" s="81"/>
      <c r="AE693" s="81"/>
      <c r="AF693" s="81"/>
      <c r="AG693" s="81"/>
      <c r="AH693" s="81"/>
    </row>
    <row r="694" spans="4:34" ht="14.25" customHeight="1"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  <c r="S694" s="81"/>
      <c r="T694" s="81"/>
      <c r="U694" s="81"/>
      <c r="V694" s="81"/>
      <c r="W694" s="81"/>
      <c r="X694" s="81"/>
      <c r="Y694" s="81"/>
      <c r="Z694" s="81"/>
      <c r="AA694" s="81"/>
      <c r="AB694" s="81"/>
      <c r="AC694" s="81"/>
      <c r="AD694" s="81"/>
      <c r="AE694" s="81"/>
      <c r="AF694" s="81"/>
      <c r="AG694" s="81"/>
      <c r="AH694" s="81"/>
    </row>
    <row r="695" spans="4:34" ht="14.25" customHeight="1">
      <c r="D695" s="81"/>
      <c r="E695" s="81"/>
      <c r="F695" s="81"/>
      <c r="G695" s="81"/>
      <c r="H695" s="81"/>
      <c r="I695" s="81"/>
      <c r="J695" s="81"/>
      <c r="K695" s="81"/>
      <c r="L695" s="81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81"/>
      <c r="Y695" s="81"/>
      <c r="Z695" s="81"/>
      <c r="AA695" s="81"/>
      <c r="AB695" s="81"/>
      <c r="AC695" s="81"/>
      <c r="AD695" s="81"/>
      <c r="AE695" s="81"/>
      <c r="AF695" s="81"/>
      <c r="AG695" s="81"/>
      <c r="AH695" s="81"/>
    </row>
    <row r="696" spans="4:34" ht="14.25" customHeight="1">
      <c r="D696" s="81"/>
      <c r="E696" s="81"/>
      <c r="F696" s="81"/>
      <c r="G696" s="81"/>
      <c r="H696" s="81"/>
      <c r="I696" s="81"/>
      <c r="J696" s="81"/>
      <c r="K696" s="81"/>
      <c r="L696" s="81"/>
      <c r="M696" s="81"/>
      <c r="N696" s="81"/>
      <c r="O696" s="81"/>
      <c r="P696" s="81"/>
      <c r="Q696" s="81"/>
      <c r="R696" s="81"/>
      <c r="S696" s="81"/>
      <c r="T696" s="81"/>
      <c r="U696" s="81"/>
      <c r="V696" s="81"/>
      <c r="W696" s="81"/>
      <c r="X696" s="81"/>
      <c r="Y696" s="81"/>
      <c r="Z696" s="81"/>
      <c r="AA696" s="81"/>
      <c r="AB696" s="81"/>
      <c r="AC696" s="81"/>
      <c r="AD696" s="81"/>
      <c r="AE696" s="81"/>
      <c r="AF696" s="81"/>
      <c r="AG696" s="81"/>
      <c r="AH696" s="81"/>
    </row>
    <row r="697" spans="4:34" ht="14.25" customHeight="1">
      <c r="D697" s="81"/>
      <c r="E697" s="81"/>
      <c r="F697" s="81"/>
      <c r="G697" s="81"/>
      <c r="H697" s="81"/>
      <c r="I697" s="81"/>
      <c r="J697" s="81"/>
      <c r="K697" s="81"/>
      <c r="L697" s="81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81"/>
      <c r="Y697" s="81"/>
      <c r="Z697" s="81"/>
      <c r="AA697" s="81"/>
      <c r="AB697" s="81"/>
      <c r="AC697" s="81"/>
      <c r="AD697" s="81"/>
      <c r="AE697" s="81"/>
      <c r="AF697" s="81"/>
      <c r="AG697" s="81"/>
      <c r="AH697" s="81"/>
    </row>
    <row r="698" spans="4:34" ht="14.25" customHeight="1"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  <c r="S698" s="81"/>
      <c r="T698" s="81"/>
      <c r="U698" s="81"/>
      <c r="V698" s="81"/>
      <c r="W698" s="81"/>
      <c r="X698" s="81"/>
      <c r="Y698" s="81"/>
      <c r="Z698" s="81"/>
      <c r="AA698" s="81"/>
      <c r="AB698" s="81"/>
      <c r="AC698" s="81"/>
      <c r="AD698" s="81"/>
      <c r="AE698" s="81"/>
      <c r="AF698" s="81"/>
      <c r="AG698" s="81"/>
      <c r="AH698" s="81"/>
    </row>
    <row r="699" spans="4:34" ht="14.25" customHeight="1">
      <c r="D699" s="81"/>
      <c r="E699" s="81"/>
      <c r="F699" s="81"/>
      <c r="G699" s="81"/>
      <c r="H699" s="81"/>
      <c r="I699" s="81"/>
      <c r="J699" s="81"/>
      <c r="K699" s="81"/>
      <c r="L699" s="81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81"/>
      <c r="Y699" s="81"/>
      <c r="Z699" s="81"/>
      <c r="AA699" s="81"/>
      <c r="AB699" s="81"/>
      <c r="AC699" s="81"/>
      <c r="AD699" s="81"/>
      <c r="AE699" s="81"/>
      <c r="AF699" s="81"/>
      <c r="AG699" s="81"/>
      <c r="AH699" s="81"/>
    </row>
    <row r="700" spans="4:34" ht="14.25" customHeight="1">
      <c r="D700" s="81"/>
      <c r="E700" s="81"/>
      <c r="F700" s="81"/>
      <c r="G700" s="81"/>
      <c r="H700" s="81"/>
      <c r="I700" s="81"/>
      <c r="J700" s="81"/>
      <c r="K700" s="81"/>
      <c r="L700" s="81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1"/>
      <c r="Y700" s="81"/>
      <c r="Z700" s="81"/>
      <c r="AA700" s="81"/>
      <c r="AB700" s="81"/>
      <c r="AC700" s="81"/>
      <c r="AD700" s="81"/>
      <c r="AE700" s="81"/>
      <c r="AF700" s="81"/>
      <c r="AG700" s="81"/>
      <c r="AH700" s="81"/>
    </row>
    <row r="701" spans="4:34" ht="14.25" customHeight="1">
      <c r="D701" s="81"/>
      <c r="E701" s="81"/>
      <c r="F701" s="81"/>
      <c r="G701" s="81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1"/>
      <c r="Y701" s="81"/>
      <c r="Z701" s="81"/>
      <c r="AA701" s="81"/>
      <c r="AB701" s="81"/>
      <c r="AC701" s="81"/>
      <c r="AD701" s="81"/>
      <c r="AE701" s="81"/>
      <c r="AF701" s="81"/>
      <c r="AG701" s="81"/>
      <c r="AH701" s="81"/>
    </row>
    <row r="702" spans="4:34" ht="14.25" customHeight="1"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1"/>
      <c r="Y702" s="81"/>
      <c r="Z702" s="81"/>
      <c r="AA702" s="81"/>
      <c r="AB702" s="81"/>
      <c r="AC702" s="81"/>
      <c r="AD702" s="81"/>
      <c r="AE702" s="81"/>
      <c r="AF702" s="81"/>
      <c r="AG702" s="81"/>
      <c r="AH702" s="81"/>
    </row>
    <row r="703" spans="4:34" ht="14.25" customHeight="1">
      <c r="D703" s="81"/>
      <c r="E703" s="81"/>
      <c r="F703" s="81"/>
      <c r="G703" s="81"/>
      <c r="H703" s="81"/>
      <c r="I703" s="81"/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1"/>
      <c r="Y703" s="81"/>
      <c r="Z703" s="81"/>
      <c r="AA703" s="81"/>
      <c r="AB703" s="81"/>
      <c r="AC703" s="81"/>
      <c r="AD703" s="81"/>
      <c r="AE703" s="81"/>
      <c r="AF703" s="81"/>
      <c r="AG703" s="81"/>
      <c r="AH703" s="81"/>
    </row>
    <row r="704" spans="4:34" ht="14.25" customHeight="1">
      <c r="D704" s="81"/>
      <c r="E704" s="81"/>
      <c r="F704" s="81"/>
      <c r="G704" s="81"/>
      <c r="H704" s="81"/>
      <c r="I704" s="81"/>
      <c r="J704" s="81"/>
      <c r="K704" s="81"/>
      <c r="L704" s="81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1"/>
      <c r="Y704" s="81"/>
      <c r="Z704" s="81"/>
      <c r="AA704" s="81"/>
      <c r="AB704" s="81"/>
      <c r="AC704" s="81"/>
      <c r="AD704" s="81"/>
      <c r="AE704" s="81"/>
      <c r="AF704" s="81"/>
      <c r="AG704" s="81"/>
      <c r="AH704" s="81"/>
    </row>
    <row r="705" spans="4:34" ht="14.25" customHeight="1">
      <c r="D705" s="81"/>
      <c r="E705" s="81"/>
      <c r="F705" s="81"/>
      <c r="G705" s="81"/>
      <c r="H705" s="81"/>
      <c r="I705" s="81"/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1"/>
      <c r="Y705" s="81"/>
      <c r="Z705" s="81"/>
      <c r="AA705" s="81"/>
      <c r="AB705" s="81"/>
      <c r="AC705" s="81"/>
      <c r="AD705" s="81"/>
      <c r="AE705" s="81"/>
      <c r="AF705" s="81"/>
      <c r="AG705" s="81"/>
      <c r="AH705" s="81"/>
    </row>
    <row r="706" spans="4:34" ht="14.25" customHeight="1"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1"/>
      <c r="Y706" s="81"/>
      <c r="Z706" s="81"/>
      <c r="AA706" s="81"/>
      <c r="AB706" s="81"/>
      <c r="AC706" s="81"/>
      <c r="AD706" s="81"/>
      <c r="AE706" s="81"/>
      <c r="AF706" s="81"/>
      <c r="AG706" s="81"/>
      <c r="AH706" s="81"/>
    </row>
    <row r="707" spans="4:34" ht="14.25" customHeight="1">
      <c r="D707" s="81"/>
      <c r="E707" s="81"/>
      <c r="F707" s="81"/>
      <c r="G707" s="81"/>
      <c r="H707" s="81"/>
      <c r="I707" s="81"/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1"/>
      <c r="Y707" s="81"/>
      <c r="Z707" s="81"/>
      <c r="AA707" s="81"/>
      <c r="AB707" s="81"/>
      <c r="AC707" s="81"/>
      <c r="AD707" s="81"/>
      <c r="AE707" s="81"/>
      <c r="AF707" s="81"/>
      <c r="AG707" s="81"/>
      <c r="AH707" s="81"/>
    </row>
    <row r="708" spans="4:34" ht="14.25" customHeight="1">
      <c r="D708" s="81"/>
      <c r="E708" s="81"/>
      <c r="F708" s="81"/>
      <c r="G708" s="81"/>
      <c r="H708" s="81"/>
      <c r="I708" s="81"/>
      <c r="J708" s="81"/>
      <c r="K708" s="81"/>
      <c r="L708" s="81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1"/>
      <c r="Y708" s="81"/>
      <c r="Z708" s="81"/>
      <c r="AA708" s="81"/>
      <c r="AB708" s="81"/>
      <c r="AC708" s="81"/>
      <c r="AD708" s="81"/>
      <c r="AE708" s="81"/>
      <c r="AF708" s="81"/>
      <c r="AG708" s="81"/>
      <c r="AH708" s="81"/>
    </row>
    <row r="709" spans="4:34" ht="14.25" customHeight="1">
      <c r="D709" s="81"/>
      <c r="E709" s="81"/>
      <c r="F709" s="81"/>
      <c r="G709" s="81"/>
      <c r="H709" s="81"/>
      <c r="I709" s="81"/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1"/>
      <c r="Y709" s="81"/>
      <c r="Z709" s="81"/>
      <c r="AA709" s="81"/>
      <c r="AB709" s="81"/>
      <c r="AC709" s="81"/>
      <c r="AD709" s="81"/>
      <c r="AE709" s="81"/>
      <c r="AF709" s="81"/>
      <c r="AG709" s="81"/>
      <c r="AH709" s="81"/>
    </row>
    <row r="710" spans="4:34" ht="14.25" customHeight="1"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1"/>
      <c r="Y710" s="81"/>
      <c r="Z710" s="81"/>
      <c r="AA710" s="81"/>
      <c r="AB710" s="81"/>
      <c r="AC710" s="81"/>
      <c r="AD710" s="81"/>
      <c r="AE710" s="81"/>
      <c r="AF710" s="81"/>
      <c r="AG710" s="81"/>
      <c r="AH710" s="81"/>
    </row>
    <row r="711" spans="4:34" ht="14.25" customHeight="1">
      <c r="D711" s="81"/>
      <c r="E711" s="81"/>
      <c r="F711" s="81"/>
      <c r="G711" s="81"/>
      <c r="H711" s="81"/>
      <c r="I711" s="81"/>
      <c r="J711" s="81"/>
      <c r="K711" s="81"/>
      <c r="L711" s="81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81"/>
      <c r="Y711" s="81"/>
      <c r="Z711" s="81"/>
      <c r="AA711" s="81"/>
      <c r="AB711" s="81"/>
      <c r="AC711" s="81"/>
      <c r="AD711" s="81"/>
      <c r="AE711" s="81"/>
      <c r="AF711" s="81"/>
      <c r="AG711" s="81"/>
      <c r="AH711" s="81"/>
    </row>
    <row r="712" spans="4:34" ht="14.25" customHeight="1">
      <c r="D712" s="81"/>
      <c r="E712" s="81"/>
      <c r="F712" s="81"/>
      <c r="G712" s="81"/>
      <c r="H712" s="81"/>
      <c r="I712" s="81"/>
      <c r="J712" s="81"/>
      <c r="K712" s="81"/>
      <c r="L712" s="81"/>
      <c r="M712" s="81"/>
      <c r="N712" s="81"/>
      <c r="O712" s="81"/>
      <c r="P712" s="81"/>
      <c r="Q712" s="81"/>
      <c r="R712" s="81"/>
      <c r="S712" s="81"/>
      <c r="T712" s="81"/>
      <c r="U712" s="81"/>
      <c r="V712" s="81"/>
      <c r="W712" s="81"/>
      <c r="X712" s="81"/>
      <c r="Y712" s="81"/>
      <c r="Z712" s="81"/>
      <c r="AA712" s="81"/>
      <c r="AB712" s="81"/>
      <c r="AC712" s="81"/>
      <c r="AD712" s="81"/>
      <c r="AE712" s="81"/>
      <c r="AF712" s="81"/>
      <c r="AG712" s="81"/>
      <c r="AH712" s="81"/>
    </row>
    <row r="713" spans="4:34" ht="14.25" customHeight="1">
      <c r="D713" s="81"/>
      <c r="E713" s="81"/>
      <c r="F713" s="81"/>
      <c r="G713" s="81"/>
      <c r="H713" s="81"/>
      <c r="I713" s="81"/>
      <c r="J713" s="81"/>
      <c r="K713" s="81"/>
      <c r="L713" s="81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81"/>
      <c r="Y713" s="81"/>
      <c r="Z713" s="81"/>
      <c r="AA713" s="81"/>
      <c r="AB713" s="81"/>
      <c r="AC713" s="81"/>
      <c r="AD713" s="81"/>
      <c r="AE713" s="81"/>
      <c r="AF713" s="81"/>
      <c r="AG713" s="81"/>
      <c r="AH713" s="81"/>
    </row>
    <row r="714" spans="4:34" ht="14.25" customHeight="1"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  <c r="S714" s="81"/>
      <c r="T714" s="81"/>
      <c r="U714" s="81"/>
      <c r="V714" s="81"/>
      <c r="W714" s="81"/>
      <c r="X714" s="81"/>
      <c r="Y714" s="81"/>
      <c r="Z714" s="81"/>
      <c r="AA714" s="81"/>
      <c r="AB714" s="81"/>
      <c r="AC714" s="81"/>
      <c r="AD714" s="81"/>
      <c r="AE714" s="81"/>
      <c r="AF714" s="81"/>
      <c r="AG714" s="81"/>
      <c r="AH714" s="81"/>
    </row>
    <row r="715" spans="4:34" ht="14.25" customHeight="1">
      <c r="D715" s="81"/>
      <c r="E715" s="81"/>
      <c r="F715" s="81"/>
      <c r="G715" s="81"/>
      <c r="H715" s="81"/>
      <c r="I715" s="81"/>
      <c r="J715" s="81"/>
      <c r="K715" s="81"/>
      <c r="L715" s="81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81"/>
      <c r="Y715" s="81"/>
      <c r="Z715" s="81"/>
      <c r="AA715" s="81"/>
      <c r="AB715" s="81"/>
      <c r="AC715" s="81"/>
      <c r="AD715" s="81"/>
      <c r="AE715" s="81"/>
      <c r="AF715" s="81"/>
      <c r="AG715" s="81"/>
      <c r="AH715" s="81"/>
    </row>
    <row r="716" spans="4:34" ht="14.25" customHeight="1">
      <c r="D716" s="81"/>
      <c r="E716" s="81"/>
      <c r="F716" s="81"/>
      <c r="G716" s="81"/>
      <c r="H716" s="81"/>
      <c r="I716" s="81"/>
      <c r="J716" s="81"/>
      <c r="K716" s="81"/>
      <c r="L716" s="81"/>
      <c r="M716" s="81"/>
      <c r="N716" s="81"/>
      <c r="O716" s="81"/>
      <c r="P716" s="81"/>
      <c r="Q716" s="81"/>
      <c r="R716" s="81"/>
      <c r="S716" s="81"/>
      <c r="T716" s="81"/>
      <c r="U716" s="81"/>
      <c r="V716" s="81"/>
      <c r="W716" s="81"/>
      <c r="X716" s="81"/>
      <c r="Y716" s="81"/>
      <c r="Z716" s="81"/>
      <c r="AA716" s="81"/>
      <c r="AB716" s="81"/>
      <c r="AC716" s="81"/>
      <c r="AD716" s="81"/>
      <c r="AE716" s="81"/>
      <c r="AF716" s="81"/>
      <c r="AG716" s="81"/>
      <c r="AH716" s="81"/>
    </row>
    <row r="717" spans="4:34" ht="14.25" customHeight="1">
      <c r="D717" s="81"/>
      <c r="E717" s="81"/>
      <c r="F717" s="81"/>
      <c r="G717" s="81"/>
      <c r="H717" s="81"/>
      <c r="I717" s="81"/>
      <c r="J717" s="81"/>
      <c r="K717" s="81"/>
      <c r="L717" s="81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81"/>
      <c r="Y717" s="81"/>
      <c r="Z717" s="81"/>
      <c r="AA717" s="81"/>
      <c r="AB717" s="81"/>
      <c r="AC717" s="81"/>
      <c r="AD717" s="81"/>
      <c r="AE717" s="81"/>
      <c r="AF717" s="81"/>
      <c r="AG717" s="81"/>
      <c r="AH717" s="81"/>
    </row>
    <row r="718" spans="4:34" ht="14.25" customHeight="1"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  <c r="S718" s="81"/>
      <c r="T718" s="81"/>
      <c r="U718" s="81"/>
      <c r="V718" s="81"/>
      <c r="W718" s="81"/>
      <c r="X718" s="81"/>
      <c r="Y718" s="81"/>
      <c r="Z718" s="81"/>
      <c r="AA718" s="81"/>
      <c r="AB718" s="81"/>
      <c r="AC718" s="81"/>
      <c r="AD718" s="81"/>
      <c r="AE718" s="81"/>
      <c r="AF718" s="81"/>
      <c r="AG718" s="81"/>
      <c r="AH718" s="81"/>
    </row>
    <row r="719" spans="4:34" ht="14.25" customHeight="1">
      <c r="D719" s="81"/>
      <c r="E719" s="81"/>
      <c r="F719" s="81"/>
      <c r="G719" s="81"/>
      <c r="H719" s="81"/>
      <c r="I719" s="81"/>
      <c r="J719" s="81"/>
      <c r="K719" s="81"/>
      <c r="L719" s="81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81"/>
      <c r="Y719" s="81"/>
      <c r="Z719" s="81"/>
      <c r="AA719" s="81"/>
      <c r="AB719" s="81"/>
      <c r="AC719" s="81"/>
      <c r="AD719" s="81"/>
      <c r="AE719" s="81"/>
      <c r="AF719" s="81"/>
      <c r="AG719" s="81"/>
      <c r="AH719" s="81"/>
    </row>
    <row r="720" spans="4:34" ht="14.25" customHeight="1">
      <c r="D720" s="81"/>
      <c r="E720" s="81"/>
      <c r="F720" s="81"/>
      <c r="G720" s="81"/>
      <c r="H720" s="81"/>
      <c r="I720" s="81"/>
      <c r="J720" s="81"/>
      <c r="K720" s="81"/>
      <c r="L720" s="81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1"/>
      <c r="Y720" s="81"/>
      <c r="Z720" s="81"/>
      <c r="AA720" s="81"/>
      <c r="AB720" s="81"/>
      <c r="AC720" s="81"/>
      <c r="AD720" s="81"/>
      <c r="AE720" s="81"/>
      <c r="AF720" s="81"/>
      <c r="AG720" s="81"/>
      <c r="AH720" s="81"/>
    </row>
    <row r="721" spans="4:34" ht="14.25" customHeight="1">
      <c r="D721" s="81"/>
      <c r="E721" s="81"/>
      <c r="F721" s="81"/>
      <c r="G721" s="81"/>
      <c r="H721" s="81"/>
      <c r="I721" s="81"/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1"/>
      <c r="Y721" s="81"/>
      <c r="Z721" s="81"/>
      <c r="AA721" s="81"/>
      <c r="AB721" s="81"/>
      <c r="AC721" s="81"/>
      <c r="AD721" s="81"/>
      <c r="AE721" s="81"/>
      <c r="AF721" s="81"/>
      <c r="AG721" s="81"/>
      <c r="AH721" s="81"/>
    </row>
    <row r="722" spans="4:34" ht="14.25" customHeight="1"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1"/>
      <c r="Y722" s="81"/>
      <c r="Z722" s="81"/>
      <c r="AA722" s="81"/>
      <c r="AB722" s="81"/>
      <c r="AC722" s="81"/>
      <c r="AD722" s="81"/>
      <c r="AE722" s="81"/>
      <c r="AF722" s="81"/>
      <c r="AG722" s="81"/>
      <c r="AH722" s="81"/>
    </row>
    <row r="723" spans="4:34" ht="14.25" customHeight="1">
      <c r="D723" s="81"/>
      <c r="E723" s="81"/>
      <c r="F723" s="81"/>
      <c r="G723" s="81"/>
      <c r="H723" s="81"/>
      <c r="I723" s="81"/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1"/>
      <c r="Y723" s="81"/>
      <c r="Z723" s="81"/>
      <c r="AA723" s="81"/>
      <c r="AB723" s="81"/>
      <c r="AC723" s="81"/>
      <c r="AD723" s="81"/>
      <c r="AE723" s="81"/>
      <c r="AF723" s="81"/>
      <c r="AG723" s="81"/>
      <c r="AH723" s="81"/>
    </row>
    <row r="724" spans="4:34" ht="14.25" customHeight="1">
      <c r="D724" s="81"/>
      <c r="E724" s="81"/>
      <c r="F724" s="81"/>
      <c r="G724" s="81"/>
      <c r="H724" s="81"/>
      <c r="I724" s="81"/>
      <c r="J724" s="81"/>
      <c r="K724" s="81"/>
      <c r="L724" s="81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1"/>
      <c r="Y724" s="81"/>
      <c r="Z724" s="81"/>
      <c r="AA724" s="81"/>
      <c r="AB724" s="81"/>
      <c r="AC724" s="81"/>
      <c r="AD724" s="81"/>
      <c r="AE724" s="81"/>
      <c r="AF724" s="81"/>
      <c r="AG724" s="81"/>
      <c r="AH724" s="81"/>
    </row>
    <row r="725" spans="4:34" ht="14.25" customHeight="1">
      <c r="D725" s="81"/>
      <c r="E725" s="81"/>
      <c r="F725" s="81"/>
      <c r="G725" s="81"/>
      <c r="H725" s="81"/>
      <c r="I725" s="81"/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1"/>
      <c r="Y725" s="81"/>
      <c r="Z725" s="81"/>
      <c r="AA725" s="81"/>
      <c r="AB725" s="81"/>
      <c r="AC725" s="81"/>
      <c r="AD725" s="81"/>
      <c r="AE725" s="81"/>
      <c r="AF725" s="81"/>
      <c r="AG725" s="81"/>
      <c r="AH725" s="81"/>
    </row>
    <row r="726" spans="4:34" ht="14.25" customHeight="1"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1"/>
      <c r="Y726" s="81"/>
      <c r="Z726" s="81"/>
      <c r="AA726" s="81"/>
      <c r="AB726" s="81"/>
      <c r="AC726" s="81"/>
      <c r="AD726" s="81"/>
      <c r="AE726" s="81"/>
      <c r="AF726" s="81"/>
      <c r="AG726" s="81"/>
      <c r="AH726" s="81"/>
    </row>
    <row r="727" spans="4:34" ht="14.25" customHeight="1">
      <c r="D727" s="81"/>
      <c r="E727" s="81"/>
      <c r="F727" s="81"/>
      <c r="G727" s="81"/>
      <c r="H727" s="81"/>
      <c r="I727" s="81"/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1"/>
      <c r="Y727" s="81"/>
      <c r="Z727" s="81"/>
      <c r="AA727" s="81"/>
      <c r="AB727" s="81"/>
      <c r="AC727" s="81"/>
      <c r="AD727" s="81"/>
      <c r="AE727" s="81"/>
      <c r="AF727" s="81"/>
      <c r="AG727" s="81"/>
      <c r="AH727" s="81"/>
    </row>
    <row r="728" spans="4:34" ht="14.25" customHeight="1">
      <c r="D728" s="81"/>
      <c r="E728" s="81"/>
      <c r="F728" s="81"/>
      <c r="G728" s="81"/>
      <c r="H728" s="81"/>
      <c r="I728" s="81"/>
      <c r="J728" s="81"/>
      <c r="K728" s="81"/>
      <c r="L728" s="81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1"/>
      <c r="Y728" s="81"/>
      <c r="Z728" s="81"/>
      <c r="AA728" s="81"/>
      <c r="AB728" s="81"/>
      <c r="AC728" s="81"/>
      <c r="AD728" s="81"/>
      <c r="AE728" s="81"/>
      <c r="AF728" s="81"/>
      <c r="AG728" s="81"/>
      <c r="AH728" s="81"/>
    </row>
    <row r="729" spans="4:34" ht="14.25" customHeight="1">
      <c r="D729" s="81"/>
      <c r="E729" s="81"/>
      <c r="F729" s="81"/>
      <c r="G729" s="81"/>
      <c r="H729" s="81"/>
      <c r="I729" s="81"/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1"/>
      <c r="Y729" s="81"/>
      <c r="Z729" s="81"/>
      <c r="AA729" s="81"/>
      <c r="AB729" s="81"/>
      <c r="AC729" s="81"/>
      <c r="AD729" s="81"/>
      <c r="AE729" s="81"/>
      <c r="AF729" s="81"/>
      <c r="AG729" s="81"/>
      <c r="AH729" s="81"/>
    </row>
    <row r="730" spans="4:34" ht="14.25" customHeight="1"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1"/>
      <c r="Y730" s="81"/>
      <c r="Z730" s="81"/>
      <c r="AA730" s="81"/>
      <c r="AB730" s="81"/>
      <c r="AC730" s="81"/>
      <c r="AD730" s="81"/>
      <c r="AE730" s="81"/>
      <c r="AF730" s="81"/>
      <c r="AG730" s="81"/>
      <c r="AH730" s="81"/>
    </row>
    <row r="731" spans="4:34" ht="14.25" customHeight="1">
      <c r="D731" s="81"/>
      <c r="E731" s="81"/>
      <c r="F731" s="81"/>
      <c r="G731" s="81"/>
      <c r="H731" s="81"/>
      <c r="I731" s="81"/>
      <c r="J731" s="81"/>
      <c r="K731" s="81"/>
      <c r="L731" s="81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81"/>
      <c r="Y731" s="81"/>
      <c r="Z731" s="81"/>
      <c r="AA731" s="81"/>
      <c r="AB731" s="81"/>
      <c r="AC731" s="81"/>
      <c r="AD731" s="81"/>
      <c r="AE731" s="81"/>
      <c r="AF731" s="81"/>
      <c r="AG731" s="81"/>
      <c r="AH731" s="81"/>
    </row>
    <row r="732" spans="4:34" ht="14.25" customHeight="1">
      <c r="D732" s="81"/>
      <c r="E732" s="81"/>
      <c r="F732" s="81"/>
      <c r="G732" s="81"/>
      <c r="H732" s="81"/>
      <c r="I732" s="81"/>
      <c r="J732" s="81"/>
      <c r="K732" s="81"/>
      <c r="L732" s="81"/>
      <c r="M732" s="81"/>
      <c r="N732" s="81"/>
      <c r="O732" s="81"/>
      <c r="P732" s="81"/>
      <c r="Q732" s="81"/>
      <c r="R732" s="81"/>
      <c r="S732" s="81"/>
      <c r="T732" s="81"/>
      <c r="U732" s="81"/>
      <c r="V732" s="81"/>
      <c r="W732" s="81"/>
      <c r="X732" s="81"/>
      <c r="Y732" s="81"/>
      <c r="Z732" s="81"/>
      <c r="AA732" s="81"/>
      <c r="AB732" s="81"/>
      <c r="AC732" s="81"/>
      <c r="AD732" s="81"/>
      <c r="AE732" s="81"/>
      <c r="AF732" s="81"/>
      <c r="AG732" s="81"/>
      <c r="AH732" s="81"/>
    </row>
    <row r="733" spans="4:34" ht="14.25" customHeight="1">
      <c r="D733" s="81"/>
      <c r="E733" s="81"/>
      <c r="F733" s="81"/>
      <c r="G733" s="81"/>
      <c r="H733" s="81"/>
      <c r="I733" s="81"/>
      <c r="J733" s="81"/>
      <c r="K733" s="81"/>
      <c r="L733" s="81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81"/>
      <c r="Y733" s="81"/>
      <c r="Z733" s="81"/>
      <c r="AA733" s="81"/>
      <c r="AB733" s="81"/>
      <c r="AC733" s="81"/>
      <c r="AD733" s="81"/>
      <c r="AE733" s="81"/>
      <c r="AF733" s="81"/>
      <c r="AG733" s="81"/>
      <c r="AH733" s="81"/>
    </row>
    <row r="734" spans="4:34" ht="14.25" customHeight="1"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  <c r="S734" s="81"/>
      <c r="T734" s="81"/>
      <c r="U734" s="81"/>
      <c r="V734" s="81"/>
      <c r="W734" s="81"/>
      <c r="X734" s="81"/>
      <c r="Y734" s="81"/>
      <c r="Z734" s="81"/>
      <c r="AA734" s="81"/>
      <c r="AB734" s="81"/>
      <c r="AC734" s="81"/>
      <c r="AD734" s="81"/>
      <c r="AE734" s="81"/>
      <c r="AF734" s="81"/>
      <c r="AG734" s="81"/>
      <c r="AH734" s="81"/>
    </row>
    <row r="735" spans="4:34" ht="14.25" customHeight="1">
      <c r="D735" s="81"/>
      <c r="E735" s="81"/>
      <c r="F735" s="81"/>
      <c r="G735" s="81"/>
      <c r="H735" s="81"/>
      <c r="I735" s="81"/>
      <c r="J735" s="81"/>
      <c r="K735" s="81"/>
      <c r="L735" s="81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81"/>
      <c r="Y735" s="81"/>
      <c r="Z735" s="81"/>
      <c r="AA735" s="81"/>
      <c r="AB735" s="81"/>
      <c r="AC735" s="81"/>
      <c r="AD735" s="81"/>
      <c r="AE735" s="81"/>
      <c r="AF735" s="81"/>
      <c r="AG735" s="81"/>
      <c r="AH735" s="81"/>
    </row>
    <row r="736" spans="4:34" ht="14.25" customHeight="1">
      <c r="D736" s="81"/>
      <c r="E736" s="81"/>
      <c r="F736" s="81"/>
      <c r="G736" s="81"/>
      <c r="H736" s="81"/>
      <c r="I736" s="81"/>
      <c r="J736" s="81"/>
      <c r="K736" s="81"/>
      <c r="L736" s="81"/>
      <c r="M736" s="81"/>
      <c r="N736" s="81"/>
      <c r="O736" s="81"/>
      <c r="P736" s="81"/>
      <c r="Q736" s="81"/>
      <c r="R736" s="81"/>
      <c r="S736" s="81"/>
      <c r="T736" s="81"/>
      <c r="U736" s="81"/>
      <c r="V736" s="81"/>
      <c r="W736" s="81"/>
      <c r="X736" s="81"/>
      <c r="Y736" s="81"/>
      <c r="Z736" s="81"/>
      <c r="AA736" s="81"/>
      <c r="AB736" s="81"/>
      <c r="AC736" s="81"/>
      <c r="AD736" s="81"/>
      <c r="AE736" s="81"/>
      <c r="AF736" s="81"/>
      <c r="AG736" s="81"/>
      <c r="AH736" s="81"/>
    </row>
    <row r="737" spans="4:34" ht="14.25" customHeight="1">
      <c r="D737" s="81"/>
      <c r="E737" s="81"/>
      <c r="F737" s="81"/>
      <c r="G737" s="81"/>
      <c r="H737" s="81"/>
      <c r="I737" s="81"/>
      <c r="J737" s="81"/>
      <c r="K737" s="81"/>
      <c r="L737" s="81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81"/>
      <c r="Y737" s="81"/>
      <c r="Z737" s="81"/>
      <c r="AA737" s="81"/>
      <c r="AB737" s="81"/>
      <c r="AC737" s="81"/>
      <c r="AD737" s="81"/>
      <c r="AE737" s="81"/>
      <c r="AF737" s="81"/>
      <c r="AG737" s="81"/>
      <c r="AH737" s="81"/>
    </row>
    <row r="738" spans="4:34" ht="14.25" customHeight="1"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  <c r="S738" s="81"/>
      <c r="T738" s="81"/>
      <c r="U738" s="81"/>
      <c r="V738" s="81"/>
      <c r="W738" s="81"/>
      <c r="X738" s="81"/>
      <c r="Y738" s="81"/>
      <c r="Z738" s="81"/>
      <c r="AA738" s="81"/>
      <c r="AB738" s="81"/>
      <c r="AC738" s="81"/>
      <c r="AD738" s="81"/>
      <c r="AE738" s="81"/>
      <c r="AF738" s="81"/>
      <c r="AG738" s="81"/>
      <c r="AH738" s="81"/>
    </row>
    <row r="739" spans="4:34" ht="14.25" customHeight="1">
      <c r="D739" s="81"/>
      <c r="E739" s="81"/>
      <c r="F739" s="81"/>
      <c r="G739" s="81"/>
      <c r="H739" s="81"/>
      <c r="I739" s="81"/>
      <c r="J739" s="81"/>
      <c r="K739" s="81"/>
      <c r="L739" s="81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81"/>
      <c r="Y739" s="81"/>
      <c r="Z739" s="81"/>
      <c r="AA739" s="81"/>
      <c r="AB739" s="81"/>
      <c r="AC739" s="81"/>
      <c r="AD739" s="81"/>
      <c r="AE739" s="81"/>
      <c r="AF739" s="81"/>
      <c r="AG739" s="81"/>
      <c r="AH739" s="81"/>
    </row>
    <row r="740" spans="4:34" ht="14.25" customHeight="1">
      <c r="D740" s="81"/>
      <c r="E740" s="81"/>
      <c r="F740" s="81"/>
      <c r="G740" s="81"/>
      <c r="H740" s="81"/>
      <c r="I740" s="81"/>
      <c r="J740" s="81"/>
      <c r="K740" s="81"/>
      <c r="L740" s="81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1"/>
      <c r="X740" s="81"/>
      <c r="Y740" s="81"/>
      <c r="Z740" s="81"/>
      <c r="AA740" s="81"/>
      <c r="AB740" s="81"/>
      <c r="AC740" s="81"/>
      <c r="AD740" s="81"/>
      <c r="AE740" s="81"/>
      <c r="AF740" s="81"/>
      <c r="AG740" s="81"/>
      <c r="AH740" s="81"/>
    </row>
    <row r="741" spans="4:34" ht="14.25" customHeight="1">
      <c r="D741" s="81"/>
      <c r="E741" s="81"/>
      <c r="F741" s="81"/>
      <c r="G741" s="81"/>
      <c r="H741" s="81"/>
      <c r="I741" s="81"/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81"/>
      <c r="Y741" s="81"/>
      <c r="Z741" s="81"/>
      <c r="AA741" s="81"/>
      <c r="AB741" s="81"/>
      <c r="AC741" s="81"/>
      <c r="AD741" s="81"/>
      <c r="AE741" s="81"/>
      <c r="AF741" s="81"/>
      <c r="AG741" s="81"/>
      <c r="AH741" s="81"/>
    </row>
    <row r="742" spans="4:34" ht="14.25" customHeight="1"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1"/>
      <c r="X742" s="81"/>
      <c r="Y742" s="81"/>
      <c r="Z742" s="81"/>
      <c r="AA742" s="81"/>
      <c r="AB742" s="81"/>
      <c r="AC742" s="81"/>
      <c r="AD742" s="81"/>
      <c r="AE742" s="81"/>
      <c r="AF742" s="81"/>
      <c r="AG742" s="81"/>
      <c r="AH742" s="81"/>
    </row>
    <row r="743" spans="4:34" ht="14.25" customHeight="1">
      <c r="D743" s="81"/>
      <c r="E743" s="81"/>
      <c r="F743" s="81"/>
      <c r="G743" s="81"/>
      <c r="H743" s="81"/>
      <c r="I743" s="81"/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81"/>
      <c r="Y743" s="81"/>
      <c r="Z743" s="81"/>
      <c r="AA743" s="81"/>
      <c r="AB743" s="81"/>
      <c r="AC743" s="81"/>
      <c r="AD743" s="81"/>
      <c r="AE743" s="81"/>
      <c r="AF743" s="81"/>
      <c r="AG743" s="81"/>
      <c r="AH743" s="81"/>
    </row>
    <row r="744" spans="4:34" ht="14.25" customHeight="1">
      <c r="D744" s="81"/>
      <c r="E744" s="81"/>
      <c r="F744" s="81"/>
      <c r="G744" s="81"/>
      <c r="H744" s="81"/>
      <c r="I744" s="81"/>
      <c r="J744" s="81"/>
      <c r="K744" s="81"/>
      <c r="L744" s="81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1"/>
      <c r="X744" s="81"/>
      <c r="Y744" s="81"/>
      <c r="Z744" s="81"/>
      <c r="AA744" s="81"/>
      <c r="AB744" s="81"/>
      <c r="AC744" s="81"/>
      <c r="AD744" s="81"/>
      <c r="AE744" s="81"/>
      <c r="AF744" s="81"/>
      <c r="AG744" s="81"/>
      <c r="AH744" s="81"/>
    </row>
    <row r="745" spans="4:34" ht="14.25" customHeight="1">
      <c r="D745" s="81"/>
      <c r="E745" s="81"/>
      <c r="F745" s="81"/>
      <c r="G745" s="81"/>
      <c r="H745" s="81"/>
      <c r="I745" s="81"/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81"/>
      <c r="Y745" s="81"/>
      <c r="Z745" s="81"/>
      <c r="AA745" s="81"/>
      <c r="AB745" s="81"/>
      <c r="AC745" s="81"/>
      <c r="AD745" s="81"/>
      <c r="AE745" s="81"/>
      <c r="AF745" s="81"/>
      <c r="AG745" s="81"/>
      <c r="AH745" s="81"/>
    </row>
    <row r="746" spans="4:34" ht="14.25" customHeight="1"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  <c r="S746" s="81"/>
      <c r="T746" s="81"/>
      <c r="U746" s="81"/>
      <c r="V746" s="81"/>
      <c r="W746" s="81"/>
      <c r="X746" s="81"/>
      <c r="Y746" s="81"/>
      <c r="Z746" s="81"/>
      <c r="AA746" s="81"/>
      <c r="AB746" s="81"/>
      <c r="AC746" s="81"/>
      <c r="AD746" s="81"/>
      <c r="AE746" s="81"/>
      <c r="AF746" s="81"/>
      <c r="AG746" s="81"/>
      <c r="AH746" s="81"/>
    </row>
    <row r="747" spans="4:34" ht="14.25" customHeight="1">
      <c r="D747" s="81"/>
      <c r="E747" s="81"/>
      <c r="F747" s="81"/>
      <c r="G747" s="81"/>
      <c r="H747" s="81"/>
      <c r="I747" s="81"/>
      <c r="J747" s="81"/>
      <c r="K747" s="81"/>
      <c r="L747" s="81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81"/>
      <c r="Y747" s="81"/>
      <c r="Z747" s="81"/>
      <c r="AA747" s="81"/>
      <c r="AB747" s="81"/>
      <c r="AC747" s="81"/>
      <c r="AD747" s="81"/>
      <c r="AE747" s="81"/>
      <c r="AF747" s="81"/>
      <c r="AG747" s="81"/>
      <c r="AH747" s="81"/>
    </row>
    <row r="748" spans="4:34" ht="14.25" customHeight="1">
      <c r="D748" s="81"/>
      <c r="E748" s="81"/>
      <c r="F748" s="81"/>
      <c r="G748" s="81"/>
      <c r="H748" s="81"/>
      <c r="I748" s="81"/>
      <c r="J748" s="81"/>
      <c r="K748" s="81"/>
      <c r="L748" s="81"/>
      <c r="M748" s="81"/>
      <c r="N748" s="81"/>
      <c r="O748" s="81"/>
      <c r="P748" s="81"/>
      <c r="Q748" s="81"/>
      <c r="R748" s="81"/>
      <c r="S748" s="81"/>
      <c r="T748" s="81"/>
      <c r="U748" s="81"/>
      <c r="V748" s="81"/>
      <c r="W748" s="81"/>
      <c r="X748" s="81"/>
      <c r="Y748" s="81"/>
      <c r="Z748" s="81"/>
      <c r="AA748" s="81"/>
      <c r="AB748" s="81"/>
      <c r="AC748" s="81"/>
      <c r="AD748" s="81"/>
      <c r="AE748" s="81"/>
      <c r="AF748" s="81"/>
      <c r="AG748" s="81"/>
      <c r="AH748" s="81"/>
    </row>
    <row r="749" spans="4:34" ht="14.25" customHeight="1">
      <c r="D749" s="81"/>
      <c r="E749" s="81"/>
      <c r="F749" s="81"/>
      <c r="G749" s="81"/>
      <c r="H749" s="81"/>
      <c r="I749" s="81"/>
      <c r="J749" s="81"/>
      <c r="K749" s="81"/>
      <c r="L749" s="81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81"/>
      <c r="Y749" s="81"/>
      <c r="Z749" s="81"/>
      <c r="AA749" s="81"/>
      <c r="AB749" s="81"/>
      <c r="AC749" s="81"/>
      <c r="AD749" s="81"/>
      <c r="AE749" s="81"/>
      <c r="AF749" s="81"/>
      <c r="AG749" s="81"/>
      <c r="AH749" s="81"/>
    </row>
    <row r="750" spans="4:34" ht="14.25" customHeight="1"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1"/>
      <c r="X750" s="81"/>
      <c r="Y750" s="81"/>
      <c r="Z750" s="81"/>
      <c r="AA750" s="81"/>
      <c r="AB750" s="81"/>
      <c r="AC750" s="81"/>
      <c r="AD750" s="81"/>
      <c r="AE750" s="81"/>
      <c r="AF750" s="81"/>
      <c r="AG750" s="81"/>
      <c r="AH750" s="81"/>
    </row>
    <row r="751" spans="4:34" ht="14.25" customHeight="1">
      <c r="D751" s="81"/>
      <c r="E751" s="81"/>
      <c r="F751" s="81"/>
      <c r="G751" s="81"/>
      <c r="H751" s="81"/>
      <c r="I751" s="81"/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81"/>
      <c r="Y751" s="81"/>
      <c r="Z751" s="81"/>
      <c r="AA751" s="81"/>
      <c r="AB751" s="81"/>
      <c r="AC751" s="81"/>
      <c r="AD751" s="81"/>
      <c r="AE751" s="81"/>
      <c r="AF751" s="81"/>
      <c r="AG751" s="81"/>
      <c r="AH751" s="81"/>
    </row>
    <row r="752" spans="4:34" ht="14.25" customHeight="1">
      <c r="D752" s="81"/>
      <c r="E752" s="81"/>
      <c r="F752" s="81"/>
      <c r="G752" s="81"/>
      <c r="H752" s="81"/>
      <c r="I752" s="81"/>
      <c r="J752" s="81"/>
      <c r="K752" s="81"/>
      <c r="L752" s="81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1"/>
      <c r="X752" s="81"/>
      <c r="Y752" s="81"/>
      <c r="Z752" s="81"/>
      <c r="AA752" s="81"/>
      <c r="AB752" s="81"/>
      <c r="AC752" s="81"/>
      <c r="AD752" s="81"/>
      <c r="AE752" s="81"/>
      <c r="AF752" s="81"/>
      <c r="AG752" s="81"/>
      <c r="AH752" s="81"/>
    </row>
    <row r="753" spans="4:34" ht="14.25" customHeight="1">
      <c r="D753" s="81"/>
      <c r="E753" s="81"/>
      <c r="F753" s="81"/>
      <c r="G753" s="81"/>
      <c r="H753" s="81"/>
      <c r="I753" s="81"/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81"/>
      <c r="Y753" s="81"/>
      <c r="Z753" s="81"/>
      <c r="AA753" s="81"/>
      <c r="AB753" s="81"/>
      <c r="AC753" s="81"/>
      <c r="AD753" s="81"/>
      <c r="AE753" s="81"/>
      <c r="AF753" s="81"/>
      <c r="AG753" s="81"/>
      <c r="AH753" s="81"/>
    </row>
    <row r="754" spans="4:34" ht="14.25" customHeight="1"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1"/>
      <c r="X754" s="81"/>
      <c r="Y754" s="81"/>
      <c r="Z754" s="81"/>
      <c r="AA754" s="81"/>
      <c r="AB754" s="81"/>
      <c r="AC754" s="81"/>
      <c r="AD754" s="81"/>
      <c r="AE754" s="81"/>
      <c r="AF754" s="81"/>
      <c r="AG754" s="81"/>
      <c r="AH754" s="81"/>
    </row>
    <row r="755" spans="4:34" ht="14.25" customHeight="1">
      <c r="D755" s="81"/>
      <c r="E755" s="81"/>
      <c r="F755" s="81"/>
      <c r="G755" s="81"/>
      <c r="H755" s="81"/>
      <c r="I755" s="81"/>
      <c r="J755" s="81"/>
      <c r="K755" s="81"/>
      <c r="L755" s="81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81"/>
      <c r="Y755" s="81"/>
      <c r="Z755" s="81"/>
      <c r="AA755" s="81"/>
      <c r="AB755" s="81"/>
      <c r="AC755" s="81"/>
      <c r="AD755" s="81"/>
      <c r="AE755" s="81"/>
      <c r="AF755" s="81"/>
      <c r="AG755" s="81"/>
      <c r="AH755" s="81"/>
    </row>
    <row r="756" spans="4:34" ht="14.25" customHeight="1">
      <c r="D756" s="81"/>
      <c r="E756" s="81"/>
      <c r="F756" s="81"/>
      <c r="G756" s="81"/>
      <c r="H756" s="81"/>
      <c r="I756" s="81"/>
      <c r="J756" s="81"/>
      <c r="K756" s="81"/>
      <c r="L756" s="81"/>
      <c r="M756" s="81"/>
      <c r="N756" s="81"/>
      <c r="O756" s="81"/>
      <c r="P756" s="81"/>
      <c r="Q756" s="81"/>
      <c r="R756" s="81"/>
      <c r="S756" s="81"/>
      <c r="T756" s="81"/>
      <c r="U756" s="81"/>
      <c r="V756" s="81"/>
      <c r="W756" s="81"/>
      <c r="X756" s="81"/>
      <c r="Y756" s="81"/>
      <c r="Z756" s="81"/>
      <c r="AA756" s="81"/>
      <c r="AB756" s="81"/>
      <c r="AC756" s="81"/>
      <c r="AD756" s="81"/>
      <c r="AE756" s="81"/>
      <c r="AF756" s="81"/>
      <c r="AG756" s="81"/>
      <c r="AH756" s="81"/>
    </row>
    <row r="757" spans="4:34" ht="14.25" customHeight="1">
      <c r="D757" s="81"/>
      <c r="E757" s="81"/>
      <c r="F757" s="81"/>
      <c r="G757" s="81"/>
      <c r="H757" s="81"/>
      <c r="I757" s="81"/>
      <c r="J757" s="81"/>
      <c r="K757" s="81"/>
      <c r="L757" s="81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81"/>
      <c r="Y757" s="81"/>
      <c r="Z757" s="81"/>
      <c r="AA757" s="81"/>
      <c r="AB757" s="81"/>
      <c r="AC757" s="81"/>
      <c r="AD757" s="81"/>
      <c r="AE757" s="81"/>
      <c r="AF757" s="81"/>
      <c r="AG757" s="81"/>
      <c r="AH757" s="81"/>
    </row>
    <row r="758" spans="4:34" ht="14.25" customHeight="1"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  <c r="S758" s="81"/>
      <c r="T758" s="81"/>
      <c r="U758" s="81"/>
      <c r="V758" s="81"/>
      <c r="W758" s="81"/>
      <c r="X758" s="81"/>
      <c r="Y758" s="81"/>
      <c r="Z758" s="81"/>
      <c r="AA758" s="81"/>
      <c r="AB758" s="81"/>
      <c r="AC758" s="81"/>
      <c r="AD758" s="81"/>
      <c r="AE758" s="81"/>
      <c r="AF758" s="81"/>
      <c r="AG758" s="81"/>
      <c r="AH758" s="81"/>
    </row>
    <row r="759" spans="4:34" ht="14.25" customHeight="1">
      <c r="D759" s="81"/>
      <c r="E759" s="81"/>
      <c r="F759" s="81"/>
      <c r="G759" s="81"/>
      <c r="H759" s="81"/>
      <c r="I759" s="81"/>
      <c r="J759" s="81"/>
      <c r="K759" s="81"/>
      <c r="L759" s="81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81"/>
      <c r="Y759" s="81"/>
      <c r="Z759" s="81"/>
      <c r="AA759" s="81"/>
      <c r="AB759" s="81"/>
      <c r="AC759" s="81"/>
      <c r="AD759" s="81"/>
      <c r="AE759" s="81"/>
      <c r="AF759" s="81"/>
      <c r="AG759" s="81"/>
      <c r="AH759" s="81"/>
    </row>
    <row r="760" spans="4:34" ht="14.25" customHeight="1">
      <c r="D760" s="81"/>
      <c r="E760" s="81"/>
      <c r="F760" s="81"/>
      <c r="G760" s="81"/>
      <c r="H760" s="81"/>
      <c r="I760" s="81"/>
      <c r="J760" s="81"/>
      <c r="K760" s="81"/>
      <c r="L760" s="81"/>
      <c r="M760" s="81"/>
      <c r="N760" s="81"/>
      <c r="O760" s="81"/>
      <c r="P760" s="81"/>
      <c r="Q760" s="81"/>
      <c r="R760" s="81"/>
      <c r="S760" s="81"/>
      <c r="T760" s="81"/>
      <c r="U760" s="81"/>
      <c r="V760" s="81"/>
      <c r="W760" s="81"/>
      <c r="X760" s="81"/>
      <c r="Y760" s="81"/>
      <c r="Z760" s="81"/>
      <c r="AA760" s="81"/>
      <c r="AB760" s="81"/>
      <c r="AC760" s="81"/>
      <c r="AD760" s="81"/>
      <c r="AE760" s="81"/>
      <c r="AF760" s="81"/>
      <c r="AG760" s="81"/>
      <c r="AH760" s="81"/>
    </row>
    <row r="761" spans="4:34" ht="14.25" customHeight="1">
      <c r="D761" s="81"/>
      <c r="E761" s="81"/>
      <c r="F761" s="81"/>
      <c r="G761" s="81"/>
      <c r="H761" s="81"/>
      <c r="I761" s="81"/>
      <c r="J761" s="81"/>
      <c r="K761" s="81"/>
      <c r="L761" s="81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81"/>
      <c r="Y761" s="81"/>
      <c r="Z761" s="81"/>
      <c r="AA761" s="81"/>
      <c r="AB761" s="81"/>
      <c r="AC761" s="81"/>
      <c r="AD761" s="81"/>
      <c r="AE761" s="81"/>
      <c r="AF761" s="81"/>
      <c r="AG761" s="81"/>
      <c r="AH761" s="81"/>
    </row>
    <row r="762" spans="4:34" ht="14.25" customHeight="1"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81"/>
      <c r="Y762" s="81"/>
      <c r="Z762" s="81"/>
      <c r="AA762" s="81"/>
      <c r="AB762" s="81"/>
      <c r="AC762" s="81"/>
      <c r="AD762" s="81"/>
      <c r="AE762" s="81"/>
      <c r="AF762" s="81"/>
      <c r="AG762" s="81"/>
      <c r="AH762" s="81"/>
    </row>
    <row r="763" spans="4:34" ht="14.25" customHeight="1">
      <c r="D763" s="81"/>
      <c r="E763" s="81"/>
      <c r="F763" s="81"/>
      <c r="G763" s="81"/>
      <c r="H763" s="81"/>
      <c r="I763" s="81"/>
      <c r="J763" s="81"/>
      <c r="K763" s="81"/>
      <c r="L763" s="81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81"/>
      <c r="Y763" s="81"/>
      <c r="Z763" s="81"/>
      <c r="AA763" s="81"/>
      <c r="AB763" s="81"/>
      <c r="AC763" s="81"/>
      <c r="AD763" s="81"/>
      <c r="AE763" s="81"/>
      <c r="AF763" s="81"/>
      <c r="AG763" s="81"/>
      <c r="AH763" s="81"/>
    </row>
    <row r="764" spans="4:34" ht="14.25" customHeight="1">
      <c r="D764" s="81"/>
      <c r="E764" s="81"/>
      <c r="F764" s="81"/>
      <c r="G764" s="81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1"/>
      <c r="Y764" s="81"/>
      <c r="Z764" s="81"/>
      <c r="AA764" s="81"/>
      <c r="AB764" s="81"/>
      <c r="AC764" s="81"/>
      <c r="AD764" s="81"/>
      <c r="AE764" s="81"/>
      <c r="AF764" s="81"/>
      <c r="AG764" s="81"/>
      <c r="AH764" s="81"/>
    </row>
    <row r="765" spans="4:34" ht="14.25" customHeight="1">
      <c r="D765" s="81"/>
      <c r="E765" s="81"/>
      <c r="F765" s="81"/>
      <c r="G765" s="81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1"/>
      <c r="Y765" s="81"/>
      <c r="Z765" s="81"/>
      <c r="AA765" s="81"/>
      <c r="AB765" s="81"/>
      <c r="AC765" s="81"/>
      <c r="AD765" s="81"/>
      <c r="AE765" s="81"/>
      <c r="AF765" s="81"/>
      <c r="AG765" s="81"/>
      <c r="AH765" s="81"/>
    </row>
    <row r="766" spans="4:34" ht="14.25" customHeight="1"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1"/>
      <c r="Y766" s="81"/>
      <c r="Z766" s="81"/>
      <c r="AA766" s="81"/>
      <c r="AB766" s="81"/>
      <c r="AC766" s="81"/>
      <c r="AD766" s="81"/>
      <c r="AE766" s="81"/>
      <c r="AF766" s="81"/>
      <c r="AG766" s="81"/>
      <c r="AH766" s="81"/>
    </row>
    <row r="767" spans="4:34" ht="14.25" customHeight="1">
      <c r="D767" s="81"/>
      <c r="E767" s="81"/>
      <c r="F767" s="81"/>
      <c r="G767" s="81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1"/>
      <c r="Y767" s="81"/>
      <c r="Z767" s="81"/>
      <c r="AA767" s="81"/>
      <c r="AB767" s="81"/>
      <c r="AC767" s="81"/>
      <c r="AD767" s="81"/>
      <c r="AE767" s="81"/>
      <c r="AF767" s="81"/>
      <c r="AG767" s="81"/>
      <c r="AH767" s="81"/>
    </row>
    <row r="768" spans="4:34" ht="14.25" customHeight="1">
      <c r="D768" s="81"/>
      <c r="E768" s="81"/>
      <c r="F768" s="81"/>
      <c r="G768" s="81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1"/>
      <c r="Y768" s="81"/>
      <c r="Z768" s="81"/>
      <c r="AA768" s="81"/>
      <c r="AB768" s="81"/>
      <c r="AC768" s="81"/>
      <c r="AD768" s="81"/>
      <c r="AE768" s="81"/>
      <c r="AF768" s="81"/>
      <c r="AG768" s="81"/>
      <c r="AH768" s="81"/>
    </row>
    <row r="769" spans="4:34" ht="14.25" customHeight="1">
      <c r="D769" s="81"/>
      <c r="E769" s="81"/>
      <c r="F769" s="81"/>
      <c r="G769" s="81"/>
      <c r="H769" s="81"/>
      <c r="I769" s="81"/>
      <c r="J769" s="81"/>
      <c r="K769" s="81"/>
      <c r="L769" s="81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81"/>
      <c r="Y769" s="81"/>
      <c r="Z769" s="81"/>
      <c r="AA769" s="81"/>
      <c r="AB769" s="81"/>
      <c r="AC769" s="81"/>
      <c r="AD769" s="81"/>
      <c r="AE769" s="81"/>
      <c r="AF769" s="81"/>
      <c r="AG769" s="81"/>
      <c r="AH769" s="81"/>
    </row>
    <row r="770" spans="4:34" ht="14.25" customHeight="1"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81"/>
      <c r="Y770" s="81"/>
      <c r="Z770" s="81"/>
      <c r="AA770" s="81"/>
      <c r="AB770" s="81"/>
      <c r="AC770" s="81"/>
      <c r="AD770" s="81"/>
      <c r="AE770" s="81"/>
      <c r="AF770" s="81"/>
      <c r="AG770" s="81"/>
      <c r="AH770" s="81"/>
    </row>
    <row r="771" spans="4:34" ht="14.25" customHeight="1">
      <c r="D771" s="81"/>
      <c r="E771" s="81"/>
      <c r="F771" s="81"/>
      <c r="G771" s="81"/>
      <c r="H771" s="81"/>
      <c r="I771" s="81"/>
      <c r="J771" s="81"/>
      <c r="K771" s="81"/>
      <c r="L771" s="81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81"/>
      <c r="Y771" s="81"/>
      <c r="Z771" s="81"/>
      <c r="AA771" s="81"/>
      <c r="AB771" s="81"/>
      <c r="AC771" s="81"/>
      <c r="AD771" s="81"/>
      <c r="AE771" s="81"/>
      <c r="AF771" s="81"/>
      <c r="AG771" s="81"/>
      <c r="AH771" s="81"/>
    </row>
    <row r="772" spans="4:34" ht="14.25" customHeight="1">
      <c r="D772" s="81"/>
      <c r="E772" s="81"/>
      <c r="F772" s="81"/>
      <c r="G772" s="81"/>
      <c r="H772" s="81"/>
      <c r="I772" s="81"/>
      <c r="J772" s="81"/>
      <c r="K772" s="81"/>
      <c r="L772" s="81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81"/>
      <c r="Y772" s="81"/>
      <c r="Z772" s="81"/>
      <c r="AA772" s="81"/>
      <c r="AB772" s="81"/>
      <c r="AC772" s="81"/>
      <c r="AD772" s="81"/>
      <c r="AE772" s="81"/>
      <c r="AF772" s="81"/>
      <c r="AG772" s="81"/>
      <c r="AH772" s="81"/>
    </row>
    <row r="773" spans="4:34" ht="14.25" customHeight="1">
      <c r="D773" s="81"/>
      <c r="E773" s="81"/>
      <c r="F773" s="81"/>
      <c r="G773" s="81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1"/>
      <c r="Y773" s="81"/>
      <c r="Z773" s="81"/>
      <c r="AA773" s="81"/>
      <c r="AB773" s="81"/>
      <c r="AC773" s="81"/>
      <c r="AD773" s="81"/>
      <c r="AE773" s="81"/>
      <c r="AF773" s="81"/>
      <c r="AG773" s="81"/>
      <c r="AH773" s="81"/>
    </row>
    <row r="774" spans="4:34" ht="14.25" customHeight="1"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1"/>
      <c r="Y774" s="81"/>
      <c r="Z774" s="81"/>
      <c r="AA774" s="81"/>
      <c r="AB774" s="81"/>
      <c r="AC774" s="81"/>
      <c r="AD774" s="81"/>
      <c r="AE774" s="81"/>
      <c r="AF774" s="81"/>
      <c r="AG774" s="81"/>
      <c r="AH774" s="81"/>
    </row>
    <row r="775" spans="4:34" ht="14.25" customHeight="1">
      <c r="D775" s="81"/>
      <c r="E775" s="81"/>
      <c r="F775" s="81"/>
      <c r="G775" s="81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1"/>
      <c r="Y775" s="81"/>
      <c r="Z775" s="81"/>
      <c r="AA775" s="81"/>
      <c r="AB775" s="81"/>
      <c r="AC775" s="81"/>
      <c r="AD775" s="81"/>
      <c r="AE775" s="81"/>
      <c r="AF775" s="81"/>
      <c r="AG775" s="81"/>
      <c r="AH775" s="81"/>
    </row>
    <row r="776" spans="4:34" ht="14.25" customHeight="1">
      <c r="D776" s="81"/>
      <c r="E776" s="81"/>
      <c r="F776" s="81"/>
      <c r="G776" s="81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1"/>
      <c r="Y776" s="81"/>
      <c r="Z776" s="81"/>
      <c r="AA776" s="81"/>
      <c r="AB776" s="81"/>
      <c r="AC776" s="81"/>
      <c r="AD776" s="81"/>
      <c r="AE776" s="81"/>
      <c r="AF776" s="81"/>
      <c r="AG776" s="81"/>
      <c r="AH776" s="81"/>
    </row>
    <row r="777" spans="4:34" ht="14.25" customHeight="1">
      <c r="D777" s="81"/>
      <c r="E777" s="81"/>
      <c r="F777" s="81"/>
      <c r="G777" s="81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1"/>
      <c r="Y777" s="81"/>
      <c r="Z777" s="81"/>
      <c r="AA777" s="81"/>
      <c r="AB777" s="81"/>
      <c r="AC777" s="81"/>
      <c r="AD777" s="81"/>
      <c r="AE777" s="81"/>
      <c r="AF777" s="81"/>
      <c r="AG777" s="81"/>
      <c r="AH777" s="81"/>
    </row>
    <row r="778" spans="4:34" ht="14.25" customHeight="1"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81"/>
      <c r="Y778" s="81"/>
      <c r="Z778" s="81"/>
      <c r="AA778" s="81"/>
      <c r="AB778" s="81"/>
      <c r="AC778" s="81"/>
      <c r="AD778" s="81"/>
      <c r="AE778" s="81"/>
      <c r="AF778" s="81"/>
      <c r="AG778" s="81"/>
      <c r="AH778" s="81"/>
    </row>
    <row r="779" spans="4:34" ht="14.25" customHeight="1">
      <c r="D779" s="81"/>
      <c r="E779" s="81"/>
      <c r="F779" s="81"/>
      <c r="G779" s="81"/>
      <c r="H779" s="81"/>
      <c r="I779" s="81"/>
      <c r="J779" s="81"/>
      <c r="K779" s="81"/>
      <c r="L779" s="81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81"/>
      <c r="Y779" s="81"/>
      <c r="Z779" s="81"/>
      <c r="AA779" s="81"/>
      <c r="AB779" s="81"/>
      <c r="AC779" s="81"/>
      <c r="AD779" s="81"/>
      <c r="AE779" s="81"/>
      <c r="AF779" s="81"/>
      <c r="AG779" s="81"/>
      <c r="AH779" s="81"/>
    </row>
    <row r="780" spans="4:34" ht="14.25" customHeight="1">
      <c r="D780" s="81"/>
      <c r="E780" s="81"/>
      <c r="F780" s="81"/>
      <c r="G780" s="81"/>
      <c r="H780" s="81"/>
      <c r="I780" s="81"/>
      <c r="J780" s="81"/>
      <c r="K780" s="81"/>
      <c r="L780" s="81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81"/>
      <c r="Y780" s="81"/>
      <c r="Z780" s="81"/>
      <c r="AA780" s="81"/>
      <c r="AB780" s="81"/>
      <c r="AC780" s="81"/>
      <c r="AD780" s="81"/>
      <c r="AE780" s="81"/>
      <c r="AF780" s="81"/>
      <c r="AG780" s="81"/>
      <c r="AH780" s="81"/>
    </row>
    <row r="781" spans="4:34" ht="14.25" customHeight="1">
      <c r="D781" s="81"/>
      <c r="E781" s="81"/>
      <c r="F781" s="81"/>
      <c r="G781" s="81"/>
      <c r="H781" s="81"/>
      <c r="I781" s="81"/>
      <c r="J781" s="81"/>
      <c r="K781" s="81"/>
      <c r="L781" s="81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81"/>
      <c r="Y781" s="81"/>
      <c r="Z781" s="81"/>
      <c r="AA781" s="81"/>
      <c r="AB781" s="81"/>
      <c r="AC781" s="81"/>
      <c r="AD781" s="81"/>
      <c r="AE781" s="81"/>
      <c r="AF781" s="81"/>
      <c r="AG781" s="81"/>
      <c r="AH781" s="81"/>
    </row>
    <row r="782" spans="4:34" ht="14.25" customHeight="1"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81"/>
      <c r="Y782" s="81"/>
      <c r="Z782" s="81"/>
      <c r="AA782" s="81"/>
      <c r="AB782" s="81"/>
      <c r="AC782" s="81"/>
      <c r="AD782" s="81"/>
      <c r="AE782" s="81"/>
      <c r="AF782" s="81"/>
      <c r="AG782" s="81"/>
      <c r="AH782" s="81"/>
    </row>
    <row r="783" spans="4:34" ht="14.25" customHeight="1">
      <c r="D783" s="81"/>
      <c r="E783" s="81"/>
      <c r="F783" s="81"/>
      <c r="G783" s="81"/>
      <c r="H783" s="81"/>
      <c r="I783" s="81"/>
      <c r="J783" s="81"/>
      <c r="K783" s="81"/>
      <c r="L783" s="81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81"/>
      <c r="Y783" s="81"/>
      <c r="Z783" s="81"/>
      <c r="AA783" s="81"/>
      <c r="AB783" s="81"/>
      <c r="AC783" s="81"/>
      <c r="AD783" s="81"/>
      <c r="AE783" s="81"/>
      <c r="AF783" s="81"/>
      <c r="AG783" s="81"/>
      <c r="AH783" s="81"/>
    </row>
    <row r="784" spans="4:34" ht="14.25" customHeight="1">
      <c r="D784" s="81"/>
      <c r="E784" s="81"/>
      <c r="F784" s="81"/>
      <c r="G784" s="81"/>
      <c r="H784" s="81"/>
      <c r="I784" s="81"/>
      <c r="J784" s="81"/>
      <c r="K784" s="81"/>
      <c r="L784" s="81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81"/>
      <c r="Y784" s="81"/>
      <c r="Z784" s="81"/>
      <c r="AA784" s="81"/>
      <c r="AB784" s="81"/>
      <c r="AC784" s="81"/>
      <c r="AD784" s="81"/>
      <c r="AE784" s="81"/>
      <c r="AF784" s="81"/>
      <c r="AG784" s="81"/>
      <c r="AH784" s="81"/>
    </row>
    <row r="785" spans="4:34" ht="14.25" customHeight="1">
      <c r="D785" s="81"/>
      <c r="E785" s="81"/>
      <c r="F785" s="81"/>
      <c r="G785" s="81"/>
      <c r="H785" s="81"/>
      <c r="I785" s="81"/>
      <c r="J785" s="81"/>
      <c r="K785" s="81"/>
      <c r="L785" s="81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81"/>
      <c r="Y785" s="81"/>
      <c r="Z785" s="81"/>
      <c r="AA785" s="81"/>
      <c r="AB785" s="81"/>
      <c r="AC785" s="81"/>
      <c r="AD785" s="81"/>
      <c r="AE785" s="81"/>
      <c r="AF785" s="81"/>
      <c r="AG785" s="81"/>
      <c r="AH785" s="81"/>
    </row>
    <row r="786" spans="4:34" ht="14.25" customHeight="1"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81"/>
      <c r="Y786" s="81"/>
      <c r="Z786" s="81"/>
      <c r="AA786" s="81"/>
      <c r="AB786" s="81"/>
      <c r="AC786" s="81"/>
      <c r="AD786" s="81"/>
      <c r="AE786" s="81"/>
      <c r="AF786" s="81"/>
      <c r="AG786" s="81"/>
      <c r="AH786" s="81"/>
    </row>
    <row r="787" spans="4:34" ht="14.25" customHeight="1">
      <c r="D787" s="81"/>
      <c r="E787" s="81"/>
      <c r="F787" s="81"/>
      <c r="G787" s="81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1"/>
      <c r="Y787" s="81"/>
      <c r="Z787" s="81"/>
      <c r="AA787" s="81"/>
      <c r="AB787" s="81"/>
      <c r="AC787" s="81"/>
      <c r="AD787" s="81"/>
      <c r="AE787" s="81"/>
      <c r="AF787" s="81"/>
      <c r="AG787" s="81"/>
      <c r="AH787" s="81"/>
    </row>
    <row r="788" spans="4:34" ht="14.25" customHeight="1">
      <c r="D788" s="81"/>
      <c r="E788" s="81"/>
      <c r="F788" s="81"/>
      <c r="G788" s="81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1"/>
      <c r="Y788" s="81"/>
      <c r="Z788" s="81"/>
      <c r="AA788" s="81"/>
      <c r="AB788" s="81"/>
      <c r="AC788" s="81"/>
      <c r="AD788" s="81"/>
      <c r="AE788" s="81"/>
      <c r="AF788" s="81"/>
      <c r="AG788" s="81"/>
      <c r="AH788" s="81"/>
    </row>
    <row r="789" spans="4:34" ht="14.25" customHeight="1">
      <c r="D789" s="81"/>
      <c r="E789" s="81"/>
      <c r="F789" s="81"/>
      <c r="G789" s="81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1"/>
      <c r="Y789" s="81"/>
      <c r="Z789" s="81"/>
      <c r="AA789" s="81"/>
      <c r="AB789" s="81"/>
      <c r="AC789" s="81"/>
      <c r="AD789" s="81"/>
      <c r="AE789" s="81"/>
      <c r="AF789" s="81"/>
      <c r="AG789" s="81"/>
      <c r="AH789" s="81"/>
    </row>
    <row r="790" spans="4:34" ht="14.25" customHeight="1"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1"/>
      <c r="Y790" s="81"/>
      <c r="Z790" s="81"/>
      <c r="AA790" s="81"/>
      <c r="AB790" s="81"/>
      <c r="AC790" s="81"/>
      <c r="AD790" s="81"/>
      <c r="AE790" s="81"/>
      <c r="AF790" s="81"/>
      <c r="AG790" s="81"/>
      <c r="AH790" s="81"/>
    </row>
    <row r="791" spans="4:34" ht="14.25" customHeight="1">
      <c r="D791" s="81"/>
      <c r="E791" s="81"/>
      <c r="F791" s="81"/>
      <c r="G791" s="81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1"/>
      <c r="Y791" s="81"/>
      <c r="Z791" s="81"/>
      <c r="AA791" s="81"/>
      <c r="AB791" s="81"/>
      <c r="AC791" s="81"/>
      <c r="AD791" s="81"/>
      <c r="AE791" s="81"/>
      <c r="AF791" s="81"/>
      <c r="AG791" s="81"/>
      <c r="AH791" s="81"/>
    </row>
    <row r="792" spans="4:34" ht="14.25" customHeight="1">
      <c r="D792" s="81"/>
      <c r="E792" s="81"/>
      <c r="F792" s="81"/>
      <c r="G792" s="81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1"/>
      <c r="Y792" s="81"/>
      <c r="Z792" s="81"/>
      <c r="AA792" s="81"/>
      <c r="AB792" s="81"/>
      <c r="AC792" s="81"/>
      <c r="AD792" s="81"/>
      <c r="AE792" s="81"/>
      <c r="AF792" s="81"/>
      <c r="AG792" s="81"/>
      <c r="AH792" s="81"/>
    </row>
    <row r="793" spans="4:34" ht="14.25" customHeight="1">
      <c r="D793" s="81"/>
      <c r="E793" s="81"/>
      <c r="F793" s="81"/>
      <c r="G793" s="81"/>
      <c r="H793" s="81"/>
      <c r="I793" s="81"/>
      <c r="J793" s="81"/>
      <c r="K793" s="81"/>
      <c r="L793" s="81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81"/>
      <c r="Y793" s="81"/>
      <c r="Z793" s="81"/>
      <c r="AA793" s="81"/>
      <c r="AB793" s="81"/>
      <c r="AC793" s="81"/>
      <c r="AD793" s="81"/>
      <c r="AE793" s="81"/>
      <c r="AF793" s="81"/>
      <c r="AG793" s="81"/>
      <c r="AH793" s="81"/>
    </row>
    <row r="794" spans="4:34" ht="14.25" customHeight="1"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  <c r="S794" s="81"/>
      <c r="T794" s="81"/>
      <c r="U794" s="81"/>
      <c r="V794" s="81"/>
      <c r="W794" s="81"/>
      <c r="X794" s="81"/>
      <c r="Y794" s="81"/>
      <c r="Z794" s="81"/>
      <c r="AA794" s="81"/>
      <c r="AB794" s="81"/>
      <c r="AC794" s="81"/>
      <c r="AD794" s="81"/>
      <c r="AE794" s="81"/>
      <c r="AF794" s="81"/>
      <c r="AG794" s="81"/>
      <c r="AH794" s="81"/>
    </row>
    <row r="795" spans="4:34" ht="14.25" customHeight="1">
      <c r="D795" s="81"/>
      <c r="E795" s="81"/>
      <c r="F795" s="81"/>
      <c r="G795" s="81"/>
      <c r="H795" s="81"/>
      <c r="I795" s="81"/>
      <c r="J795" s="81"/>
      <c r="K795" s="81"/>
      <c r="L795" s="81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81"/>
      <c r="Y795" s="81"/>
      <c r="Z795" s="81"/>
      <c r="AA795" s="81"/>
      <c r="AB795" s="81"/>
      <c r="AC795" s="81"/>
      <c r="AD795" s="81"/>
      <c r="AE795" s="81"/>
      <c r="AF795" s="81"/>
      <c r="AG795" s="81"/>
      <c r="AH795" s="81"/>
    </row>
    <row r="796" spans="4:34" ht="14.25" customHeight="1">
      <c r="D796" s="81"/>
      <c r="E796" s="81"/>
      <c r="F796" s="81"/>
      <c r="G796" s="81"/>
      <c r="H796" s="81"/>
      <c r="I796" s="81"/>
      <c r="J796" s="81"/>
      <c r="K796" s="81"/>
      <c r="L796" s="81"/>
      <c r="M796" s="81"/>
      <c r="N796" s="81"/>
      <c r="O796" s="81"/>
      <c r="P796" s="81"/>
      <c r="Q796" s="81"/>
      <c r="R796" s="81"/>
      <c r="S796" s="81"/>
      <c r="T796" s="81"/>
      <c r="U796" s="81"/>
      <c r="V796" s="81"/>
      <c r="W796" s="81"/>
      <c r="X796" s="81"/>
      <c r="Y796" s="81"/>
      <c r="Z796" s="81"/>
      <c r="AA796" s="81"/>
      <c r="AB796" s="81"/>
      <c r="AC796" s="81"/>
      <c r="AD796" s="81"/>
      <c r="AE796" s="81"/>
      <c r="AF796" s="81"/>
      <c r="AG796" s="81"/>
      <c r="AH796" s="81"/>
    </row>
    <row r="797" spans="4:34" ht="14.25" customHeight="1">
      <c r="D797" s="81"/>
      <c r="E797" s="81"/>
      <c r="F797" s="81"/>
      <c r="G797" s="81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1"/>
      <c r="Y797" s="81"/>
      <c r="Z797" s="81"/>
      <c r="AA797" s="81"/>
      <c r="AB797" s="81"/>
      <c r="AC797" s="81"/>
      <c r="AD797" s="81"/>
      <c r="AE797" s="81"/>
      <c r="AF797" s="81"/>
      <c r="AG797" s="81"/>
      <c r="AH797" s="81"/>
    </row>
    <row r="798" spans="4:34" ht="14.25" customHeight="1"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1"/>
      <c r="Y798" s="81"/>
      <c r="Z798" s="81"/>
      <c r="AA798" s="81"/>
      <c r="AB798" s="81"/>
      <c r="AC798" s="81"/>
      <c r="AD798" s="81"/>
      <c r="AE798" s="81"/>
      <c r="AF798" s="81"/>
      <c r="AG798" s="81"/>
      <c r="AH798" s="81"/>
    </row>
    <row r="799" spans="4:34" ht="14.25" customHeight="1">
      <c r="D799" s="81"/>
      <c r="E799" s="81"/>
      <c r="F799" s="81"/>
      <c r="G799" s="81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1"/>
      <c r="Y799" s="81"/>
      <c r="Z799" s="81"/>
      <c r="AA799" s="81"/>
      <c r="AB799" s="81"/>
      <c r="AC799" s="81"/>
      <c r="AD799" s="81"/>
      <c r="AE799" s="81"/>
      <c r="AF799" s="81"/>
      <c r="AG799" s="81"/>
      <c r="AH799" s="81"/>
    </row>
    <row r="800" spans="4:34" ht="14.25" customHeight="1">
      <c r="D800" s="81"/>
      <c r="E800" s="81"/>
      <c r="F800" s="81"/>
      <c r="G800" s="81"/>
      <c r="H800" s="81"/>
      <c r="I800" s="81"/>
      <c r="J800" s="81"/>
      <c r="K800" s="81"/>
      <c r="L800" s="81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1"/>
      <c r="Y800" s="81"/>
      <c r="Z800" s="81"/>
      <c r="AA800" s="81"/>
      <c r="AB800" s="81"/>
      <c r="AC800" s="81"/>
      <c r="AD800" s="81"/>
      <c r="AE800" s="81"/>
      <c r="AF800" s="81"/>
      <c r="AG800" s="81"/>
      <c r="AH800" s="81"/>
    </row>
    <row r="801" spans="4:34" ht="14.25" customHeight="1">
      <c r="D801" s="81"/>
      <c r="E801" s="81"/>
      <c r="F801" s="81"/>
      <c r="G801" s="81"/>
      <c r="H801" s="81"/>
      <c r="I801" s="81"/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1"/>
      <c r="Y801" s="81"/>
      <c r="Z801" s="81"/>
      <c r="AA801" s="81"/>
      <c r="AB801" s="81"/>
      <c r="AC801" s="81"/>
      <c r="AD801" s="81"/>
      <c r="AE801" s="81"/>
      <c r="AF801" s="81"/>
      <c r="AG801" s="81"/>
      <c r="AH801" s="81"/>
    </row>
    <row r="802" spans="4:34" ht="14.25" customHeight="1"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1"/>
      <c r="Y802" s="81"/>
      <c r="Z802" s="81"/>
      <c r="AA802" s="81"/>
      <c r="AB802" s="81"/>
      <c r="AC802" s="81"/>
      <c r="AD802" s="81"/>
      <c r="AE802" s="81"/>
      <c r="AF802" s="81"/>
      <c r="AG802" s="81"/>
      <c r="AH802" s="81"/>
    </row>
    <row r="803" spans="4:34" ht="14.25" customHeight="1">
      <c r="D803" s="81"/>
      <c r="E803" s="81"/>
      <c r="F803" s="81"/>
      <c r="G803" s="81"/>
      <c r="H803" s="81"/>
      <c r="I803" s="81"/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1"/>
      <c r="Y803" s="81"/>
      <c r="Z803" s="81"/>
      <c r="AA803" s="81"/>
      <c r="AB803" s="81"/>
      <c r="AC803" s="81"/>
      <c r="AD803" s="81"/>
      <c r="AE803" s="81"/>
      <c r="AF803" s="81"/>
      <c r="AG803" s="81"/>
      <c r="AH803" s="81"/>
    </row>
    <row r="804" spans="4:34" ht="14.25" customHeight="1">
      <c r="D804" s="81"/>
      <c r="E804" s="81"/>
      <c r="F804" s="81"/>
      <c r="G804" s="81"/>
      <c r="H804" s="81"/>
      <c r="I804" s="81"/>
      <c r="J804" s="81"/>
      <c r="K804" s="81"/>
      <c r="L804" s="81"/>
      <c r="M804" s="81"/>
      <c r="N804" s="81"/>
      <c r="O804" s="81"/>
      <c r="P804" s="81"/>
      <c r="Q804" s="81"/>
      <c r="R804" s="81"/>
      <c r="S804" s="81"/>
      <c r="T804" s="81"/>
      <c r="U804" s="81"/>
      <c r="V804" s="81"/>
      <c r="W804" s="81"/>
      <c r="X804" s="81"/>
      <c r="Y804" s="81"/>
      <c r="Z804" s="81"/>
      <c r="AA804" s="81"/>
      <c r="AB804" s="81"/>
      <c r="AC804" s="81"/>
      <c r="AD804" s="81"/>
      <c r="AE804" s="81"/>
      <c r="AF804" s="81"/>
      <c r="AG804" s="81"/>
      <c r="AH804" s="81"/>
    </row>
    <row r="805" spans="4:34" ht="14.25" customHeight="1">
      <c r="D805" s="81"/>
      <c r="E805" s="81"/>
      <c r="F805" s="81"/>
      <c r="G805" s="81"/>
      <c r="H805" s="81"/>
      <c r="I805" s="81"/>
      <c r="J805" s="81"/>
      <c r="K805" s="81"/>
      <c r="L805" s="81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81"/>
      <c r="Y805" s="81"/>
      <c r="Z805" s="81"/>
      <c r="AA805" s="81"/>
      <c r="AB805" s="81"/>
      <c r="AC805" s="81"/>
      <c r="AD805" s="81"/>
      <c r="AE805" s="81"/>
      <c r="AF805" s="81"/>
      <c r="AG805" s="81"/>
      <c r="AH805" s="81"/>
    </row>
    <row r="806" spans="4:34" ht="14.25" customHeight="1"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  <c r="S806" s="81"/>
      <c r="T806" s="81"/>
      <c r="U806" s="81"/>
      <c r="V806" s="81"/>
      <c r="W806" s="81"/>
      <c r="X806" s="81"/>
      <c r="Y806" s="81"/>
      <c r="Z806" s="81"/>
      <c r="AA806" s="81"/>
      <c r="AB806" s="81"/>
      <c r="AC806" s="81"/>
      <c r="AD806" s="81"/>
      <c r="AE806" s="81"/>
      <c r="AF806" s="81"/>
      <c r="AG806" s="81"/>
      <c r="AH806" s="81"/>
    </row>
    <row r="807" spans="4:34" ht="14.25" customHeight="1">
      <c r="D807" s="81"/>
      <c r="E807" s="81"/>
      <c r="F807" s="81"/>
      <c r="G807" s="81"/>
      <c r="H807" s="81"/>
      <c r="I807" s="81"/>
      <c r="J807" s="81"/>
      <c r="K807" s="81"/>
      <c r="L807" s="81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81"/>
      <c r="Y807" s="81"/>
      <c r="Z807" s="81"/>
      <c r="AA807" s="81"/>
      <c r="AB807" s="81"/>
      <c r="AC807" s="81"/>
      <c r="AD807" s="81"/>
      <c r="AE807" s="81"/>
      <c r="AF807" s="81"/>
      <c r="AG807" s="81"/>
      <c r="AH807" s="81"/>
    </row>
    <row r="808" spans="4:34" ht="14.25" customHeight="1">
      <c r="D808" s="81"/>
      <c r="E808" s="81"/>
      <c r="F808" s="81"/>
      <c r="G808" s="81"/>
      <c r="H808" s="81"/>
      <c r="I808" s="81"/>
      <c r="J808" s="81"/>
      <c r="K808" s="81"/>
      <c r="L808" s="81"/>
      <c r="M808" s="81"/>
      <c r="N808" s="81"/>
      <c r="O808" s="81"/>
      <c r="P808" s="81"/>
      <c r="Q808" s="81"/>
      <c r="R808" s="81"/>
      <c r="S808" s="81"/>
      <c r="T808" s="81"/>
      <c r="U808" s="81"/>
      <c r="V808" s="81"/>
      <c r="W808" s="81"/>
      <c r="X808" s="81"/>
      <c r="Y808" s="81"/>
      <c r="Z808" s="81"/>
      <c r="AA808" s="81"/>
      <c r="AB808" s="81"/>
      <c r="AC808" s="81"/>
      <c r="AD808" s="81"/>
      <c r="AE808" s="81"/>
      <c r="AF808" s="81"/>
      <c r="AG808" s="81"/>
      <c r="AH808" s="81"/>
    </row>
    <row r="809" spans="4:34" ht="14.25" customHeight="1">
      <c r="D809" s="81"/>
      <c r="E809" s="81"/>
      <c r="F809" s="81"/>
      <c r="G809" s="81"/>
      <c r="H809" s="81"/>
      <c r="I809" s="81"/>
      <c r="J809" s="81"/>
      <c r="K809" s="81"/>
      <c r="L809" s="81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81"/>
      <c r="Y809" s="81"/>
      <c r="Z809" s="81"/>
      <c r="AA809" s="81"/>
      <c r="AB809" s="81"/>
      <c r="AC809" s="81"/>
      <c r="AD809" s="81"/>
      <c r="AE809" s="81"/>
      <c r="AF809" s="81"/>
      <c r="AG809" s="81"/>
      <c r="AH809" s="81"/>
    </row>
    <row r="810" spans="4:34" ht="14.25" customHeight="1"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  <c r="S810" s="81"/>
      <c r="T810" s="81"/>
      <c r="U810" s="81"/>
      <c r="V810" s="81"/>
      <c r="W810" s="81"/>
      <c r="X810" s="81"/>
      <c r="Y810" s="81"/>
      <c r="Z810" s="81"/>
      <c r="AA810" s="81"/>
      <c r="AB810" s="81"/>
      <c r="AC810" s="81"/>
      <c r="AD810" s="81"/>
      <c r="AE810" s="81"/>
      <c r="AF810" s="81"/>
      <c r="AG810" s="81"/>
      <c r="AH810" s="81"/>
    </row>
    <row r="811" spans="4:34" ht="14.25" customHeight="1">
      <c r="D811" s="81"/>
      <c r="E811" s="81"/>
      <c r="F811" s="81"/>
      <c r="G811" s="81"/>
      <c r="H811" s="81"/>
      <c r="I811" s="81"/>
      <c r="J811" s="81"/>
      <c r="K811" s="81"/>
      <c r="L811" s="81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81"/>
      <c r="Y811" s="81"/>
      <c r="Z811" s="81"/>
      <c r="AA811" s="81"/>
      <c r="AB811" s="81"/>
      <c r="AC811" s="81"/>
      <c r="AD811" s="81"/>
      <c r="AE811" s="81"/>
      <c r="AF811" s="81"/>
      <c r="AG811" s="81"/>
      <c r="AH811" s="81"/>
    </row>
    <row r="812" spans="4:34" ht="14.25" customHeight="1">
      <c r="D812" s="81"/>
      <c r="E812" s="81"/>
      <c r="F812" s="81"/>
      <c r="G812" s="81"/>
      <c r="H812" s="81"/>
      <c r="I812" s="81"/>
      <c r="J812" s="81"/>
      <c r="K812" s="81"/>
      <c r="L812" s="81"/>
      <c r="M812" s="81"/>
      <c r="N812" s="81"/>
      <c r="O812" s="81"/>
      <c r="P812" s="81"/>
      <c r="Q812" s="81"/>
      <c r="R812" s="81"/>
      <c r="S812" s="81"/>
      <c r="T812" s="81"/>
      <c r="U812" s="81"/>
      <c r="V812" s="81"/>
      <c r="W812" s="81"/>
      <c r="X812" s="81"/>
      <c r="Y812" s="81"/>
      <c r="Z812" s="81"/>
      <c r="AA812" s="81"/>
      <c r="AB812" s="81"/>
      <c r="AC812" s="81"/>
      <c r="AD812" s="81"/>
      <c r="AE812" s="81"/>
      <c r="AF812" s="81"/>
      <c r="AG812" s="81"/>
      <c r="AH812" s="81"/>
    </row>
    <row r="813" spans="4:34" ht="14.25" customHeight="1">
      <c r="D813" s="81"/>
      <c r="E813" s="81"/>
      <c r="F813" s="81"/>
      <c r="G813" s="81"/>
      <c r="H813" s="81"/>
      <c r="I813" s="81"/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1"/>
      <c r="Y813" s="81"/>
      <c r="Z813" s="81"/>
      <c r="AA813" s="81"/>
      <c r="AB813" s="81"/>
      <c r="AC813" s="81"/>
      <c r="AD813" s="81"/>
      <c r="AE813" s="81"/>
      <c r="AF813" s="81"/>
      <c r="AG813" s="81"/>
      <c r="AH813" s="81"/>
    </row>
    <row r="814" spans="4:34" ht="14.25" customHeight="1"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1"/>
      <c r="Y814" s="81"/>
      <c r="Z814" s="81"/>
      <c r="AA814" s="81"/>
      <c r="AB814" s="81"/>
      <c r="AC814" s="81"/>
      <c r="AD814" s="81"/>
      <c r="AE814" s="81"/>
      <c r="AF814" s="81"/>
      <c r="AG814" s="81"/>
      <c r="AH814" s="81"/>
    </row>
    <row r="815" spans="4:34" ht="14.25" customHeight="1">
      <c r="D815" s="81"/>
      <c r="E815" s="81"/>
      <c r="F815" s="81"/>
      <c r="G815" s="81"/>
      <c r="H815" s="81"/>
      <c r="I815" s="81"/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1"/>
      <c r="Y815" s="81"/>
      <c r="Z815" s="81"/>
      <c r="AA815" s="81"/>
      <c r="AB815" s="81"/>
      <c r="AC815" s="81"/>
      <c r="AD815" s="81"/>
      <c r="AE815" s="81"/>
      <c r="AF815" s="81"/>
      <c r="AG815" s="81"/>
      <c r="AH815" s="81"/>
    </row>
    <row r="816" spans="4:34" ht="14.25" customHeight="1">
      <c r="D816" s="81"/>
      <c r="E816" s="81"/>
      <c r="F816" s="81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1"/>
      <c r="Y816" s="81"/>
      <c r="Z816" s="81"/>
      <c r="AA816" s="81"/>
      <c r="AB816" s="81"/>
      <c r="AC816" s="81"/>
      <c r="AD816" s="81"/>
      <c r="AE816" s="81"/>
      <c r="AF816" s="81"/>
      <c r="AG816" s="81"/>
      <c r="AH816" s="81"/>
    </row>
    <row r="817" spans="4:34" ht="14.25" customHeight="1">
      <c r="D817" s="81"/>
      <c r="E817" s="81"/>
      <c r="F817" s="81"/>
      <c r="G817" s="81"/>
      <c r="H817" s="81"/>
      <c r="I817" s="81"/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1"/>
      <c r="Y817" s="81"/>
      <c r="Z817" s="81"/>
      <c r="AA817" s="81"/>
      <c r="AB817" s="81"/>
      <c r="AC817" s="81"/>
      <c r="AD817" s="81"/>
      <c r="AE817" s="81"/>
      <c r="AF817" s="81"/>
      <c r="AG817" s="81"/>
      <c r="AH817" s="81"/>
    </row>
    <row r="818" spans="4:34" ht="14.25" customHeight="1"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1"/>
      <c r="Y818" s="81"/>
      <c r="Z818" s="81"/>
      <c r="AA818" s="81"/>
      <c r="AB818" s="81"/>
      <c r="AC818" s="81"/>
      <c r="AD818" s="81"/>
      <c r="AE818" s="81"/>
      <c r="AF818" s="81"/>
      <c r="AG818" s="81"/>
      <c r="AH818" s="81"/>
    </row>
    <row r="819" spans="4:34" ht="14.25" customHeight="1">
      <c r="D819" s="81"/>
      <c r="E819" s="81"/>
      <c r="F819" s="81"/>
      <c r="G819" s="81"/>
      <c r="H819" s="81"/>
      <c r="I819" s="81"/>
      <c r="J819" s="81"/>
      <c r="K819" s="81"/>
      <c r="L819" s="81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81"/>
      <c r="Y819" s="81"/>
      <c r="Z819" s="81"/>
      <c r="AA819" s="81"/>
      <c r="AB819" s="81"/>
      <c r="AC819" s="81"/>
      <c r="AD819" s="81"/>
      <c r="AE819" s="81"/>
      <c r="AF819" s="81"/>
      <c r="AG819" s="81"/>
      <c r="AH819" s="81"/>
    </row>
    <row r="820" spans="4:34" ht="14.25" customHeight="1">
      <c r="D820" s="81"/>
      <c r="E820" s="81"/>
      <c r="F820" s="81"/>
      <c r="G820" s="81"/>
      <c r="H820" s="81"/>
      <c r="I820" s="81"/>
      <c r="J820" s="81"/>
      <c r="K820" s="81"/>
      <c r="L820" s="81"/>
      <c r="M820" s="81"/>
      <c r="N820" s="81"/>
      <c r="O820" s="81"/>
      <c r="P820" s="81"/>
      <c r="Q820" s="81"/>
      <c r="R820" s="81"/>
      <c r="S820" s="81"/>
      <c r="T820" s="81"/>
      <c r="U820" s="81"/>
      <c r="V820" s="81"/>
      <c r="W820" s="81"/>
      <c r="X820" s="81"/>
      <c r="Y820" s="81"/>
      <c r="Z820" s="81"/>
      <c r="AA820" s="81"/>
      <c r="AB820" s="81"/>
      <c r="AC820" s="81"/>
      <c r="AD820" s="81"/>
      <c r="AE820" s="81"/>
      <c r="AF820" s="81"/>
      <c r="AG820" s="81"/>
      <c r="AH820" s="81"/>
    </row>
    <row r="821" spans="4:34" ht="14.25" customHeight="1">
      <c r="D821" s="81"/>
      <c r="E821" s="81"/>
      <c r="F821" s="81"/>
      <c r="G821" s="81"/>
      <c r="H821" s="81"/>
      <c r="I821" s="81"/>
      <c r="J821" s="81"/>
      <c r="K821" s="81"/>
      <c r="L821" s="81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81"/>
      <c r="Y821" s="81"/>
      <c r="Z821" s="81"/>
      <c r="AA821" s="81"/>
      <c r="AB821" s="81"/>
      <c r="AC821" s="81"/>
      <c r="AD821" s="81"/>
      <c r="AE821" s="81"/>
      <c r="AF821" s="81"/>
      <c r="AG821" s="81"/>
      <c r="AH821" s="81"/>
    </row>
    <row r="822" spans="4:34" ht="14.25" customHeight="1"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1"/>
      <c r="Y822" s="81"/>
      <c r="Z822" s="81"/>
      <c r="AA822" s="81"/>
      <c r="AB822" s="81"/>
      <c r="AC822" s="81"/>
      <c r="AD822" s="81"/>
      <c r="AE822" s="81"/>
      <c r="AF822" s="81"/>
      <c r="AG822" s="81"/>
      <c r="AH822" s="81"/>
    </row>
    <row r="823" spans="4:34" ht="14.25" customHeight="1">
      <c r="D823" s="81"/>
      <c r="E823" s="81"/>
      <c r="F823" s="81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1"/>
      <c r="Y823" s="81"/>
      <c r="Z823" s="81"/>
      <c r="AA823" s="81"/>
      <c r="AB823" s="81"/>
      <c r="AC823" s="81"/>
      <c r="AD823" s="81"/>
      <c r="AE823" s="81"/>
      <c r="AF823" s="81"/>
      <c r="AG823" s="81"/>
      <c r="AH823" s="81"/>
    </row>
    <row r="824" spans="4:34" ht="14.25" customHeight="1">
      <c r="D824" s="81"/>
      <c r="E824" s="81"/>
      <c r="F824" s="81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1"/>
      <c r="Y824" s="81"/>
      <c r="Z824" s="81"/>
      <c r="AA824" s="81"/>
      <c r="AB824" s="81"/>
      <c r="AC824" s="81"/>
      <c r="AD824" s="81"/>
      <c r="AE824" s="81"/>
      <c r="AF824" s="81"/>
      <c r="AG824" s="81"/>
      <c r="AH824" s="81"/>
    </row>
    <row r="825" spans="4:34" ht="14.25" customHeight="1">
      <c r="D825" s="81"/>
      <c r="E825" s="81"/>
      <c r="F825" s="81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1"/>
      <c r="Y825" s="81"/>
      <c r="Z825" s="81"/>
      <c r="AA825" s="81"/>
      <c r="AB825" s="81"/>
      <c r="AC825" s="81"/>
      <c r="AD825" s="81"/>
      <c r="AE825" s="81"/>
      <c r="AF825" s="81"/>
      <c r="AG825" s="81"/>
      <c r="AH825" s="81"/>
    </row>
    <row r="826" spans="4:34" ht="14.25" customHeight="1"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1"/>
      <c r="Y826" s="81"/>
      <c r="Z826" s="81"/>
      <c r="AA826" s="81"/>
      <c r="AB826" s="81"/>
      <c r="AC826" s="81"/>
      <c r="AD826" s="81"/>
      <c r="AE826" s="81"/>
      <c r="AF826" s="81"/>
      <c r="AG826" s="81"/>
      <c r="AH826" s="81"/>
    </row>
    <row r="827" spans="4:34" ht="14.25" customHeight="1">
      <c r="D827" s="81"/>
      <c r="E827" s="81"/>
      <c r="F827" s="81"/>
      <c r="G827" s="81"/>
      <c r="H827" s="81"/>
      <c r="I827" s="81"/>
      <c r="J827" s="81"/>
      <c r="K827" s="81"/>
      <c r="L827" s="81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81"/>
      <c r="Y827" s="81"/>
      <c r="Z827" s="81"/>
      <c r="AA827" s="81"/>
      <c r="AB827" s="81"/>
      <c r="AC827" s="81"/>
      <c r="AD827" s="81"/>
      <c r="AE827" s="81"/>
      <c r="AF827" s="81"/>
      <c r="AG827" s="81"/>
      <c r="AH827" s="81"/>
    </row>
    <row r="828" spans="4:34" ht="14.25" customHeight="1">
      <c r="D828" s="81"/>
      <c r="E828" s="81"/>
      <c r="F828" s="81"/>
      <c r="G828" s="81"/>
      <c r="H828" s="81"/>
      <c r="I828" s="81"/>
      <c r="J828" s="81"/>
      <c r="K828" s="81"/>
      <c r="L828" s="81"/>
      <c r="M828" s="81"/>
      <c r="N828" s="81"/>
      <c r="O828" s="81"/>
      <c r="P828" s="81"/>
      <c r="Q828" s="81"/>
      <c r="R828" s="81"/>
      <c r="S828" s="81"/>
      <c r="T828" s="81"/>
      <c r="U828" s="81"/>
      <c r="V828" s="81"/>
      <c r="W828" s="81"/>
      <c r="X828" s="81"/>
      <c r="Y828" s="81"/>
      <c r="Z828" s="81"/>
      <c r="AA828" s="81"/>
      <c r="AB828" s="81"/>
      <c r="AC828" s="81"/>
      <c r="AD828" s="81"/>
      <c r="AE828" s="81"/>
      <c r="AF828" s="81"/>
      <c r="AG828" s="81"/>
      <c r="AH828" s="81"/>
    </row>
    <row r="829" spans="4:34" ht="14.25" customHeight="1">
      <c r="D829" s="81"/>
      <c r="E829" s="81"/>
      <c r="F829" s="81"/>
      <c r="G829" s="81"/>
      <c r="H829" s="81"/>
      <c r="I829" s="81"/>
      <c r="J829" s="81"/>
      <c r="K829" s="81"/>
      <c r="L829" s="81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81"/>
      <c r="Y829" s="81"/>
      <c r="Z829" s="81"/>
      <c r="AA829" s="81"/>
      <c r="AB829" s="81"/>
      <c r="AC829" s="81"/>
      <c r="AD829" s="81"/>
      <c r="AE829" s="81"/>
      <c r="AF829" s="81"/>
      <c r="AG829" s="81"/>
      <c r="AH829" s="81"/>
    </row>
    <row r="830" spans="4:34" ht="14.25" customHeight="1"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  <c r="S830" s="81"/>
      <c r="T830" s="81"/>
      <c r="U830" s="81"/>
      <c r="V830" s="81"/>
      <c r="W830" s="81"/>
      <c r="X830" s="81"/>
      <c r="Y830" s="81"/>
      <c r="Z830" s="81"/>
      <c r="AA830" s="81"/>
      <c r="AB830" s="81"/>
      <c r="AC830" s="81"/>
      <c r="AD830" s="81"/>
      <c r="AE830" s="81"/>
      <c r="AF830" s="81"/>
      <c r="AG830" s="81"/>
      <c r="AH830" s="81"/>
    </row>
    <row r="831" spans="4:34" ht="14.25" customHeight="1">
      <c r="D831" s="81"/>
      <c r="E831" s="81"/>
      <c r="F831" s="81"/>
      <c r="G831" s="81"/>
      <c r="H831" s="81"/>
      <c r="I831" s="81"/>
      <c r="J831" s="81"/>
      <c r="K831" s="81"/>
      <c r="L831" s="81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81"/>
      <c r="Y831" s="81"/>
      <c r="Z831" s="81"/>
      <c r="AA831" s="81"/>
      <c r="AB831" s="81"/>
      <c r="AC831" s="81"/>
      <c r="AD831" s="81"/>
      <c r="AE831" s="81"/>
      <c r="AF831" s="81"/>
      <c r="AG831" s="81"/>
      <c r="AH831" s="81"/>
    </row>
    <row r="832" spans="4:34" ht="14.25" customHeight="1">
      <c r="D832" s="81"/>
      <c r="E832" s="81"/>
      <c r="F832" s="81"/>
      <c r="G832" s="81"/>
      <c r="H832" s="81"/>
      <c r="I832" s="81"/>
      <c r="J832" s="81"/>
      <c r="K832" s="81"/>
      <c r="L832" s="81"/>
      <c r="M832" s="81"/>
      <c r="N832" s="81"/>
      <c r="O832" s="81"/>
      <c r="P832" s="81"/>
      <c r="Q832" s="81"/>
      <c r="R832" s="81"/>
      <c r="S832" s="81"/>
      <c r="T832" s="81"/>
      <c r="U832" s="81"/>
      <c r="V832" s="81"/>
      <c r="W832" s="81"/>
      <c r="X832" s="81"/>
      <c r="Y832" s="81"/>
      <c r="Z832" s="81"/>
      <c r="AA832" s="81"/>
      <c r="AB832" s="81"/>
      <c r="AC832" s="81"/>
      <c r="AD832" s="81"/>
      <c r="AE832" s="81"/>
      <c r="AF832" s="81"/>
      <c r="AG832" s="81"/>
      <c r="AH832" s="81"/>
    </row>
    <row r="833" spans="4:34" ht="14.25" customHeight="1">
      <c r="D833" s="81"/>
      <c r="E833" s="81"/>
      <c r="F833" s="81"/>
      <c r="G833" s="81"/>
      <c r="H833" s="81"/>
      <c r="I833" s="81"/>
      <c r="J833" s="81"/>
      <c r="K833" s="81"/>
      <c r="L833" s="81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81"/>
      <c r="Y833" s="81"/>
      <c r="Z833" s="81"/>
      <c r="AA833" s="81"/>
      <c r="AB833" s="81"/>
      <c r="AC833" s="81"/>
      <c r="AD833" s="81"/>
      <c r="AE833" s="81"/>
      <c r="AF833" s="81"/>
      <c r="AG833" s="81"/>
      <c r="AH833" s="81"/>
    </row>
    <row r="834" spans="4:34" ht="14.25" customHeight="1"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  <c r="S834" s="81"/>
      <c r="T834" s="81"/>
      <c r="U834" s="81"/>
      <c r="V834" s="81"/>
      <c r="W834" s="81"/>
      <c r="X834" s="81"/>
      <c r="Y834" s="81"/>
      <c r="Z834" s="81"/>
      <c r="AA834" s="81"/>
      <c r="AB834" s="81"/>
      <c r="AC834" s="81"/>
      <c r="AD834" s="81"/>
      <c r="AE834" s="81"/>
      <c r="AF834" s="81"/>
      <c r="AG834" s="81"/>
      <c r="AH834" s="81"/>
    </row>
    <row r="835" spans="4:34" ht="14.25" customHeight="1">
      <c r="D835" s="81"/>
      <c r="E835" s="81"/>
      <c r="F835" s="81"/>
      <c r="G835" s="81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1"/>
      <c r="Y835" s="81"/>
      <c r="Z835" s="81"/>
      <c r="AA835" s="81"/>
      <c r="AB835" s="81"/>
      <c r="AC835" s="81"/>
      <c r="AD835" s="81"/>
      <c r="AE835" s="81"/>
      <c r="AF835" s="81"/>
      <c r="AG835" s="81"/>
      <c r="AH835" s="81"/>
    </row>
    <row r="836" spans="4:34" ht="14.25" customHeight="1">
      <c r="D836" s="81"/>
      <c r="E836" s="81"/>
      <c r="F836" s="81"/>
      <c r="G836" s="81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1"/>
      <c r="Y836" s="81"/>
      <c r="Z836" s="81"/>
      <c r="AA836" s="81"/>
      <c r="AB836" s="81"/>
      <c r="AC836" s="81"/>
      <c r="AD836" s="81"/>
      <c r="AE836" s="81"/>
      <c r="AF836" s="81"/>
      <c r="AG836" s="81"/>
      <c r="AH836" s="81"/>
    </row>
    <row r="837" spans="4:34" ht="14.25" customHeight="1">
      <c r="D837" s="81"/>
      <c r="E837" s="81"/>
      <c r="F837" s="81"/>
      <c r="G837" s="81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1"/>
      <c r="Y837" s="81"/>
      <c r="Z837" s="81"/>
      <c r="AA837" s="81"/>
      <c r="AB837" s="81"/>
      <c r="AC837" s="81"/>
      <c r="AD837" s="81"/>
      <c r="AE837" s="81"/>
      <c r="AF837" s="81"/>
      <c r="AG837" s="81"/>
      <c r="AH837" s="81"/>
    </row>
    <row r="838" spans="4:34" ht="14.25" customHeight="1"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1"/>
      <c r="Y838" s="81"/>
      <c r="Z838" s="81"/>
      <c r="AA838" s="81"/>
      <c r="AB838" s="81"/>
      <c r="AC838" s="81"/>
      <c r="AD838" s="81"/>
      <c r="AE838" s="81"/>
      <c r="AF838" s="81"/>
      <c r="AG838" s="81"/>
      <c r="AH838" s="81"/>
    </row>
    <row r="839" spans="4:34" ht="14.25" customHeight="1">
      <c r="D839" s="81"/>
      <c r="E839" s="81"/>
      <c r="F839" s="81"/>
      <c r="G839" s="81"/>
      <c r="H839" s="81"/>
      <c r="I839" s="81"/>
      <c r="J839" s="81"/>
      <c r="K839" s="81"/>
      <c r="L839" s="81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81"/>
      <c r="Y839" s="81"/>
      <c r="Z839" s="81"/>
      <c r="AA839" s="81"/>
      <c r="AB839" s="81"/>
      <c r="AC839" s="81"/>
      <c r="AD839" s="81"/>
      <c r="AE839" s="81"/>
      <c r="AF839" s="81"/>
      <c r="AG839" s="81"/>
      <c r="AH839" s="81"/>
    </row>
    <row r="840" spans="4:34" ht="14.25" customHeight="1">
      <c r="D840" s="81"/>
      <c r="E840" s="81"/>
      <c r="F840" s="81"/>
      <c r="G840" s="81"/>
      <c r="H840" s="81"/>
      <c r="I840" s="81"/>
      <c r="J840" s="81"/>
      <c r="K840" s="81"/>
      <c r="L840" s="81"/>
      <c r="M840" s="81"/>
      <c r="N840" s="81"/>
      <c r="O840" s="81"/>
      <c r="P840" s="81"/>
      <c r="Q840" s="81"/>
      <c r="R840" s="81"/>
      <c r="S840" s="81"/>
      <c r="T840" s="81"/>
      <c r="U840" s="81"/>
      <c r="V840" s="81"/>
      <c r="W840" s="81"/>
      <c r="X840" s="81"/>
      <c r="Y840" s="81"/>
      <c r="Z840" s="81"/>
      <c r="AA840" s="81"/>
      <c r="AB840" s="81"/>
      <c r="AC840" s="81"/>
      <c r="AD840" s="81"/>
      <c r="AE840" s="81"/>
      <c r="AF840" s="81"/>
      <c r="AG840" s="81"/>
      <c r="AH840" s="81"/>
    </row>
    <row r="841" spans="4:34" ht="14.25" customHeight="1">
      <c r="D841" s="81"/>
      <c r="E841" s="81"/>
      <c r="F841" s="81"/>
      <c r="G841" s="81"/>
      <c r="H841" s="81"/>
      <c r="I841" s="81"/>
      <c r="J841" s="81"/>
      <c r="K841" s="81"/>
      <c r="L841" s="81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81"/>
      <c r="Y841" s="81"/>
      <c r="Z841" s="81"/>
      <c r="AA841" s="81"/>
      <c r="AB841" s="81"/>
      <c r="AC841" s="81"/>
      <c r="AD841" s="81"/>
      <c r="AE841" s="81"/>
      <c r="AF841" s="81"/>
      <c r="AG841" s="81"/>
      <c r="AH841" s="81"/>
    </row>
    <row r="842" spans="4:34" ht="14.25" customHeight="1"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  <c r="S842" s="81"/>
      <c r="T842" s="81"/>
      <c r="U842" s="81"/>
      <c r="V842" s="81"/>
      <c r="W842" s="81"/>
      <c r="X842" s="81"/>
      <c r="Y842" s="81"/>
      <c r="Z842" s="81"/>
      <c r="AA842" s="81"/>
      <c r="AB842" s="81"/>
      <c r="AC842" s="81"/>
      <c r="AD842" s="81"/>
      <c r="AE842" s="81"/>
      <c r="AF842" s="81"/>
      <c r="AG842" s="81"/>
      <c r="AH842" s="81"/>
    </row>
    <row r="843" spans="4:34" ht="14.25" customHeight="1">
      <c r="D843" s="81"/>
      <c r="E843" s="81"/>
      <c r="F843" s="81"/>
      <c r="G843" s="81"/>
      <c r="H843" s="81"/>
      <c r="I843" s="81"/>
      <c r="J843" s="81"/>
      <c r="K843" s="81"/>
      <c r="L843" s="81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81"/>
      <c r="Y843" s="81"/>
      <c r="Z843" s="81"/>
      <c r="AA843" s="81"/>
      <c r="AB843" s="81"/>
      <c r="AC843" s="81"/>
      <c r="AD843" s="81"/>
      <c r="AE843" s="81"/>
      <c r="AF843" s="81"/>
      <c r="AG843" s="81"/>
      <c r="AH843" s="81"/>
    </row>
    <row r="844" spans="4:34" ht="14.25" customHeight="1">
      <c r="D844" s="81"/>
      <c r="E844" s="81"/>
      <c r="F844" s="81"/>
      <c r="G844" s="81"/>
      <c r="H844" s="81"/>
      <c r="I844" s="81"/>
      <c r="J844" s="81"/>
      <c r="K844" s="81"/>
      <c r="L844" s="81"/>
      <c r="M844" s="81"/>
      <c r="N844" s="81"/>
      <c r="O844" s="81"/>
      <c r="P844" s="81"/>
      <c r="Q844" s="81"/>
      <c r="R844" s="81"/>
      <c r="S844" s="81"/>
      <c r="T844" s="81"/>
      <c r="U844" s="81"/>
      <c r="V844" s="81"/>
      <c r="W844" s="81"/>
      <c r="X844" s="81"/>
      <c r="Y844" s="81"/>
      <c r="Z844" s="81"/>
      <c r="AA844" s="81"/>
      <c r="AB844" s="81"/>
      <c r="AC844" s="81"/>
      <c r="AD844" s="81"/>
      <c r="AE844" s="81"/>
      <c r="AF844" s="81"/>
      <c r="AG844" s="81"/>
      <c r="AH844" s="81"/>
    </row>
    <row r="845" spans="4:34" ht="14.25" customHeight="1">
      <c r="D845" s="81"/>
      <c r="E845" s="81"/>
      <c r="F845" s="81"/>
      <c r="G845" s="81"/>
      <c r="H845" s="81"/>
      <c r="I845" s="81"/>
      <c r="J845" s="81"/>
      <c r="K845" s="81"/>
      <c r="L845" s="81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81"/>
      <c r="Y845" s="81"/>
      <c r="Z845" s="81"/>
      <c r="AA845" s="81"/>
      <c r="AB845" s="81"/>
      <c r="AC845" s="81"/>
      <c r="AD845" s="81"/>
      <c r="AE845" s="81"/>
      <c r="AF845" s="81"/>
      <c r="AG845" s="81"/>
      <c r="AH845" s="81"/>
    </row>
    <row r="846" spans="4:34" ht="14.25" customHeight="1"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  <c r="S846" s="81"/>
      <c r="T846" s="81"/>
      <c r="U846" s="81"/>
      <c r="V846" s="81"/>
      <c r="W846" s="81"/>
      <c r="X846" s="81"/>
      <c r="Y846" s="81"/>
      <c r="Z846" s="81"/>
      <c r="AA846" s="81"/>
      <c r="AB846" s="81"/>
      <c r="AC846" s="81"/>
      <c r="AD846" s="81"/>
      <c r="AE846" s="81"/>
      <c r="AF846" s="81"/>
      <c r="AG846" s="81"/>
      <c r="AH846" s="81"/>
    </row>
    <row r="847" spans="4:34" ht="14.25" customHeight="1">
      <c r="D847" s="81"/>
      <c r="E847" s="81"/>
      <c r="F847" s="81"/>
      <c r="G847" s="81"/>
      <c r="H847" s="81"/>
      <c r="I847" s="81"/>
      <c r="J847" s="81"/>
      <c r="K847" s="81"/>
      <c r="L847" s="81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81"/>
      <c r="Y847" s="81"/>
      <c r="Z847" s="81"/>
      <c r="AA847" s="81"/>
      <c r="AB847" s="81"/>
      <c r="AC847" s="81"/>
      <c r="AD847" s="81"/>
      <c r="AE847" s="81"/>
      <c r="AF847" s="81"/>
      <c r="AG847" s="81"/>
      <c r="AH847" s="81"/>
    </row>
    <row r="848" spans="4:34" ht="14.25" customHeight="1">
      <c r="D848" s="81"/>
      <c r="E848" s="81"/>
      <c r="F848" s="81"/>
      <c r="G848" s="81"/>
      <c r="H848" s="81"/>
      <c r="I848" s="81"/>
      <c r="J848" s="81"/>
      <c r="K848" s="81"/>
      <c r="L848" s="81"/>
      <c r="M848" s="81"/>
      <c r="N848" s="81"/>
      <c r="O848" s="81"/>
      <c r="P848" s="81"/>
      <c r="Q848" s="81"/>
      <c r="R848" s="81"/>
      <c r="S848" s="81"/>
      <c r="T848" s="81"/>
      <c r="U848" s="81"/>
      <c r="V848" s="81"/>
      <c r="W848" s="81"/>
      <c r="X848" s="81"/>
      <c r="Y848" s="81"/>
      <c r="Z848" s="81"/>
      <c r="AA848" s="81"/>
      <c r="AB848" s="81"/>
      <c r="AC848" s="81"/>
      <c r="AD848" s="81"/>
      <c r="AE848" s="81"/>
      <c r="AF848" s="81"/>
      <c r="AG848" s="81"/>
      <c r="AH848" s="81"/>
    </row>
    <row r="849" spans="4:34" ht="14.25" customHeight="1">
      <c r="D849" s="81"/>
      <c r="E849" s="81"/>
      <c r="F849" s="81"/>
      <c r="G849" s="81"/>
      <c r="H849" s="81"/>
      <c r="I849" s="81"/>
      <c r="J849" s="81"/>
      <c r="K849" s="81"/>
      <c r="L849" s="81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81"/>
      <c r="Y849" s="81"/>
      <c r="Z849" s="81"/>
      <c r="AA849" s="81"/>
      <c r="AB849" s="81"/>
      <c r="AC849" s="81"/>
      <c r="AD849" s="81"/>
      <c r="AE849" s="81"/>
      <c r="AF849" s="81"/>
      <c r="AG849" s="81"/>
      <c r="AH849" s="81"/>
    </row>
    <row r="850" spans="4:34" ht="14.25" customHeight="1"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  <c r="S850" s="81"/>
      <c r="T850" s="81"/>
      <c r="U850" s="81"/>
      <c r="V850" s="81"/>
      <c r="W850" s="81"/>
      <c r="X850" s="81"/>
      <c r="Y850" s="81"/>
      <c r="Z850" s="81"/>
      <c r="AA850" s="81"/>
      <c r="AB850" s="81"/>
      <c r="AC850" s="81"/>
      <c r="AD850" s="81"/>
      <c r="AE850" s="81"/>
      <c r="AF850" s="81"/>
      <c r="AG850" s="81"/>
      <c r="AH850" s="81"/>
    </row>
    <row r="851" spans="4:34" ht="14.25" customHeight="1">
      <c r="D851" s="81"/>
      <c r="E851" s="81"/>
      <c r="F851" s="81"/>
      <c r="G851" s="81"/>
      <c r="H851" s="81"/>
      <c r="I851" s="81"/>
      <c r="J851" s="81"/>
      <c r="K851" s="81"/>
      <c r="L851" s="81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81"/>
      <c r="Y851" s="81"/>
      <c r="Z851" s="81"/>
      <c r="AA851" s="81"/>
      <c r="AB851" s="81"/>
      <c r="AC851" s="81"/>
      <c r="AD851" s="81"/>
      <c r="AE851" s="81"/>
      <c r="AF851" s="81"/>
      <c r="AG851" s="81"/>
      <c r="AH851" s="81"/>
    </row>
    <row r="852" spans="4:34" ht="14.25" customHeight="1">
      <c r="D852" s="81"/>
      <c r="E852" s="81"/>
      <c r="F852" s="81"/>
      <c r="G852" s="81"/>
      <c r="H852" s="81"/>
      <c r="I852" s="81"/>
      <c r="J852" s="81"/>
      <c r="K852" s="81"/>
      <c r="L852" s="81"/>
      <c r="M852" s="81"/>
      <c r="N852" s="81"/>
      <c r="O852" s="81"/>
      <c r="P852" s="81"/>
      <c r="Q852" s="81"/>
      <c r="R852" s="81"/>
      <c r="S852" s="81"/>
      <c r="T852" s="81"/>
      <c r="U852" s="81"/>
      <c r="V852" s="81"/>
      <c r="W852" s="81"/>
      <c r="X852" s="81"/>
      <c r="Y852" s="81"/>
      <c r="Z852" s="81"/>
      <c r="AA852" s="81"/>
      <c r="AB852" s="81"/>
      <c r="AC852" s="81"/>
      <c r="AD852" s="81"/>
      <c r="AE852" s="81"/>
      <c r="AF852" s="81"/>
      <c r="AG852" s="81"/>
      <c r="AH852" s="81"/>
    </row>
    <row r="853" spans="4:34" ht="14.25" customHeight="1">
      <c r="D853" s="81"/>
      <c r="E853" s="81"/>
      <c r="F853" s="81"/>
      <c r="G853" s="81"/>
      <c r="H853" s="81"/>
      <c r="I853" s="81"/>
      <c r="J853" s="81"/>
      <c r="K853" s="81"/>
      <c r="L853" s="81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81"/>
      <c r="Y853" s="81"/>
      <c r="Z853" s="81"/>
      <c r="AA853" s="81"/>
      <c r="AB853" s="81"/>
      <c r="AC853" s="81"/>
      <c r="AD853" s="81"/>
      <c r="AE853" s="81"/>
      <c r="AF853" s="81"/>
      <c r="AG853" s="81"/>
      <c r="AH853" s="81"/>
    </row>
    <row r="854" spans="4:34" ht="14.25" customHeight="1"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  <c r="S854" s="81"/>
      <c r="T854" s="81"/>
      <c r="U854" s="81"/>
      <c r="V854" s="81"/>
      <c r="W854" s="81"/>
      <c r="X854" s="81"/>
      <c r="Y854" s="81"/>
      <c r="Z854" s="81"/>
      <c r="AA854" s="81"/>
      <c r="AB854" s="81"/>
      <c r="AC854" s="81"/>
      <c r="AD854" s="81"/>
      <c r="AE854" s="81"/>
      <c r="AF854" s="81"/>
      <c r="AG854" s="81"/>
      <c r="AH854" s="81"/>
    </row>
    <row r="855" spans="4:34" ht="14.25" customHeight="1">
      <c r="D855" s="81"/>
      <c r="E855" s="81"/>
      <c r="F855" s="81"/>
      <c r="G855" s="81"/>
      <c r="H855" s="81"/>
      <c r="I855" s="81"/>
      <c r="J855" s="81"/>
      <c r="K855" s="81"/>
      <c r="L855" s="81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81"/>
      <c r="Y855" s="81"/>
      <c r="Z855" s="81"/>
      <c r="AA855" s="81"/>
      <c r="AB855" s="81"/>
      <c r="AC855" s="81"/>
      <c r="AD855" s="81"/>
      <c r="AE855" s="81"/>
      <c r="AF855" s="81"/>
      <c r="AG855" s="81"/>
      <c r="AH855" s="81"/>
    </row>
    <row r="856" spans="4:34" ht="14.25" customHeight="1">
      <c r="D856" s="81"/>
      <c r="E856" s="81"/>
      <c r="F856" s="81"/>
      <c r="G856" s="81"/>
      <c r="H856" s="81"/>
      <c r="I856" s="81"/>
      <c r="J856" s="81"/>
      <c r="K856" s="81"/>
      <c r="L856" s="81"/>
      <c r="M856" s="81"/>
      <c r="N856" s="81"/>
      <c r="O856" s="81"/>
      <c r="P856" s="81"/>
      <c r="Q856" s="81"/>
      <c r="R856" s="81"/>
      <c r="S856" s="81"/>
      <c r="T856" s="81"/>
      <c r="U856" s="81"/>
      <c r="V856" s="81"/>
      <c r="W856" s="81"/>
      <c r="X856" s="81"/>
      <c r="Y856" s="81"/>
      <c r="Z856" s="81"/>
      <c r="AA856" s="81"/>
      <c r="AB856" s="81"/>
      <c r="AC856" s="81"/>
      <c r="AD856" s="81"/>
      <c r="AE856" s="81"/>
      <c r="AF856" s="81"/>
      <c r="AG856" s="81"/>
      <c r="AH856" s="81"/>
    </row>
    <row r="857" spans="4:34" ht="14.25" customHeight="1">
      <c r="D857" s="81"/>
      <c r="E857" s="81"/>
      <c r="F857" s="81"/>
      <c r="G857" s="81"/>
      <c r="H857" s="81"/>
      <c r="I857" s="81"/>
      <c r="J857" s="81"/>
      <c r="K857" s="81"/>
      <c r="L857" s="81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81"/>
      <c r="Y857" s="81"/>
      <c r="Z857" s="81"/>
      <c r="AA857" s="81"/>
      <c r="AB857" s="81"/>
      <c r="AC857" s="81"/>
      <c r="AD857" s="81"/>
      <c r="AE857" s="81"/>
      <c r="AF857" s="81"/>
      <c r="AG857" s="81"/>
      <c r="AH857" s="81"/>
    </row>
    <row r="858" spans="4:34" ht="14.25" customHeight="1"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  <c r="S858" s="81"/>
      <c r="T858" s="81"/>
      <c r="U858" s="81"/>
      <c r="V858" s="81"/>
      <c r="W858" s="81"/>
      <c r="X858" s="81"/>
      <c r="Y858" s="81"/>
      <c r="Z858" s="81"/>
      <c r="AA858" s="81"/>
      <c r="AB858" s="81"/>
      <c r="AC858" s="81"/>
      <c r="AD858" s="81"/>
      <c r="AE858" s="81"/>
      <c r="AF858" s="81"/>
      <c r="AG858" s="81"/>
      <c r="AH858" s="81"/>
    </row>
    <row r="859" spans="4:34" ht="14.25" customHeight="1">
      <c r="D859" s="81"/>
      <c r="E859" s="81"/>
      <c r="F859" s="81"/>
      <c r="G859" s="81"/>
      <c r="H859" s="81"/>
      <c r="I859" s="81"/>
      <c r="J859" s="81"/>
      <c r="K859" s="81"/>
      <c r="L859" s="81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81"/>
      <c r="Y859" s="81"/>
      <c r="Z859" s="81"/>
      <c r="AA859" s="81"/>
      <c r="AB859" s="81"/>
      <c r="AC859" s="81"/>
      <c r="AD859" s="81"/>
      <c r="AE859" s="81"/>
      <c r="AF859" s="81"/>
      <c r="AG859" s="81"/>
      <c r="AH859" s="81"/>
    </row>
    <row r="860" spans="4:34" ht="14.25" customHeight="1">
      <c r="D860" s="81"/>
      <c r="E860" s="81"/>
      <c r="F860" s="81"/>
      <c r="G860" s="81"/>
      <c r="H860" s="81"/>
      <c r="I860" s="81"/>
      <c r="J860" s="81"/>
      <c r="K860" s="81"/>
      <c r="L860" s="81"/>
      <c r="M860" s="81"/>
      <c r="N860" s="81"/>
      <c r="O860" s="81"/>
      <c r="P860" s="81"/>
      <c r="Q860" s="81"/>
      <c r="R860" s="81"/>
      <c r="S860" s="81"/>
      <c r="T860" s="81"/>
      <c r="U860" s="81"/>
      <c r="V860" s="81"/>
      <c r="W860" s="81"/>
      <c r="X860" s="81"/>
      <c r="Y860" s="81"/>
      <c r="Z860" s="81"/>
      <c r="AA860" s="81"/>
      <c r="AB860" s="81"/>
      <c r="AC860" s="81"/>
      <c r="AD860" s="81"/>
      <c r="AE860" s="81"/>
      <c r="AF860" s="81"/>
      <c r="AG860" s="81"/>
      <c r="AH860" s="81"/>
    </row>
    <row r="861" spans="4:34" ht="14.25" customHeight="1">
      <c r="D861" s="81"/>
      <c r="E861" s="81"/>
      <c r="F861" s="81"/>
      <c r="G861" s="81"/>
      <c r="H861" s="81"/>
      <c r="I861" s="81"/>
      <c r="J861" s="81"/>
      <c r="K861" s="81"/>
      <c r="L861" s="81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81"/>
      <c r="Y861" s="81"/>
      <c r="Z861" s="81"/>
      <c r="AA861" s="81"/>
      <c r="AB861" s="81"/>
      <c r="AC861" s="81"/>
      <c r="AD861" s="81"/>
      <c r="AE861" s="81"/>
      <c r="AF861" s="81"/>
      <c r="AG861" s="81"/>
      <c r="AH861" s="81"/>
    </row>
    <row r="862" spans="4:34" ht="14.25" customHeight="1"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  <c r="S862" s="81"/>
      <c r="T862" s="81"/>
      <c r="U862" s="81"/>
      <c r="V862" s="81"/>
      <c r="W862" s="81"/>
      <c r="X862" s="81"/>
      <c r="Y862" s="81"/>
      <c r="Z862" s="81"/>
      <c r="AA862" s="81"/>
      <c r="AB862" s="81"/>
      <c r="AC862" s="81"/>
      <c r="AD862" s="81"/>
      <c r="AE862" s="81"/>
      <c r="AF862" s="81"/>
      <c r="AG862" s="81"/>
      <c r="AH862" s="81"/>
    </row>
    <row r="863" spans="4:34" ht="14.25" customHeight="1">
      <c r="D863" s="81"/>
      <c r="E863" s="81"/>
      <c r="F863" s="81"/>
      <c r="G863" s="81"/>
      <c r="H863" s="81"/>
      <c r="I863" s="81"/>
      <c r="J863" s="81"/>
      <c r="K863" s="81"/>
      <c r="L863" s="81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81"/>
      <c r="Y863" s="81"/>
      <c r="Z863" s="81"/>
      <c r="AA863" s="81"/>
      <c r="AB863" s="81"/>
      <c r="AC863" s="81"/>
      <c r="AD863" s="81"/>
      <c r="AE863" s="81"/>
      <c r="AF863" s="81"/>
      <c r="AG863" s="81"/>
      <c r="AH863" s="81"/>
    </row>
    <row r="864" spans="4:34" ht="14.25" customHeight="1">
      <c r="D864" s="81"/>
      <c r="E864" s="81"/>
      <c r="F864" s="81"/>
      <c r="G864" s="81"/>
      <c r="H864" s="81"/>
      <c r="I864" s="81"/>
      <c r="J864" s="81"/>
      <c r="K864" s="81"/>
      <c r="L864" s="81"/>
      <c r="M864" s="81"/>
      <c r="N864" s="81"/>
      <c r="O864" s="81"/>
      <c r="P864" s="81"/>
      <c r="Q864" s="81"/>
      <c r="R864" s="81"/>
      <c r="S864" s="81"/>
      <c r="T864" s="81"/>
      <c r="U864" s="81"/>
      <c r="V864" s="81"/>
      <c r="W864" s="81"/>
      <c r="X864" s="81"/>
      <c r="Y864" s="81"/>
      <c r="Z864" s="81"/>
      <c r="AA864" s="81"/>
      <c r="AB864" s="81"/>
      <c r="AC864" s="81"/>
      <c r="AD864" s="81"/>
      <c r="AE864" s="81"/>
      <c r="AF864" s="81"/>
      <c r="AG864" s="81"/>
      <c r="AH864" s="81"/>
    </row>
    <row r="865" spans="4:34" ht="14.25" customHeight="1">
      <c r="D865" s="81"/>
      <c r="E865" s="81"/>
      <c r="F865" s="81"/>
      <c r="G865" s="81"/>
      <c r="H865" s="81"/>
      <c r="I865" s="81"/>
      <c r="J865" s="81"/>
      <c r="K865" s="81"/>
      <c r="L865" s="81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81"/>
      <c r="Y865" s="81"/>
      <c r="Z865" s="81"/>
      <c r="AA865" s="81"/>
      <c r="AB865" s="81"/>
      <c r="AC865" s="81"/>
      <c r="AD865" s="81"/>
      <c r="AE865" s="81"/>
      <c r="AF865" s="81"/>
      <c r="AG865" s="81"/>
      <c r="AH865" s="81"/>
    </row>
    <row r="866" spans="4:34" ht="14.25" customHeight="1"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  <c r="S866" s="81"/>
      <c r="T866" s="81"/>
      <c r="U866" s="81"/>
      <c r="V866" s="81"/>
      <c r="W866" s="81"/>
      <c r="X866" s="81"/>
      <c r="Y866" s="81"/>
      <c r="Z866" s="81"/>
      <c r="AA866" s="81"/>
      <c r="AB866" s="81"/>
      <c r="AC866" s="81"/>
      <c r="AD866" s="81"/>
      <c r="AE866" s="81"/>
      <c r="AF866" s="81"/>
      <c r="AG866" s="81"/>
      <c r="AH866" s="81"/>
    </row>
    <row r="867" spans="4:34" ht="14.25" customHeight="1">
      <c r="D867" s="81"/>
      <c r="E867" s="81"/>
      <c r="F867" s="81"/>
      <c r="G867" s="81"/>
      <c r="H867" s="81"/>
      <c r="I867" s="81"/>
      <c r="J867" s="81"/>
      <c r="K867" s="81"/>
      <c r="L867" s="81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81"/>
      <c r="Y867" s="81"/>
      <c r="Z867" s="81"/>
      <c r="AA867" s="81"/>
      <c r="AB867" s="81"/>
      <c r="AC867" s="81"/>
      <c r="AD867" s="81"/>
      <c r="AE867" s="81"/>
      <c r="AF867" s="81"/>
      <c r="AG867" s="81"/>
      <c r="AH867" s="81"/>
    </row>
    <row r="868" spans="4:34" ht="14.25" customHeight="1">
      <c r="D868" s="81"/>
      <c r="E868" s="81"/>
      <c r="F868" s="81"/>
      <c r="G868" s="81"/>
      <c r="H868" s="81"/>
      <c r="I868" s="81"/>
      <c r="J868" s="81"/>
      <c r="K868" s="81"/>
      <c r="L868" s="81"/>
      <c r="M868" s="81"/>
      <c r="N868" s="81"/>
      <c r="O868" s="81"/>
      <c r="P868" s="81"/>
      <c r="Q868" s="81"/>
      <c r="R868" s="81"/>
      <c r="S868" s="81"/>
      <c r="T868" s="81"/>
      <c r="U868" s="81"/>
      <c r="V868" s="81"/>
      <c r="W868" s="81"/>
      <c r="X868" s="81"/>
      <c r="Y868" s="81"/>
      <c r="Z868" s="81"/>
      <c r="AA868" s="81"/>
      <c r="AB868" s="81"/>
      <c r="AC868" s="81"/>
      <c r="AD868" s="81"/>
      <c r="AE868" s="81"/>
      <c r="AF868" s="81"/>
      <c r="AG868" s="81"/>
      <c r="AH868" s="81"/>
    </row>
    <row r="869" spans="4:34" ht="14.25" customHeight="1">
      <c r="D869" s="81"/>
      <c r="E869" s="81"/>
      <c r="F869" s="81"/>
      <c r="G869" s="81"/>
      <c r="H869" s="81"/>
      <c r="I869" s="81"/>
      <c r="J869" s="81"/>
      <c r="K869" s="81"/>
      <c r="L869" s="81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81"/>
      <c r="Y869" s="81"/>
      <c r="Z869" s="81"/>
      <c r="AA869" s="81"/>
      <c r="AB869" s="81"/>
      <c r="AC869" s="81"/>
      <c r="AD869" s="81"/>
      <c r="AE869" s="81"/>
      <c r="AF869" s="81"/>
      <c r="AG869" s="81"/>
      <c r="AH869" s="81"/>
    </row>
    <row r="870" spans="4:34" ht="14.25" customHeight="1"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  <c r="S870" s="81"/>
      <c r="T870" s="81"/>
      <c r="U870" s="81"/>
      <c r="V870" s="81"/>
      <c r="W870" s="81"/>
      <c r="X870" s="81"/>
      <c r="Y870" s="81"/>
      <c r="Z870" s="81"/>
      <c r="AA870" s="81"/>
      <c r="AB870" s="81"/>
      <c r="AC870" s="81"/>
      <c r="AD870" s="81"/>
      <c r="AE870" s="81"/>
      <c r="AF870" s="81"/>
      <c r="AG870" s="81"/>
      <c r="AH870" s="81"/>
    </row>
    <row r="871" spans="4:34" ht="14.25" customHeight="1">
      <c r="D871" s="81"/>
      <c r="E871" s="81"/>
      <c r="F871" s="81"/>
      <c r="G871" s="81"/>
      <c r="H871" s="81"/>
      <c r="I871" s="81"/>
      <c r="J871" s="81"/>
      <c r="K871" s="81"/>
      <c r="L871" s="81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81"/>
      <c r="Y871" s="81"/>
      <c r="Z871" s="81"/>
      <c r="AA871" s="81"/>
      <c r="AB871" s="81"/>
      <c r="AC871" s="81"/>
      <c r="AD871" s="81"/>
      <c r="AE871" s="81"/>
      <c r="AF871" s="81"/>
      <c r="AG871" s="81"/>
      <c r="AH871" s="81"/>
    </row>
    <row r="872" spans="4:34" ht="14.25" customHeight="1">
      <c r="D872" s="81"/>
      <c r="E872" s="81"/>
      <c r="F872" s="81"/>
      <c r="G872" s="81"/>
      <c r="H872" s="81"/>
      <c r="I872" s="81"/>
      <c r="J872" s="81"/>
      <c r="K872" s="81"/>
      <c r="L872" s="81"/>
      <c r="M872" s="81"/>
      <c r="N872" s="81"/>
      <c r="O872" s="81"/>
      <c r="P872" s="81"/>
      <c r="Q872" s="81"/>
      <c r="R872" s="81"/>
      <c r="S872" s="81"/>
      <c r="T872" s="81"/>
      <c r="U872" s="81"/>
      <c r="V872" s="81"/>
      <c r="W872" s="81"/>
      <c r="X872" s="81"/>
      <c r="Y872" s="81"/>
      <c r="Z872" s="81"/>
      <c r="AA872" s="81"/>
      <c r="AB872" s="81"/>
      <c r="AC872" s="81"/>
      <c r="AD872" s="81"/>
      <c r="AE872" s="81"/>
      <c r="AF872" s="81"/>
      <c r="AG872" s="81"/>
      <c r="AH872" s="81"/>
    </row>
    <row r="873" spans="4:34" ht="14.25" customHeight="1">
      <c r="D873" s="81"/>
      <c r="E873" s="81"/>
      <c r="F873" s="81"/>
      <c r="G873" s="81"/>
      <c r="H873" s="81"/>
      <c r="I873" s="81"/>
      <c r="J873" s="81"/>
      <c r="K873" s="81"/>
      <c r="L873" s="81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81"/>
      <c r="Y873" s="81"/>
      <c r="Z873" s="81"/>
      <c r="AA873" s="81"/>
      <c r="AB873" s="81"/>
      <c r="AC873" s="81"/>
      <c r="AD873" s="81"/>
      <c r="AE873" s="81"/>
      <c r="AF873" s="81"/>
      <c r="AG873" s="81"/>
      <c r="AH873" s="81"/>
    </row>
    <row r="874" spans="4:34" ht="14.25" customHeight="1"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  <c r="S874" s="81"/>
      <c r="T874" s="81"/>
      <c r="U874" s="81"/>
      <c r="V874" s="81"/>
      <c r="W874" s="81"/>
      <c r="X874" s="81"/>
      <c r="Y874" s="81"/>
      <c r="Z874" s="81"/>
      <c r="AA874" s="81"/>
      <c r="AB874" s="81"/>
      <c r="AC874" s="81"/>
      <c r="AD874" s="81"/>
      <c r="AE874" s="81"/>
      <c r="AF874" s="81"/>
      <c r="AG874" s="81"/>
      <c r="AH874" s="81"/>
    </row>
    <row r="875" spans="4:34" ht="14.25" customHeight="1">
      <c r="D875" s="81"/>
      <c r="E875" s="81"/>
      <c r="F875" s="81"/>
      <c r="G875" s="81"/>
      <c r="H875" s="81"/>
      <c r="I875" s="81"/>
      <c r="J875" s="81"/>
      <c r="K875" s="81"/>
      <c r="L875" s="81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81"/>
      <c r="Y875" s="81"/>
      <c r="Z875" s="81"/>
      <c r="AA875" s="81"/>
      <c r="AB875" s="81"/>
      <c r="AC875" s="81"/>
      <c r="AD875" s="81"/>
      <c r="AE875" s="81"/>
      <c r="AF875" s="81"/>
      <c r="AG875" s="81"/>
      <c r="AH875" s="81"/>
    </row>
    <row r="876" spans="4:34" ht="14.25" customHeight="1">
      <c r="D876" s="81"/>
      <c r="E876" s="81"/>
      <c r="F876" s="81"/>
      <c r="G876" s="81"/>
      <c r="H876" s="81"/>
      <c r="I876" s="81"/>
      <c r="J876" s="81"/>
      <c r="K876" s="81"/>
      <c r="L876" s="81"/>
      <c r="M876" s="81"/>
      <c r="N876" s="81"/>
      <c r="O876" s="81"/>
      <c r="P876" s="81"/>
      <c r="Q876" s="81"/>
      <c r="R876" s="81"/>
      <c r="S876" s="81"/>
      <c r="T876" s="81"/>
      <c r="U876" s="81"/>
      <c r="V876" s="81"/>
      <c r="W876" s="81"/>
      <c r="X876" s="81"/>
      <c r="Y876" s="81"/>
      <c r="Z876" s="81"/>
      <c r="AA876" s="81"/>
      <c r="AB876" s="81"/>
      <c r="AC876" s="81"/>
      <c r="AD876" s="81"/>
      <c r="AE876" s="81"/>
      <c r="AF876" s="81"/>
      <c r="AG876" s="81"/>
      <c r="AH876" s="81"/>
    </row>
    <row r="877" spans="4:34" ht="14.25" customHeight="1">
      <c r="D877" s="81"/>
      <c r="E877" s="81"/>
      <c r="F877" s="81"/>
      <c r="G877" s="81"/>
      <c r="H877" s="81"/>
      <c r="I877" s="81"/>
      <c r="J877" s="81"/>
      <c r="K877" s="81"/>
      <c r="L877" s="81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81"/>
      <c r="Y877" s="81"/>
      <c r="Z877" s="81"/>
      <c r="AA877" s="81"/>
      <c r="AB877" s="81"/>
      <c r="AC877" s="81"/>
      <c r="AD877" s="81"/>
      <c r="AE877" s="81"/>
      <c r="AF877" s="81"/>
      <c r="AG877" s="81"/>
      <c r="AH877" s="81"/>
    </row>
    <row r="878" spans="4:34" ht="14.25" customHeight="1"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  <c r="S878" s="81"/>
      <c r="T878" s="81"/>
      <c r="U878" s="81"/>
      <c r="V878" s="81"/>
      <c r="W878" s="81"/>
      <c r="X878" s="81"/>
      <c r="Y878" s="81"/>
      <c r="Z878" s="81"/>
      <c r="AA878" s="81"/>
      <c r="AB878" s="81"/>
      <c r="AC878" s="81"/>
      <c r="AD878" s="81"/>
      <c r="AE878" s="81"/>
      <c r="AF878" s="81"/>
      <c r="AG878" s="81"/>
      <c r="AH878" s="81"/>
    </row>
    <row r="879" spans="4:34" ht="14.25" customHeight="1">
      <c r="D879" s="81"/>
      <c r="E879" s="81"/>
      <c r="F879" s="81"/>
      <c r="G879" s="81"/>
      <c r="H879" s="81"/>
      <c r="I879" s="81"/>
      <c r="J879" s="81"/>
      <c r="K879" s="81"/>
      <c r="L879" s="81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81"/>
      <c r="Y879" s="81"/>
      <c r="Z879" s="81"/>
      <c r="AA879" s="81"/>
      <c r="AB879" s="81"/>
      <c r="AC879" s="81"/>
      <c r="AD879" s="81"/>
      <c r="AE879" s="81"/>
      <c r="AF879" s="81"/>
      <c r="AG879" s="81"/>
      <c r="AH879" s="81"/>
    </row>
    <row r="880" spans="4:34" ht="14.25" customHeight="1">
      <c r="D880" s="81"/>
      <c r="E880" s="81"/>
      <c r="F880" s="81"/>
      <c r="G880" s="81"/>
      <c r="H880" s="81"/>
      <c r="I880" s="81"/>
      <c r="J880" s="81"/>
      <c r="K880" s="81"/>
      <c r="L880" s="81"/>
      <c r="M880" s="81"/>
      <c r="N880" s="81"/>
      <c r="O880" s="81"/>
      <c r="P880" s="81"/>
      <c r="Q880" s="81"/>
      <c r="R880" s="81"/>
      <c r="S880" s="81"/>
      <c r="T880" s="81"/>
      <c r="U880" s="81"/>
      <c r="V880" s="81"/>
      <c r="W880" s="81"/>
      <c r="X880" s="81"/>
      <c r="Y880" s="81"/>
      <c r="Z880" s="81"/>
      <c r="AA880" s="81"/>
      <c r="AB880" s="81"/>
      <c r="AC880" s="81"/>
      <c r="AD880" s="81"/>
      <c r="AE880" s="81"/>
      <c r="AF880" s="81"/>
      <c r="AG880" s="81"/>
      <c r="AH880" s="81"/>
    </row>
    <row r="881" spans="4:34" ht="14.25" customHeight="1">
      <c r="D881" s="81"/>
      <c r="E881" s="81"/>
      <c r="F881" s="81"/>
      <c r="G881" s="81"/>
      <c r="H881" s="81"/>
      <c r="I881" s="81"/>
      <c r="J881" s="81"/>
      <c r="K881" s="81"/>
      <c r="L881" s="81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81"/>
      <c r="Y881" s="81"/>
      <c r="Z881" s="81"/>
      <c r="AA881" s="81"/>
      <c r="AB881" s="81"/>
      <c r="AC881" s="81"/>
      <c r="AD881" s="81"/>
      <c r="AE881" s="81"/>
      <c r="AF881" s="81"/>
      <c r="AG881" s="81"/>
      <c r="AH881" s="81"/>
    </row>
    <row r="882" spans="4:34" ht="14.25" customHeight="1"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  <c r="S882" s="81"/>
      <c r="T882" s="81"/>
      <c r="U882" s="81"/>
      <c r="V882" s="81"/>
      <c r="W882" s="81"/>
      <c r="X882" s="81"/>
      <c r="Y882" s="81"/>
      <c r="Z882" s="81"/>
      <c r="AA882" s="81"/>
      <c r="AB882" s="81"/>
      <c r="AC882" s="81"/>
      <c r="AD882" s="81"/>
      <c r="AE882" s="81"/>
      <c r="AF882" s="81"/>
      <c r="AG882" s="81"/>
      <c r="AH882" s="81"/>
    </row>
    <row r="883" spans="4:34" ht="14.25" customHeight="1">
      <c r="D883" s="81"/>
      <c r="E883" s="81"/>
      <c r="F883" s="81"/>
      <c r="G883" s="81"/>
      <c r="H883" s="81"/>
      <c r="I883" s="81"/>
      <c r="J883" s="81"/>
      <c r="K883" s="81"/>
      <c r="L883" s="81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81"/>
      <c r="Y883" s="81"/>
      <c r="Z883" s="81"/>
      <c r="AA883" s="81"/>
      <c r="AB883" s="81"/>
      <c r="AC883" s="81"/>
      <c r="AD883" s="81"/>
      <c r="AE883" s="81"/>
      <c r="AF883" s="81"/>
      <c r="AG883" s="81"/>
      <c r="AH883" s="81"/>
    </row>
    <row r="884" spans="4:34" ht="14.25" customHeight="1">
      <c r="D884" s="81"/>
      <c r="E884" s="81"/>
      <c r="F884" s="81"/>
      <c r="G884" s="81"/>
      <c r="H884" s="81"/>
      <c r="I884" s="81"/>
      <c r="J884" s="81"/>
      <c r="K884" s="81"/>
      <c r="L884" s="81"/>
      <c r="M884" s="81"/>
      <c r="N884" s="81"/>
      <c r="O884" s="81"/>
      <c r="P884" s="81"/>
      <c r="Q884" s="81"/>
      <c r="R884" s="81"/>
      <c r="S884" s="81"/>
      <c r="T884" s="81"/>
      <c r="U884" s="81"/>
      <c r="V884" s="81"/>
      <c r="W884" s="81"/>
      <c r="X884" s="81"/>
      <c r="Y884" s="81"/>
      <c r="Z884" s="81"/>
      <c r="AA884" s="81"/>
      <c r="AB884" s="81"/>
      <c r="AC884" s="81"/>
      <c r="AD884" s="81"/>
      <c r="AE884" s="81"/>
      <c r="AF884" s="81"/>
      <c r="AG884" s="81"/>
      <c r="AH884" s="81"/>
    </row>
    <row r="885" spans="4:34" ht="14.25" customHeight="1">
      <c r="D885" s="81"/>
      <c r="E885" s="81"/>
      <c r="F885" s="81"/>
      <c r="G885" s="81"/>
      <c r="H885" s="81"/>
      <c r="I885" s="81"/>
      <c r="J885" s="81"/>
      <c r="K885" s="81"/>
      <c r="L885" s="81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81"/>
      <c r="Y885" s="81"/>
      <c r="Z885" s="81"/>
      <c r="AA885" s="81"/>
      <c r="AB885" s="81"/>
      <c r="AC885" s="81"/>
      <c r="AD885" s="81"/>
      <c r="AE885" s="81"/>
      <c r="AF885" s="81"/>
      <c r="AG885" s="81"/>
      <c r="AH885" s="81"/>
    </row>
    <row r="886" spans="4:34" ht="14.25" customHeight="1"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  <c r="S886" s="81"/>
      <c r="T886" s="81"/>
      <c r="U886" s="81"/>
      <c r="V886" s="81"/>
      <c r="W886" s="81"/>
      <c r="X886" s="81"/>
      <c r="Y886" s="81"/>
      <c r="Z886" s="81"/>
      <c r="AA886" s="81"/>
      <c r="AB886" s="81"/>
      <c r="AC886" s="81"/>
      <c r="AD886" s="81"/>
      <c r="AE886" s="81"/>
      <c r="AF886" s="81"/>
      <c r="AG886" s="81"/>
      <c r="AH886" s="81"/>
    </row>
    <row r="887" spans="4:34" ht="14.25" customHeight="1">
      <c r="D887" s="81"/>
      <c r="E887" s="81"/>
      <c r="F887" s="81"/>
      <c r="G887" s="81"/>
      <c r="H887" s="81"/>
      <c r="I887" s="81"/>
      <c r="J887" s="81"/>
      <c r="K887" s="81"/>
      <c r="L887" s="81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81"/>
      <c r="Y887" s="81"/>
      <c r="Z887" s="81"/>
      <c r="AA887" s="81"/>
      <c r="AB887" s="81"/>
      <c r="AC887" s="81"/>
      <c r="AD887" s="81"/>
      <c r="AE887" s="81"/>
      <c r="AF887" s="81"/>
      <c r="AG887" s="81"/>
      <c r="AH887" s="81"/>
    </row>
    <row r="888" spans="4:34" ht="14.25" customHeight="1">
      <c r="D888" s="81"/>
      <c r="E888" s="81"/>
      <c r="F888" s="81"/>
      <c r="G888" s="81"/>
      <c r="H888" s="81"/>
      <c r="I888" s="81"/>
      <c r="J888" s="81"/>
      <c r="K888" s="81"/>
      <c r="L888" s="81"/>
      <c r="M888" s="81"/>
      <c r="N888" s="81"/>
      <c r="O888" s="81"/>
      <c r="P888" s="81"/>
      <c r="Q888" s="81"/>
      <c r="R888" s="81"/>
      <c r="S888" s="81"/>
      <c r="T888" s="81"/>
      <c r="U888" s="81"/>
      <c r="V888" s="81"/>
      <c r="W888" s="81"/>
      <c r="X888" s="81"/>
      <c r="Y888" s="81"/>
      <c r="Z888" s="81"/>
      <c r="AA888" s="81"/>
      <c r="AB888" s="81"/>
      <c r="AC888" s="81"/>
      <c r="AD888" s="81"/>
      <c r="AE888" s="81"/>
      <c r="AF888" s="81"/>
      <c r="AG888" s="81"/>
      <c r="AH888" s="81"/>
    </row>
    <row r="889" spans="4:34" ht="14.25" customHeight="1">
      <c r="D889" s="81"/>
      <c r="E889" s="81"/>
      <c r="F889" s="81"/>
      <c r="G889" s="81"/>
      <c r="H889" s="81"/>
      <c r="I889" s="81"/>
      <c r="J889" s="81"/>
      <c r="K889" s="81"/>
      <c r="L889" s="81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81"/>
      <c r="Y889" s="81"/>
      <c r="Z889" s="81"/>
      <c r="AA889" s="81"/>
      <c r="AB889" s="81"/>
      <c r="AC889" s="81"/>
      <c r="AD889" s="81"/>
      <c r="AE889" s="81"/>
      <c r="AF889" s="81"/>
      <c r="AG889" s="81"/>
      <c r="AH889" s="81"/>
    </row>
    <row r="890" spans="4:34" ht="14.25" customHeight="1"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  <c r="S890" s="81"/>
      <c r="T890" s="81"/>
      <c r="U890" s="81"/>
      <c r="V890" s="81"/>
      <c r="W890" s="81"/>
      <c r="X890" s="81"/>
      <c r="Y890" s="81"/>
      <c r="Z890" s="81"/>
      <c r="AA890" s="81"/>
      <c r="AB890" s="81"/>
      <c r="AC890" s="81"/>
      <c r="AD890" s="81"/>
      <c r="AE890" s="81"/>
      <c r="AF890" s="81"/>
      <c r="AG890" s="81"/>
      <c r="AH890" s="81"/>
    </row>
    <row r="891" spans="4:34" ht="14.25" customHeight="1">
      <c r="D891" s="81"/>
      <c r="E891" s="81"/>
      <c r="F891" s="81"/>
      <c r="G891" s="81"/>
      <c r="H891" s="81"/>
      <c r="I891" s="81"/>
      <c r="J891" s="81"/>
      <c r="K891" s="81"/>
      <c r="L891" s="81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81"/>
      <c r="Y891" s="81"/>
      <c r="Z891" s="81"/>
      <c r="AA891" s="81"/>
      <c r="AB891" s="81"/>
      <c r="AC891" s="81"/>
      <c r="AD891" s="81"/>
      <c r="AE891" s="81"/>
      <c r="AF891" s="81"/>
      <c r="AG891" s="81"/>
      <c r="AH891" s="81"/>
    </row>
    <row r="892" spans="4:34" ht="14.25" customHeight="1">
      <c r="D892" s="81"/>
      <c r="E892" s="81"/>
      <c r="F892" s="81"/>
      <c r="G892" s="81"/>
      <c r="H892" s="81"/>
      <c r="I892" s="81"/>
      <c r="J892" s="81"/>
      <c r="K892" s="81"/>
      <c r="L892" s="81"/>
      <c r="M892" s="81"/>
      <c r="N892" s="81"/>
      <c r="O892" s="81"/>
      <c r="P892" s="81"/>
      <c r="Q892" s="81"/>
      <c r="R892" s="81"/>
      <c r="S892" s="81"/>
      <c r="T892" s="81"/>
      <c r="U892" s="81"/>
      <c r="V892" s="81"/>
      <c r="W892" s="81"/>
      <c r="X892" s="81"/>
      <c r="Y892" s="81"/>
      <c r="Z892" s="81"/>
      <c r="AA892" s="81"/>
      <c r="AB892" s="81"/>
      <c r="AC892" s="81"/>
      <c r="AD892" s="81"/>
      <c r="AE892" s="81"/>
      <c r="AF892" s="81"/>
      <c r="AG892" s="81"/>
      <c r="AH892" s="81"/>
    </row>
    <row r="893" spans="4:34" ht="14.25" customHeight="1">
      <c r="D893" s="81"/>
      <c r="E893" s="81"/>
      <c r="F893" s="81"/>
      <c r="G893" s="81"/>
      <c r="H893" s="81"/>
      <c r="I893" s="81"/>
      <c r="J893" s="81"/>
      <c r="K893" s="81"/>
      <c r="L893" s="81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81"/>
      <c r="Y893" s="81"/>
      <c r="Z893" s="81"/>
      <c r="AA893" s="81"/>
      <c r="AB893" s="81"/>
      <c r="AC893" s="81"/>
      <c r="AD893" s="81"/>
      <c r="AE893" s="81"/>
      <c r="AF893" s="81"/>
      <c r="AG893" s="81"/>
      <c r="AH893" s="81"/>
    </row>
    <row r="894" spans="4:34" ht="14.25" customHeight="1"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  <c r="S894" s="81"/>
      <c r="T894" s="81"/>
      <c r="U894" s="81"/>
      <c r="V894" s="81"/>
      <c r="W894" s="81"/>
      <c r="X894" s="81"/>
      <c r="Y894" s="81"/>
      <c r="Z894" s="81"/>
      <c r="AA894" s="81"/>
      <c r="AB894" s="81"/>
      <c r="AC894" s="81"/>
      <c r="AD894" s="81"/>
      <c r="AE894" s="81"/>
      <c r="AF894" s="81"/>
      <c r="AG894" s="81"/>
      <c r="AH894" s="81"/>
    </row>
    <row r="895" spans="4:34" ht="14.25" customHeight="1">
      <c r="D895" s="81"/>
      <c r="E895" s="81"/>
      <c r="F895" s="81"/>
      <c r="G895" s="81"/>
      <c r="H895" s="81"/>
      <c r="I895" s="81"/>
      <c r="J895" s="81"/>
      <c r="K895" s="81"/>
      <c r="L895" s="81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81"/>
      <c r="Y895" s="81"/>
      <c r="Z895" s="81"/>
      <c r="AA895" s="81"/>
      <c r="AB895" s="81"/>
      <c r="AC895" s="81"/>
      <c r="AD895" s="81"/>
      <c r="AE895" s="81"/>
      <c r="AF895" s="81"/>
      <c r="AG895" s="81"/>
      <c r="AH895" s="81"/>
    </row>
    <row r="896" spans="4:34" ht="14.25" customHeight="1">
      <c r="D896" s="81"/>
      <c r="E896" s="81"/>
      <c r="F896" s="81"/>
      <c r="G896" s="81"/>
      <c r="H896" s="81"/>
      <c r="I896" s="81"/>
      <c r="J896" s="81"/>
      <c r="K896" s="81"/>
      <c r="L896" s="81"/>
      <c r="M896" s="81"/>
      <c r="N896" s="81"/>
      <c r="O896" s="81"/>
      <c r="P896" s="81"/>
      <c r="Q896" s="81"/>
      <c r="R896" s="81"/>
      <c r="S896" s="81"/>
      <c r="T896" s="81"/>
      <c r="U896" s="81"/>
      <c r="V896" s="81"/>
      <c r="W896" s="81"/>
      <c r="X896" s="81"/>
      <c r="Y896" s="81"/>
      <c r="Z896" s="81"/>
      <c r="AA896" s="81"/>
      <c r="AB896" s="81"/>
      <c r="AC896" s="81"/>
      <c r="AD896" s="81"/>
      <c r="AE896" s="81"/>
      <c r="AF896" s="81"/>
      <c r="AG896" s="81"/>
      <c r="AH896" s="81"/>
    </row>
    <row r="897" spans="4:34" ht="14.25" customHeight="1">
      <c r="D897" s="81"/>
      <c r="E897" s="81"/>
      <c r="F897" s="81"/>
      <c r="G897" s="81"/>
      <c r="H897" s="81"/>
      <c r="I897" s="81"/>
      <c r="J897" s="81"/>
      <c r="K897" s="81"/>
      <c r="L897" s="81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81"/>
      <c r="Y897" s="81"/>
      <c r="Z897" s="81"/>
      <c r="AA897" s="81"/>
      <c r="AB897" s="81"/>
      <c r="AC897" s="81"/>
      <c r="AD897" s="81"/>
      <c r="AE897" s="81"/>
      <c r="AF897" s="81"/>
      <c r="AG897" s="81"/>
      <c r="AH897" s="81"/>
    </row>
    <row r="898" spans="4:34" ht="14.25" customHeight="1"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  <c r="S898" s="81"/>
      <c r="T898" s="81"/>
      <c r="U898" s="81"/>
      <c r="V898" s="81"/>
      <c r="W898" s="81"/>
      <c r="X898" s="81"/>
      <c r="Y898" s="81"/>
      <c r="Z898" s="81"/>
      <c r="AA898" s="81"/>
      <c r="AB898" s="81"/>
      <c r="AC898" s="81"/>
      <c r="AD898" s="81"/>
      <c r="AE898" s="81"/>
      <c r="AF898" s="81"/>
      <c r="AG898" s="81"/>
      <c r="AH898" s="81"/>
    </row>
    <row r="899" spans="4:34" ht="14.25" customHeight="1">
      <c r="D899" s="81"/>
      <c r="E899" s="81"/>
      <c r="F899" s="81"/>
      <c r="G899" s="81"/>
      <c r="H899" s="81"/>
      <c r="I899" s="81"/>
      <c r="J899" s="81"/>
      <c r="K899" s="81"/>
      <c r="L899" s="81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81"/>
      <c r="Y899" s="81"/>
      <c r="Z899" s="81"/>
      <c r="AA899" s="81"/>
      <c r="AB899" s="81"/>
      <c r="AC899" s="81"/>
      <c r="AD899" s="81"/>
      <c r="AE899" s="81"/>
      <c r="AF899" s="81"/>
      <c r="AG899" s="81"/>
      <c r="AH899" s="81"/>
    </row>
    <row r="900" spans="4:34" ht="14.25" customHeight="1">
      <c r="D900" s="81"/>
      <c r="E900" s="81"/>
      <c r="F900" s="81"/>
      <c r="G900" s="81"/>
      <c r="H900" s="81"/>
      <c r="I900" s="81"/>
      <c r="J900" s="81"/>
      <c r="K900" s="81"/>
      <c r="L900" s="81"/>
      <c r="M900" s="81"/>
      <c r="N900" s="81"/>
      <c r="O900" s="81"/>
      <c r="P900" s="81"/>
      <c r="Q900" s="81"/>
      <c r="R900" s="81"/>
      <c r="S900" s="81"/>
      <c r="T900" s="81"/>
      <c r="U900" s="81"/>
      <c r="V900" s="81"/>
      <c r="W900" s="81"/>
      <c r="X900" s="81"/>
      <c r="Y900" s="81"/>
      <c r="Z900" s="81"/>
      <c r="AA900" s="81"/>
      <c r="AB900" s="81"/>
      <c r="AC900" s="81"/>
      <c r="AD900" s="81"/>
      <c r="AE900" s="81"/>
      <c r="AF900" s="81"/>
      <c r="AG900" s="81"/>
      <c r="AH900" s="81"/>
    </row>
    <row r="901" spans="4:34" ht="14.25" customHeight="1">
      <c r="D901" s="81"/>
      <c r="E901" s="81"/>
      <c r="F901" s="81"/>
      <c r="G901" s="81"/>
      <c r="H901" s="81"/>
      <c r="I901" s="81"/>
      <c r="J901" s="81"/>
      <c r="K901" s="81"/>
      <c r="L901" s="81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81"/>
      <c r="Y901" s="81"/>
      <c r="Z901" s="81"/>
      <c r="AA901" s="81"/>
      <c r="AB901" s="81"/>
      <c r="AC901" s="81"/>
      <c r="AD901" s="81"/>
      <c r="AE901" s="81"/>
      <c r="AF901" s="81"/>
      <c r="AG901" s="81"/>
      <c r="AH901" s="81"/>
    </row>
    <row r="902" spans="4:34" ht="14.25" customHeight="1"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  <c r="S902" s="81"/>
      <c r="T902" s="81"/>
      <c r="U902" s="81"/>
      <c r="V902" s="81"/>
      <c r="W902" s="81"/>
      <c r="X902" s="81"/>
      <c r="Y902" s="81"/>
      <c r="Z902" s="81"/>
      <c r="AA902" s="81"/>
      <c r="AB902" s="81"/>
      <c r="AC902" s="81"/>
      <c r="AD902" s="81"/>
      <c r="AE902" s="81"/>
      <c r="AF902" s="81"/>
      <c r="AG902" s="81"/>
      <c r="AH902" s="81"/>
    </row>
    <row r="903" spans="4:34" ht="14.25" customHeight="1">
      <c r="D903" s="81"/>
      <c r="E903" s="81"/>
      <c r="F903" s="81"/>
      <c r="G903" s="81"/>
      <c r="H903" s="81"/>
      <c r="I903" s="81"/>
      <c r="J903" s="81"/>
      <c r="K903" s="81"/>
      <c r="L903" s="81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81"/>
      <c r="Y903" s="81"/>
      <c r="Z903" s="81"/>
      <c r="AA903" s="81"/>
      <c r="AB903" s="81"/>
      <c r="AC903" s="81"/>
      <c r="AD903" s="81"/>
      <c r="AE903" s="81"/>
      <c r="AF903" s="81"/>
      <c r="AG903" s="81"/>
      <c r="AH903" s="81"/>
    </row>
    <row r="904" spans="4:34" ht="14.25" customHeight="1">
      <c r="D904" s="81"/>
      <c r="E904" s="81"/>
      <c r="F904" s="81"/>
      <c r="G904" s="81"/>
      <c r="H904" s="81"/>
      <c r="I904" s="81"/>
      <c r="J904" s="81"/>
      <c r="K904" s="81"/>
      <c r="L904" s="81"/>
      <c r="M904" s="81"/>
      <c r="N904" s="81"/>
      <c r="O904" s="81"/>
      <c r="P904" s="81"/>
      <c r="Q904" s="81"/>
      <c r="R904" s="81"/>
      <c r="S904" s="81"/>
      <c r="T904" s="81"/>
      <c r="U904" s="81"/>
      <c r="V904" s="81"/>
      <c r="W904" s="81"/>
      <c r="X904" s="81"/>
      <c r="Y904" s="81"/>
      <c r="Z904" s="81"/>
      <c r="AA904" s="81"/>
      <c r="AB904" s="81"/>
      <c r="AC904" s="81"/>
      <c r="AD904" s="81"/>
      <c r="AE904" s="81"/>
      <c r="AF904" s="81"/>
      <c r="AG904" s="81"/>
      <c r="AH904" s="81"/>
    </row>
    <row r="905" spans="4:34" ht="14.25" customHeight="1">
      <c r="D905" s="81"/>
      <c r="E905" s="81"/>
      <c r="F905" s="81"/>
      <c r="G905" s="81"/>
      <c r="H905" s="81"/>
      <c r="I905" s="81"/>
      <c r="J905" s="81"/>
      <c r="K905" s="81"/>
      <c r="L905" s="81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81"/>
      <c r="Y905" s="81"/>
      <c r="Z905" s="81"/>
      <c r="AA905" s="81"/>
      <c r="AB905" s="81"/>
      <c r="AC905" s="81"/>
      <c r="AD905" s="81"/>
      <c r="AE905" s="81"/>
      <c r="AF905" s="81"/>
      <c r="AG905" s="81"/>
      <c r="AH905" s="81"/>
    </row>
    <row r="906" spans="4:34" ht="14.25" customHeight="1"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  <c r="S906" s="81"/>
      <c r="T906" s="81"/>
      <c r="U906" s="81"/>
      <c r="V906" s="81"/>
      <c r="W906" s="81"/>
      <c r="X906" s="81"/>
      <c r="Y906" s="81"/>
      <c r="Z906" s="81"/>
      <c r="AA906" s="81"/>
      <c r="AB906" s="81"/>
      <c r="AC906" s="81"/>
      <c r="AD906" s="81"/>
      <c r="AE906" s="81"/>
      <c r="AF906" s="81"/>
      <c r="AG906" s="81"/>
      <c r="AH906" s="81"/>
    </row>
    <row r="907" spans="4:34" ht="14.25" customHeight="1">
      <c r="D907" s="81"/>
      <c r="E907" s="81"/>
      <c r="F907" s="81"/>
      <c r="G907" s="81"/>
      <c r="H907" s="81"/>
      <c r="I907" s="81"/>
      <c r="J907" s="81"/>
      <c r="K907" s="81"/>
      <c r="L907" s="81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81"/>
      <c r="Y907" s="81"/>
      <c r="Z907" s="81"/>
      <c r="AA907" s="81"/>
      <c r="AB907" s="81"/>
      <c r="AC907" s="81"/>
      <c r="AD907" s="81"/>
      <c r="AE907" s="81"/>
      <c r="AF907" s="81"/>
      <c r="AG907" s="81"/>
      <c r="AH907" s="81"/>
    </row>
    <row r="908" spans="4:34" ht="14.25" customHeight="1">
      <c r="D908" s="81"/>
      <c r="E908" s="81"/>
      <c r="F908" s="81"/>
      <c r="G908" s="81"/>
      <c r="H908" s="81"/>
      <c r="I908" s="81"/>
      <c r="J908" s="81"/>
      <c r="K908" s="81"/>
      <c r="L908" s="81"/>
      <c r="M908" s="81"/>
      <c r="N908" s="81"/>
      <c r="O908" s="81"/>
      <c r="P908" s="81"/>
      <c r="Q908" s="81"/>
      <c r="R908" s="81"/>
      <c r="S908" s="81"/>
      <c r="T908" s="81"/>
      <c r="U908" s="81"/>
      <c r="V908" s="81"/>
      <c r="W908" s="81"/>
      <c r="X908" s="81"/>
      <c r="Y908" s="81"/>
      <c r="Z908" s="81"/>
      <c r="AA908" s="81"/>
      <c r="AB908" s="81"/>
      <c r="AC908" s="81"/>
      <c r="AD908" s="81"/>
      <c r="AE908" s="81"/>
      <c r="AF908" s="81"/>
      <c r="AG908" s="81"/>
      <c r="AH908" s="81"/>
    </row>
    <row r="909" spans="4:34" ht="14.25" customHeight="1">
      <c r="D909" s="81"/>
      <c r="E909" s="81"/>
      <c r="F909" s="81"/>
      <c r="G909" s="81"/>
      <c r="H909" s="81"/>
      <c r="I909" s="81"/>
      <c r="J909" s="81"/>
      <c r="K909" s="81"/>
      <c r="L909" s="81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81"/>
      <c r="Y909" s="81"/>
      <c r="Z909" s="81"/>
      <c r="AA909" s="81"/>
      <c r="AB909" s="81"/>
      <c r="AC909" s="81"/>
      <c r="AD909" s="81"/>
      <c r="AE909" s="81"/>
      <c r="AF909" s="81"/>
      <c r="AG909" s="81"/>
      <c r="AH909" s="81"/>
    </row>
    <row r="910" spans="4:34" ht="14.25" customHeight="1"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  <c r="S910" s="81"/>
      <c r="T910" s="81"/>
      <c r="U910" s="81"/>
      <c r="V910" s="81"/>
      <c r="W910" s="81"/>
      <c r="X910" s="81"/>
      <c r="Y910" s="81"/>
      <c r="Z910" s="81"/>
      <c r="AA910" s="81"/>
      <c r="AB910" s="81"/>
      <c r="AC910" s="81"/>
      <c r="AD910" s="81"/>
      <c r="AE910" s="81"/>
      <c r="AF910" s="81"/>
      <c r="AG910" s="81"/>
      <c r="AH910" s="81"/>
    </row>
    <row r="911" spans="4:34" ht="14.25" customHeight="1">
      <c r="D911" s="81"/>
      <c r="E911" s="81"/>
      <c r="F911" s="81"/>
      <c r="G911" s="81"/>
      <c r="H911" s="81"/>
      <c r="I911" s="81"/>
      <c r="J911" s="81"/>
      <c r="K911" s="81"/>
      <c r="L911" s="81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81"/>
      <c r="Y911" s="81"/>
      <c r="Z911" s="81"/>
      <c r="AA911" s="81"/>
      <c r="AB911" s="81"/>
      <c r="AC911" s="81"/>
      <c r="AD911" s="81"/>
      <c r="AE911" s="81"/>
      <c r="AF911" s="81"/>
      <c r="AG911" s="81"/>
      <c r="AH911" s="81"/>
    </row>
    <row r="912" spans="4:34" ht="14.25" customHeight="1">
      <c r="D912" s="81"/>
      <c r="E912" s="81"/>
      <c r="F912" s="81"/>
      <c r="G912" s="81"/>
      <c r="H912" s="81"/>
      <c r="I912" s="81"/>
      <c r="J912" s="81"/>
      <c r="K912" s="81"/>
      <c r="L912" s="81"/>
      <c r="M912" s="81"/>
      <c r="N912" s="81"/>
      <c r="O912" s="81"/>
      <c r="P912" s="81"/>
      <c r="Q912" s="81"/>
      <c r="R912" s="81"/>
      <c r="S912" s="81"/>
      <c r="T912" s="81"/>
      <c r="U912" s="81"/>
      <c r="V912" s="81"/>
      <c r="W912" s="81"/>
      <c r="X912" s="81"/>
      <c r="Y912" s="81"/>
      <c r="Z912" s="81"/>
      <c r="AA912" s="81"/>
      <c r="AB912" s="81"/>
      <c r="AC912" s="81"/>
      <c r="AD912" s="81"/>
      <c r="AE912" s="81"/>
      <c r="AF912" s="81"/>
      <c r="AG912" s="81"/>
      <c r="AH912" s="81"/>
    </row>
    <row r="913" spans="4:34" ht="14.25" customHeight="1">
      <c r="D913" s="81"/>
      <c r="E913" s="81"/>
      <c r="F913" s="81"/>
      <c r="G913" s="81"/>
      <c r="H913" s="81"/>
      <c r="I913" s="81"/>
      <c r="J913" s="81"/>
      <c r="K913" s="81"/>
      <c r="L913" s="81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81"/>
      <c r="Y913" s="81"/>
      <c r="Z913" s="81"/>
      <c r="AA913" s="81"/>
      <c r="AB913" s="81"/>
      <c r="AC913" s="81"/>
      <c r="AD913" s="81"/>
      <c r="AE913" s="81"/>
      <c r="AF913" s="81"/>
      <c r="AG913" s="81"/>
      <c r="AH913" s="81"/>
    </row>
    <row r="914" spans="4:34" ht="14.25" customHeight="1"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  <c r="S914" s="81"/>
      <c r="T914" s="81"/>
      <c r="U914" s="81"/>
      <c r="V914" s="81"/>
      <c r="W914" s="81"/>
      <c r="X914" s="81"/>
      <c r="Y914" s="81"/>
      <c r="Z914" s="81"/>
      <c r="AA914" s="81"/>
      <c r="AB914" s="81"/>
      <c r="AC914" s="81"/>
      <c r="AD914" s="81"/>
      <c r="AE914" s="81"/>
      <c r="AF914" s="81"/>
      <c r="AG914" s="81"/>
      <c r="AH914" s="81"/>
    </row>
    <row r="915" spans="4:34" ht="14.25" customHeight="1">
      <c r="D915" s="81"/>
      <c r="E915" s="81"/>
      <c r="F915" s="81"/>
      <c r="G915" s="81"/>
      <c r="H915" s="81"/>
      <c r="I915" s="81"/>
      <c r="J915" s="81"/>
      <c r="K915" s="81"/>
      <c r="L915" s="81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81"/>
      <c r="Y915" s="81"/>
      <c r="Z915" s="81"/>
      <c r="AA915" s="81"/>
      <c r="AB915" s="81"/>
      <c r="AC915" s="81"/>
      <c r="AD915" s="81"/>
      <c r="AE915" s="81"/>
      <c r="AF915" s="81"/>
      <c r="AG915" s="81"/>
      <c r="AH915" s="81"/>
    </row>
    <row r="916" spans="4:34" ht="14.25" customHeight="1">
      <c r="D916" s="81"/>
      <c r="E916" s="81"/>
      <c r="F916" s="81"/>
      <c r="G916" s="81"/>
      <c r="H916" s="81"/>
      <c r="I916" s="81"/>
      <c r="J916" s="81"/>
      <c r="K916" s="81"/>
      <c r="L916" s="81"/>
      <c r="M916" s="81"/>
      <c r="N916" s="81"/>
      <c r="O916" s="81"/>
      <c r="P916" s="81"/>
      <c r="Q916" s="81"/>
      <c r="R916" s="81"/>
      <c r="S916" s="81"/>
      <c r="T916" s="81"/>
      <c r="U916" s="81"/>
      <c r="V916" s="81"/>
      <c r="W916" s="81"/>
      <c r="X916" s="81"/>
      <c r="Y916" s="81"/>
      <c r="Z916" s="81"/>
      <c r="AA916" s="81"/>
      <c r="AB916" s="81"/>
      <c r="AC916" s="81"/>
      <c r="AD916" s="81"/>
      <c r="AE916" s="81"/>
      <c r="AF916" s="81"/>
      <c r="AG916" s="81"/>
      <c r="AH916" s="81"/>
    </row>
    <row r="917" spans="4:34" ht="14.25" customHeight="1">
      <c r="D917" s="81"/>
      <c r="E917" s="81"/>
      <c r="F917" s="81"/>
      <c r="G917" s="81"/>
      <c r="H917" s="81"/>
      <c r="I917" s="81"/>
      <c r="J917" s="81"/>
      <c r="K917" s="81"/>
      <c r="L917" s="81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81"/>
      <c r="Y917" s="81"/>
      <c r="Z917" s="81"/>
      <c r="AA917" s="81"/>
      <c r="AB917" s="81"/>
      <c r="AC917" s="81"/>
      <c r="AD917" s="81"/>
      <c r="AE917" s="81"/>
      <c r="AF917" s="81"/>
      <c r="AG917" s="81"/>
      <c r="AH917" s="81"/>
    </row>
    <row r="918" spans="4:34" ht="14.25" customHeight="1"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  <c r="S918" s="81"/>
      <c r="T918" s="81"/>
      <c r="U918" s="81"/>
      <c r="V918" s="81"/>
      <c r="W918" s="81"/>
      <c r="X918" s="81"/>
      <c r="Y918" s="81"/>
      <c r="Z918" s="81"/>
      <c r="AA918" s="81"/>
      <c r="AB918" s="81"/>
      <c r="AC918" s="81"/>
      <c r="AD918" s="81"/>
      <c r="AE918" s="81"/>
      <c r="AF918" s="81"/>
      <c r="AG918" s="81"/>
      <c r="AH918" s="81"/>
    </row>
    <row r="919" spans="4:34" ht="14.25" customHeight="1">
      <c r="D919" s="81"/>
      <c r="E919" s="81"/>
      <c r="F919" s="81"/>
      <c r="G919" s="81"/>
      <c r="H919" s="81"/>
      <c r="I919" s="81"/>
      <c r="J919" s="81"/>
      <c r="K919" s="81"/>
      <c r="L919" s="81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81"/>
      <c r="Y919" s="81"/>
      <c r="Z919" s="81"/>
      <c r="AA919" s="81"/>
      <c r="AB919" s="81"/>
      <c r="AC919" s="81"/>
      <c r="AD919" s="81"/>
      <c r="AE919" s="81"/>
      <c r="AF919" s="81"/>
      <c r="AG919" s="81"/>
      <c r="AH919" s="81"/>
    </row>
    <row r="920" spans="4:34" ht="14.25" customHeight="1">
      <c r="D920" s="81"/>
      <c r="E920" s="81"/>
      <c r="F920" s="81"/>
      <c r="G920" s="81"/>
      <c r="H920" s="81"/>
      <c r="I920" s="81"/>
      <c r="J920" s="81"/>
      <c r="K920" s="81"/>
      <c r="L920" s="81"/>
      <c r="M920" s="81"/>
      <c r="N920" s="81"/>
      <c r="O920" s="81"/>
      <c r="P920" s="81"/>
      <c r="Q920" s="81"/>
      <c r="R920" s="81"/>
      <c r="S920" s="81"/>
      <c r="T920" s="81"/>
      <c r="U920" s="81"/>
      <c r="V920" s="81"/>
      <c r="W920" s="81"/>
      <c r="X920" s="81"/>
      <c r="Y920" s="81"/>
      <c r="Z920" s="81"/>
      <c r="AA920" s="81"/>
      <c r="AB920" s="81"/>
      <c r="AC920" s="81"/>
      <c r="AD920" s="81"/>
      <c r="AE920" s="81"/>
      <c r="AF920" s="81"/>
      <c r="AG920" s="81"/>
      <c r="AH920" s="81"/>
    </row>
    <row r="921" spans="4:34" ht="14.25" customHeight="1">
      <c r="D921" s="81"/>
      <c r="E921" s="81"/>
      <c r="F921" s="81"/>
      <c r="G921" s="81"/>
      <c r="H921" s="81"/>
      <c r="I921" s="81"/>
      <c r="J921" s="81"/>
      <c r="K921" s="81"/>
      <c r="L921" s="81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81"/>
      <c r="Y921" s="81"/>
      <c r="Z921" s="81"/>
      <c r="AA921" s="81"/>
      <c r="AB921" s="81"/>
      <c r="AC921" s="81"/>
      <c r="AD921" s="81"/>
      <c r="AE921" s="81"/>
      <c r="AF921" s="81"/>
      <c r="AG921" s="81"/>
      <c r="AH921" s="81"/>
    </row>
    <row r="922" spans="4:34" ht="14.25" customHeight="1"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  <c r="S922" s="81"/>
      <c r="T922" s="81"/>
      <c r="U922" s="81"/>
      <c r="V922" s="81"/>
      <c r="W922" s="81"/>
      <c r="X922" s="81"/>
      <c r="Y922" s="81"/>
      <c r="Z922" s="81"/>
      <c r="AA922" s="81"/>
      <c r="AB922" s="81"/>
      <c r="AC922" s="81"/>
      <c r="AD922" s="81"/>
      <c r="AE922" s="81"/>
      <c r="AF922" s="81"/>
      <c r="AG922" s="81"/>
      <c r="AH922" s="81"/>
    </row>
    <row r="923" spans="4:34" ht="14.25" customHeight="1">
      <c r="D923" s="81"/>
      <c r="E923" s="81"/>
      <c r="F923" s="81"/>
      <c r="G923" s="81"/>
      <c r="H923" s="81"/>
      <c r="I923" s="81"/>
      <c r="J923" s="81"/>
      <c r="K923" s="81"/>
      <c r="L923" s="81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81"/>
      <c r="Y923" s="81"/>
      <c r="Z923" s="81"/>
      <c r="AA923" s="81"/>
      <c r="AB923" s="81"/>
      <c r="AC923" s="81"/>
      <c r="AD923" s="81"/>
      <c r="AE923" s="81"/>
      <c r="AF923" s="81"/>
      <c r="AG923" s="81"/>
      <c r="AH923" s="81"/>
    </row>
    <row r="924" spans="4:34" ht="14.25" customHeight="1">
      <c r="D924" s="81"/>
      <c r="E924" s="81"/>
      <c r="F924" s="81"/>
      <c r="G924" s="81"/>
      <c r="H924" s="81"/>
      <c r="I924" s="81"/>
      <c r="J924" s="81"/>
      <c r="K924" s="81"/>
      <c r="L924" s="81"/>
      <c r="M924" s="81"/>
      <c r="N924" s="81"/>
      <c r="O924" s="81"/>
      <c r="P924" s="81"/>
      <c r="Q924" s="81"/>
      <c r="R924" s="81"/>
      <c r="S924" s="81"/>
      <c r="T924" s="81"/>
      <c r="U924" s="81"/>
      <c r="V924" s="81"/>
      <c r="W924" s="81"/>
      <c r="X924" s="81"/>
      <c r="Y924" s="81"/>
      <c r="Z924" s="81"/>
      <c r="AA924" s="81"/>
      <c r="AB924" s="81"/>
      <c r="AC924" s="81"/>
      <c r="AD924" s="81"/>
      <c r="AE924" s="81"/>
      <c r="AF924" s="81"/>
      <c r="AG924" s="81"/>
      <c r="AH924" s="81"/>
    </row>
    <row r="925" spans="4:34" ht="14.25" customHeight="1">
      <c r="D925" s="81"/>
      <c r="E925" s="81"/>
      <c r="F925" s="81"/>
      <c r="G925" s="81"/>
      <c r="H925" s="81"/>
      <c r="I925" s="81"/>
      <c r="J925" s="81"/>
      <c r="K925" s="81"/>
      <c r="L925" s="81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81"/>
      <c r="Y925" s="81"/>
      <c r="Z925" s="81"/>
      <c r="AA925" s="81"/>
      <c r="AB925" s="81"/>
      <c r="AC925" s="81"/>
      <c r="AD925" s="81"/>
      <c r="AE925" s="81"/>
      <c r="AF925" s="81"/>
      <c r="AG925" s="81"/>
      <c r="AH925" s="81"/>
    </row>
    <row r="926" spans="4:34" ht="14.25" customHeight="1"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  <c r="S926" s="81"/>
      <c r="T926" s="81"/>
      <c r="U926" s="81"/>
      <c r="V926" s="81"/>
      <c r="W926" s="81"/>
      <c r="X926" s="81"/>
      <c r="Y926" s="81"/>
      <c r="Z926" s="81"/>
      <c r="AA926" s="81"/>
      <c r="AB926" s="81"/>
      <c r="AC926" s="81"/>
      <c r="AD926" s="81"/>
      <c r="AE926" s="81"/>
      <c r="AF926" s="81"/>
      <c r="AG926" s="81"/>
      <c r="AH926" s="81"/>
    </row>
    <row r="927" spans="4:34" ht="14.25" customHeight="1">
      <c r="D927" s="81"/>
      <c r="E927" s="81"/>
      <c r="F927" s="81"/>
      <c r="G927" s="81"/>
      <c r="H927" s="81"/>
      <c r="I927" s="81"/>
      <c r="J927" s="81"/>
      <c r="K927" s="81"/>
      <c r="L927" s="81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81"/>
      <c r="Y927" s="81"/>
      <c r="Z927" s="81"/>
      <c r="AA927" s="81"/>
      <c r="AB927" s="81"/>
      <c r="AC927" s="81"/>
      <c r="AD927" s="81"/>
      <c r="AE927" s="81"/>
      <c r="AF927" s="81"/>
      <c r="AG927" s="81"/>
      <c r="AH927" s="81"/>
    </row>
    <row r="928" spans="4:34" ht="14.25" customHeight="1">
      <c r="D928" s="81"/>
      <c r="E928" s="81"/>
      <c r="F928" s="81"/>
      <c r="G928" s="81"/>
      <c r="H928" s="81"/>
      <c r="I928" s="81"/>
      <c r="J928" s="81"/>
      <c r="K928" s="81"/>
      <c r="L928" s="81"/>
      <c r="M928" s="81"/>
      <c r="N928" s="81"/>
      <c r="O928" s="81"/>
      <c r="P928" s="81"/>
      <c r="Q928" s="81"/>
      <c r="R928" s="81"/>
      <c r="S928" s="81"/>
      <c r="T928" s="81"/>
      <c r="U928" s="81"/>
      <c r="V928" s="81"/>
      <c r="W928" s="81"/>
      <c r="X928" s="81"/>
      <c r="Y928" s="81"/>
      <c r="Z928" s="81"/>
      <c r="AA928" s="81"/>
      <c r="AB928" s="81"/>
      <c r="AC928" s="81"/>
      <c r="AD928" s="81"/>
      <c r="AE928" s="81"/>
      <c r="AF928" s="81"/>
      <c r="AG928" s="81"/>
      <c r="AH928" s="81"/>
    </row>
    <row r="929" spans="4:34" ht="14.25" customHeight="1">
      <c r="D929" s="81"/>
      <c r="E929" s="81"/>
      <c r="F929" s="81"/>
      <c r="G929" s="81"/>
      <c r="H929" s="81"/>
      <c r="I929" s="81"/>
      <c r="J929" s="81"/>
      <c r="K929" s="81"/>
      <c r="L929" s="81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81"/>
      <c r="Y929" s="81"/>
      <c r="Z929" s="81"/>
      <c r="AA929" s="81"/>
      <c r="AB929" s="81"/>
      <c r="AC929" s="81"/>
      <c r="AD929" s="81"/>
      <c r="AE929" s="81"/>
      <c r="AF929" s="81"/>
      <c r="AG929" s="81"/>
      <c r="AH929" s="81"/>
    </row>
    <row r="930" spans="4:34" ht="14.25" customHeight="1"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  <c r="S930" s="81"/>
      <c r="T930" s="81"/>
      <c r="U930" s="81"/>
      <c r="V930" s="81"/>
      <c r="W930" s="81"/>
      <c r="X930" s="81"/>
      <c r="Y930" s="81"/>
      <c r="Z930" s="81"/>
      <c r="AA930" s="81"/>
      <c r="AB930" s="81"/>
      <c r="AC930" s="81"/>
      <c r="AD930" s="81"/>
      <c r="AE930" s="81"/>
      <c r="AF930" s="81"/>
      <c r="AG930" s="81"/>
      <c r="AH930" s="81"/>
    </row>
    <row r="931" spans="4:34" ht="14.25" customHeight="1">
      <c r="D931" s="81"/>
      <c r="E931" s="81"/>
      <c r="F931" s="81"/>
      <c r="G931" s="81"/>
      <c r="H931" s="81"/>
      <c r="I931" s="81"/>
      <c r="J931" s="81"/>
      <c r="K931" s="81"/>
      <c r="L931" s="81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81"/>
      <c r="Y931" s="81"/>
      <c r="Z931" s="81"/>
      <c r="AA931" s="81"/>
      <c r="AB931" s="81"/>
      <c r="AC931" s="81"/>
      <c r="AD931" s="81"/>
      <c r="AE931" s="81"/>
      <c r="AF931" s="81"/>
      <c r="AG931" s="81"/>
      <c r="AH931" s="81"/>
    </row>
    <row r="932" spans="4:34" ht="14.25" customHeight="1">
      <c r="D932" s="81"/>
      <c r="E932" s="81"/>
      <c r="F932" s="81"/>
      <c r="G932" s="81"/>
      <c r="H932" s="81"/>
      <c r="I932" s="81"/>
      <c r="J932" s="81"/>
      <c r="K932" s="81"/>
      <c r="L932" s="81"/>
      <c r="M932" s="81"/>
      <c r="N932" s="81"/>
      <c r="O932" s="81"/>
      <c r="P932" s="81"/>
      <c r="Q932" s="81"/>
      <c r="R932" s="81"/>
      <c r="S932" s="81"/>
      <c r="T932" s="81"/>
      <c r="U932" s="81"/>
      <c r="V932" s="81"/>
      <c r="W932" s="81"/>
      <c r="X932" s="81"/>
      <c r="Y932" s="81"/>
      <c r="Z932" s="81"/>
      <c r="AA932" s="81"/>
      <c r="AB932" s="81"/>
      <c r="AC932" s="81"/>
      <c r="AD932" s="81"/>
      <c r="AE932" s="81"/>
      <c r="AF932" s="81"/>
      <c r="AG932" s="81"/>
      <c r="AH932" s="81"/>
    </row>
    <row r="933" spans="4:34" ht="14.25" customHeight="1">
      <c r="D933" s="81"/>
      <c r="E933" s="81"/>
      <c r="F933" s="81"/>
      <c r="G933" s="81"/>
      <c r="H933" s="81"/>
      <c r="I933" s="81"/>
      <c r="J933" s="81"/>
      <c r="K933" s="81"/>
      <c r="L933" s="81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81"/>
      <c r="Y933" s="81"/>
      <c r="Z933" s="81"/>
      <c r="AA933" s="81"/>
      <c r="AB933" s="81"/>
      <c r="AC933" s="81"/>
      <c r="AD933" s="81"/>
      <c r="AE933" s="81"/>
      <c r="AF933" s="81"/>
      <c r="AG933" s="81"/>
      <c r="AH933" s="81"/>
    </row>
    <row r="934" spans="4:34" ht="14.25" customHeight="1"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  <c r="S934" s="81"/>
      <c r="T934" s="81"/>
      <c r="U934" s="81"/>
      <c r="V934" s="81"/>
      <c r="W934" s="81"/>
      <c r="X934" s="81"/>
      <c r="Y934" s="81"/>
      <c r="Z934" s="81"/>
      <c r="AA934" s="81"/>
      <c r="AB934" s="81"/>
      <c r="AC934" s="81"/>
      <c r="AD934" s="81"/>
      <c r="AE934" s="81"/>
      <c r="AF934" s="81"/>
      <c r="AG934" s="81"/>
      <c r="AH934" s="81"/>
    </row>
    <row r="935" spans="4:34" ht="14.25" customHeight="1">
      <c r="D935" s="81"/>
      <c r="E935" s="81"/>
      <c r="F935" s="81"/>
      <c r="G935" s="81"/>
      <c r="H935" s="81"/>
      <c r="I935" s="81"/>
      <c r="J935" s="81"/>
      <c r="K935" s="81"/>
      <c r="L935" s="81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81"/>
      <c r="Y935" s="81"/>
      <c r="Z935" s="81"/>
      <c r="AA935" s="81"/>
      <c r="AB935" s="81"/>
      <c r="AC935" s="81"/>
      <c r="AD935" s="81"/>
      <c r="AE935" s="81"/>
      <c r="AF935" s="81"/>
      <c r="AG935" s="81"/>
      <c r="AH935" s="81"/>
    </row>
    <row r="936" spans="4:34" ht="14.25" customHeight="1">
      <c r="D936" s="81"/>
      <c r="E936" s="81"/>
      <c r="F936" s="81"/>
      <c r="G936" s="81"/>
      <c r="H936" s="81"/>
      <c r="I936" s="81"/>
      <c r="J936" s="81"/>
      <c r="K936" s="81"/>
      <c r="L936" s="81"/>
      <c r="M936" s="81"/>
      <c r="N936" s="81"/>
      <c r="O936" s="81"/>
      <c r="P936" s="81"/>
      <c r="Q936" s="81"/>
      <c r="R936" s="81"/>
      <c r="S936" s="81"/>
      <c r="T936" s="81"/>
      <c r="U936" s="81"/>
      <c r="V936" s="81"/>
      <c r="W936" s="81"/>
      <c r="X936" s="81"/>
      <c r="Y936" s="81"/>
      <c r="Z936" s="81"/>
      <c r="AA936" s="81"/>
      <c r="AB936" s="81"/>
      <c r="AC936" s="81"/>
      <c r="AD936" s="81"/>
      <c r="AE936" s="81"/>
      <c r="AF936" s="81"/>
      <c r="AG936" s="81"/>
      <c r="AH936" s="81"/>
    </row>
    <row r="937" spans="4:34" ht="14.25" customHeight="1">
      <c r="D937" s="81"/>
      <c r="E937" s="81"/>
      <c r="F937" s="81"/>
      <c r="G937" s="81"/>
      <c r="H937" s="81"/>
      <c r="I937" s="81"/>
      <c r="J937" s="81"/>
      <c r="K937" s="81"/>
      <c r="L937" s="81"/>
      <c r="M937" s="81"/>
      <c r="N937" s="81"/>
      <c r="O937" s="81"/>
      <c r="P937" s="81"/>
      <c r="Q937" s="81"/>
      <c r="R937" s="81"/>
      <c r="S937" s="81"/>
      <c r="T937" s="81"/>
      <c r="U937" s="81"/>
      <c r="V937" s="81"/>
      <c r="W937" s="81"/>
      <c r="X937" s="81"/>
      <c r="Y937" s="81"/>
      <c r="Z937" s="81"/>
      <c r="AA937" s="81"/>
      <c r="AB937" s="81"/>
      <c r="AC937" s="81"/>
      <c r="AD937" s="81"/>
      <c r="AE937" s="81"/>
      <c r="AF937" s="81"/>
      <c r="AG937" s="81"/>
      <c r="AH937" s="81"/>
    </row>
    <row r="938" spans="4:34" ht="14.25" customHeight="1"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  <c r="S938" s="81"/>
      <c r="T938" s="81"/>
      <c r="U938" s="81"/>
      <c r="V938" s="81"/>
      <c r="W938" s="81"/>
      <c r="X938" s="81"/>
      <c r="Y938" s="81"/>
      <c r="Z938" s="81"/>
      <c r="AA938" s="81"/>
      <c r="AB938" s="81"/>
      <c r="AC938" s="81"/>
      <c r="AD938" s="81"/>
      <c r="AE938" s="81"/>
      <c r="AF938" s="81"/>
      <c r="AG938" s="81"/>
      <c r="AH938" s="81"/>
    </row>
    <row r="939" spans="4:34" ht="14.25" customHeight="1">
      <c r="D939" s="81"/>
      <c r="E939" s="81"/>
      <c r="F939" s="81"/>
      <c r="G939" s="81"/>
      <c r="H939" s="81"/>
      <c r="I939" s="81"/>
      <c r="J939" s="81"/>
      <c r="K939" s="81"/>
      <c r="L939" s="81"/>
      <c r="M939" s="81"/>
      <c r="N939" s="81"/>
      <c r="O939" s="81"/>
      <c r="P939" s="81"/>
      <c r="Q939" s="81"/>
      <c r="R939" s="81"/>
      <c r="S939" s="81"/>
      <c r="T939" s="81"/>
      <c r="U939" s="81"/>
      <c r="V939" s="81"/>
      <c r="W939" s="81"/>
      <c r="X939" s="81"/>
      <c r="Y939" s="81"/>
      <c r="Z939" s="81"/>
      <c r="AA939" s="81"/>
      <c r="AB939" s="81"/>
      <c r="AC939" s="81"/>
      <c r="AD939" s="81"/>
      <c r="AE939" s="81"/>
      <c r="AF939" s="81"/>
      <c r="AG939" s="81"/>
      <c r="AH939" s="81"/>
    </row>
    <row r="940" spans="4:34" ht="14.25" customHeight="1">
      <c r="D940" s="81"/>
      <c r="E940" s="81"/>
      <c r="F940" s="81"/>
      <c r="G940" s="81"/>
      <c r="H940" s="81"/>
      <c r="I940" s="81"/>
      <c r="J940" s="81"/>
      <c r="K940" s="81"/>
      <c r="L940" s="81"/>
      <c r="M940" s="81"/>
      <c r="N940" s="81"/>
      <c r="O940" s="81"/>
      <c r="P940" s="81"/>
      <c r="Q940" s="81"/>
      <c r="R940" s="81"/>
      <c r="S940" s="81"/>
      <c r="T940" s="81"/>
      <c r="U940" s="81"/>
      <c r="V940" s="81"/>
      <c r="W940" s="81"/>
      <c r="X940" s="81"/>
      <c r="Y940" s="81"/>
      <c r="Z940" s="81"/>
      <c r="AA940" s="81"/>
      <c r="AB940" s="81"/>
      <c r="AC940" s="81"/>
      <c r="AD940" s="81"/>
      <c r="AE940" s="81"/>
      <c r="AF940" s="81"/>
      <c r="AG940" s="81"/>
      <c r="AH940" s="81"/>
    </row>
    <row r="941" spans="4:34" ht="14.25" customHeight="1">
      <c r="D941" s="81"/>
      <c r="E941" s="81"/>
      <c r="F941" s="81"/>
      <c r="G941" s="81"/>
      <c r="H941" s="81"/>
      <c r="I941" s="81"/>
      <c r="J941" s="81"/>
      <c r="K941" s="81"/>
      <c r="L941" s="81"/>
      <c r="M941" s="81"/>
      <c r="N941" s="81"/>
      <c r="O941" s="81"/>
      <c r="P941" s="81"/>
      <c r="Q941" s="81"/>
      <c r="R941" s="81"/>
      <c r="S941" s="81"/>
      <c r="T941" s="81"/>
      <c r="U941" s="81"/>
      <c r="V941" s="81"/>
      <c r="W941" s="81"/>
      <c r="X941" s="81"/>
      <c r="Y941" s="81"/>
      <c r="Z941" s="81"/>
      <c r="AA941" s="81"/>
      <c r="AB941" s="81"/>
      <c r="AC941" s="81"/>
      <c r="AD941" s="81"/>
      <c r="AE941" s="81"/>
      <c r="AF941" s="81"/>
      <c r="AG941" s="81"/>
      <c r="AH941" s="81"/>
    </row>
    <row r="942" spans="4:34" ht="14.25" customHeight="1"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  <c r="S942" s="81"/>
      <c r="T942" s="81"/>
      <c r="U942" s="81"/>
      <c r="V942" s="81"/>
      <c r="W942" s="81"/>
      <c r="X942" s="81"/>
      <c r="Y942" s="81"/>
      <c r="Z942" s="81"/>
      <c r="AA942" s="81"/>
      <c r="AB942" s="81"/>
      <c r="AC942" s="81"/>
      <c r="AD942" s="81"/>
      <c r="AE942" s="81"/>
      <c r="AF942" s="81"/>
      <c r="AG942" s="81"/>
      <c r="AH942" s="81"/>
    </row>
    <row r="943" spans="4:34" ht="14.25" customHeight="1">
      <c r="D943" s="81"/>
      <c r="E943" s="81"/>
      <c r="F943" s="81"/>
      <c r="G943" s="81"/>
      <c r="H943" s="81"/>
      <c r="I943" s="81"/>
      <c r="J943" s="81"/>
      <c r="K943" s="81"/>
      <c r="L943" s="81"/>
      <c r="M943" s="81"/>
      <c r="N943" s="81"/>
      <c r="O943" s="81"/>
      <c r="P943" s="81"/>
      <c r="Q943" s="81"/>
      <c r="R943" s="81"/>
      <c r="S943" s="81"/>
      <c r="T943" s="81"/>
      <c r="U943" s="81"/>
      <c r="V943" s="81"/>
      <c r="W943" s="81"/>
      <c r="X943" s="81"/>
      <c r="Y943" s="81"/>
      <c r="Z943" s="81"/>
      <c r="AA943" s="81"/>
      <c r="AB943" s="81"/>
      <c r="AC943" s="81"/>
      <c r="AD943" s="81"/>
      <c r="AE943" s="81"/>
      <c r="AF943" s="81"/>
      <c r="AG943" s="81"/>
      <c r="AH943" s="81"/>
    </row>
    <row r="944" spans="4:34" ht="14.25" customHeight="1">
      <c r="D944" s="81"/>
      <c r="E944" s="81"/>
      <c r="F944" s="81"/>
      <c r="G944" s="81"/>
      <c r="H944" s="81"/>
      <c r="I944" s="81"/>
      <c r="J944" s="81"/>
      <c r="K944" s="81"/>
      <c r="L944" s="81"/>
      <c r="M944" s="81"/>
      <c r="N944" s="81"/>
      <c r="O944" s="81"/>
      <c r="P944" s="81"/>
      <c r="Q944" s="81"/>
      <c r="R944" s="81"/>
      <c r="S944" s="81"/>
      <c r="T944" s="81"/>
      <c r="U944" s="81"/>
      <c r="V944" s="81"/>
      <c r="W944" s="81"/>
      <c r="X944" s="81"/>
      <c r="Y944" s="81"/>
      <c r="Z944" s="81"/>
      <c r="AA944" s="81"/>
      <c r="AB944" s="81"/>
      <c r="AC944" s="81"/>
      <c r="AD944" s="81"/>
      <c r="AE944" s="81"/>
      <c r="AF944" s="81"/>
      <c r="AG944" s="81"/>
      <c r="AH944" s="81"/>
    </row>
    <row r="945" spans="4:34" ht="14.25" customHeight="1">
      <c r="D945" s="81"/>
      <c r="E945" s="81"/>
      <c r="F945" s="81"/>
      <c r="G945" s="81"/>
      <c r="H945" s="81"/>
      <c r="I945" s="81"/>
      <c r="J945" s="81"/>
      <c r="K945" s="81"/>
      <c r="L945" s="81"/>
      <c r="M945" s="81"/>
      <c r="N945" s="81"/>
      <c r="O945" s="81"/>
      <c r="P945" s="81"/>
      <c r="Q945" s="81"/>
      <c r="R945" s="81"/>
      <c r="S945" s="81"/>
      <c r="T945" s="81"/>
      <c r="U945" s="81"/>
      <c r="V945" s="81"/>
      <c r="W945" s="81"/>
      <c r="X945" s="81"/>
      <c r="Y945" s="81"/>
      <c r="Z945" s="81"/>
      <c r="AA945" s="81"/>
      <c r="AB945" s="81"/>
      <c r="AC945" s="81"/>
      <c r="AD945" s="81"/>
      <c r="AE945" s="81"/>
      <c r="AF945" s="81"/>
      <c r="AG945" s="81"/>
      <c r="AH945" s="81"/>
    </row>
    <row r="946" spans="4:34" ht="14.25" customHeight="1"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  <c r="S946" s="81"/>
      <c r="T946" s="81"/>
      <c r="U946" s="81"/>
      <c r="V946" s="81"/>
      <c r="W946" s="81"/>
      <c r="X946" s="81"/>
      <c r="Y946" s="81"/>
      <c r="Z946" s="81"/>
      <c r="AA946" s="81"/>
      <c r="AB946" s="81"/>
      <c r="AC946" s="81"/>
      <c r="AD946" s="81"/>
      <c r="AE946" s="81"/>
      <c r="AF946" s="81"/>
      <c r="AG946" s="81"/>
      <c r="AH946" s="81"/>
    </row>
    <row r="947" spans="4:34" ht="14.25" customHeight="1">
      <c r="D947" s="81"/>
      <c r="E947" s="81"/>
      <c r="F947" s="81"/>
      <c r="G947" s="81"/>
      <c r="H947" s="81"/>
      <c r="I947" s="81"/>
      <c r="J947" s="81"/>
      <c r="K947" s="81"/>
      <c r="L947" s="81"/>
      <c r="M947" s="81"/>
      <c r="N947" s="81"/>
      <c r="O947" s="81"/>
      <c r="P947" s="81"/>
      <c r="Q947" s="81"/>
      <c r="R947" s="81"/>
      <c r="S947" s="81"/>
      <c r="T947" s="81"/>
      <c r="U947" s="81"/>
      <c r="V947" s="81"/>
      <c r="W947" s="81"/>
      <c r="X947" s="81"/>
      <c r="Y947" s="81"/>
      <c r="Z947" s="81"/>
      <c r="AA947" s="81"/>
      <c r="AB947" s="81"/>
      <c r="AC947" s="81"/>
      <c r="AD947" s="81"/>
      <c r="AE947" s="81"/>
      <c r="AF947" s="81"/>
      <c r="AG947" s="81"/>
      <c r="AH947" s="81"/>
    </row>
    <row r="948" spans="4:34" ht="14.25" customHeight="1">
      <c r="D948" s="81"/>
      <c r="E948" s="81"/>
      <c r="F948" s="81"/>
      <c r="G948" s="81"/>
      <c r="H948" s="81"/>
      <c r="I948" s="81"/>
      <c r="J948" s="81"/>
      <c r="K948" s="81"/>
      <c r="L948" s="81"/>
      <c r="M948" s="81"/>
      <c r="N948" s="81"/>
      <c r="O948" s="81"/>
      <c r="P948" s="81"/>
      <c r="Q948" s="81"/>
      <c r="R948" s="81"/>
      <c r="S948" s="81"/>
      <c r="T948" s="81"/>
      <c r="U948" s="81"/>
      <c r="V948" s="81"/>
      <c r="W948" s="81"/>
      <c r="X948" s="81"/>
      <c r="Y948" s="81"/>
      <c r="Z948" s="81"/>
      <c r="AA948" s="81"/>
      <c r="AB948" s="81"/>
      <c r="AC948" s="81"/>
      <c r="AD948" s="81"/>
      <c r="AE948" s="81"/>
      <c r="AF948" s="81"/>
      <c r="AG948" s="81"/>
      <c r="AH948" s="81"/>
    </row>
    <row r="949" spans="4:34" ht="14.25" customHeight="1">
      <c r="D949" s="81"/>
      <c r="E949" s="81"/>
      <c r="F949" s="81"/>
      <c r="G949" s="81"/>
      <c r="H949" s="81"/>
      <c r="I949" s="81"/>
      <c r="J949" s="81"/>
      <c r="K949" s="81"/>
      <c r="L949" s="81"/>
      <c r="M949" s="81"/>
      <c r="N949" s="81"/>
      <c r="O949" s="81"/>
      <c r="P949" s="81"/>
      <c r="Q949" s="81"/>
      <c r="R949" s="81"/>
      <c r="S949" s="81"/>
      <c r="T949" s="81"/>
      <c r="U949" s="81"/>
      <c r="V949" s="81"/>
      <c r="W949" s="81"/>
      <c r="X949" s="81"/>
      <c r="Y949" s="81"/>
      <c r="Z949" s="81"/>
      <c r="AA949" s="81"/>
      <c r="AB949" s="81"/>
      <c r="AC949" s="81"/>
      <c r="AD949" s="81"/>
      <c r="AE949" s="81"/>
      <c r="AF949" s="81"/>
      <c r="AG949" s="81"/>
      <c r="AH949" s="81"/>
    </row>
    <row r="950" spans="4:34" ht="14.25" customHeight="1"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  <c r="S950" s="81"/>
      <c r="T950" s="81"/>
      <c r="U950" s="81"/>
      <c r="V950" s="81"/>
      <c r="W950" s="81"/>
      <c r="X950" s="81"/>
      <c r="Y950" s="81"/>
      <c r="Z950" s="81"/>
      <c r="AA950" s="81"/>
      <c r="AB950" s="81"/>
      <c r="AC950" s="81"/>
      <c r="AD950" s="81"/>
      <c r="AE950" s="81"/>
      <c r="AF950" s="81"/>
      <c r="AG950" s="81"/>
      <c r="AH950" s="81"/>
    </row>
    <row r="951" spans="4:34" ht="14.25" customHeight="1">
      <c r="D951" s="81"/>
      <c r="E951" s="81"/>
      <c r="F951" s="81"/>
      <c r="G951" s="81"/>
      <c r="H951" s="81"/>
      <c r="I951" s="81"/>
      <c r="J951" s="81"/>
      <c r="K951" s="81"/>
      <c r="L951" s="81"/>
      <c r="M951" s="81"/>
      <c r="N951" s="81"/>
      <c r="O951" s="81"/>
      <c r="P951" s="81"/>
      <c r="Q951" s="81"/>
      <c r="R951" s="81"/>
      <c r="S951" s="81"/>
      <c r="T951" s="81"/>
      <c r="U951" s="81"/>
      <c r="V951" s="81"/>
      <c r="W951" s="81"/>
      <c r="X951" s="81"/>
      <c r="Y951" s="81"/>
      <c r="Z951" s="81"/>
      <c r="AA951" s="81"/>
      <c r="AB951" s="81"/>
      <c r="AC951" s="81"/>
      <c r="AD951" s="81"/>
      <c r="AE951" s="81"/>
      <c r="AF951" s="81"/>
      <c r="AG951" s="81"/>
      <c r="AH951" s="81"/>
    </row>
    <row r="952" spans="4:34" ht="14.25" customHeight="1">
      <c r="D952" s="81"/>
      <c r="E952" s="81"/>
      <c r="F952" s="81"/>
      <c r="G952" s="81"/>
      <c r="H952" s="81"/>
      <c r="I952" s="81"/>
      <c r="J952" s="81"/>
      <c r="K952" s="81"/>
      <c r="L952" s="81"/>
      <c r="M952" s="81"/>
      <c r="N952" s="81"/>
      <c r="O952" s="81"/>
      <c r="P952" s="81"/>
      <c r="Q952" s="81"/>
      <c r="R952" s="81"/>
      <c r="S952" s="81"/>
      <c r="T952" s="81"/>
      <c r="U952" s="81"/>
      <c r="V952" s="81"/>
      <c r="W952" s="81"/>
      <c r="X952" s="81"/>
      <c r="Y952" s="81"/>
      <c r="Z952" s="81"/>
      <c r="AA952" s="81"/>
      <c r="AB952" s="81"/>
      <c r="AC952" s="81"/>
      <c r="AD952" s="81"/>
      <c r="AE952" s="81"/>
      <c r="AF952" s="81"/>
      <c r="AG952" s="81"/>
      <c r="AH952" s="81"/>
    </row>
    <row r="953" spans="4:34" ht="14.25" customHeight="1">
      <c r="D953" s="81"/>
      <c r="E953" s="81"/>
      <c r="F953" s="81"/>
      <c r="G953" s="81"/>
      <c r="H953" s="81"/>
      <c r="I953" s="81"/>
      <c r="J953" s="81"/>
      <c r="K953" s="81"/>
      <c r="L953" s="81"/>
      <c r="M953" s="81"/>
      <c r="N953" s="81"/>
      <c r="O953" s="81"/>
      <c r="P953" s="81"/>
      <c r="Q953" s="81"/>
      <c r="R953" s="81"/>
      <c r="S953" s="81"/>
      <c r="T953" s="81"/>
      <c r="U953" s="81"/>
      <c r="V953" s="81"/>
      <c r="W953" s="81"/>
      <c r="X953" s="81"/>
      <c r="Y953" s="81"/>
      <c r="Z953" s="81"/>
      <c r="AA953" s="81"/>
      <c r="AB953" s="81"/>
      <c r="AC953" s="81"/>
      <c r="AD953" s="81"/>
      <c r="AE953" s="81"/>
      <c r="AF953" s="81"/>
      <c r="AG953" s="81"/>
      <c r="AH953" s="81"/>
    </row>
    <row r="954" spans="4:34" ht="14.25" customHeight="1"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  <c r="S954" s="81"/>
      <c r="T954" s="81"/>
      <c r="U954" s="81"/>
      <c r="V954" s="81"/>
      <c r="W954" s="81"/>
      <c r="X954" s="81"/>
      <c r="Y954" s="81"/>
      <c r="Z954" s="81"/>
      <c r="AA954" s="81"/>
      <c r="AB954" s="81"/>
      <c r="AC954" s="81"/>
      <c r="AD954" s="81"/>
      <c r="AE954" s="81"/>
      <c r="AF954" s="81"/>
      <c r="AG954" s="81"/>
      <c r="AH954" s="81"/>
    </row>
    <row r="955" spans="4:34" ht="14.25" customHeight="1">
      <c r="D955" s="81"/>
      <c r="E955" s="81"/>
      <c r="F955" s="81"/>
      <c r="G955" s="81"/>
      <c r="H955" s="81"/>
      <c r="I955" s="81"/>
      <c r="J955" s="81"/>
      <c r="K955" s="81"/>
      <c r="L955" s="81"/>
      <c r="M955" s="81"/>
      <c r="N955" s="81"/>
      <c r="O955" s="81"/>
      <c r="P955" s="81"/>
      <c r="Q955" s="81"/>
      <c r="R955" s="81"/>
      <c r="S955" s="81"/>
      <c r="T955" s="81"/>
      <c r="U955" s="81"/>
      <c r="V955" s="81"/>
      <c r="W955" s="81"/>
      <c r="X955" s="81"/>
      <c r="Y955" s="81"/>
      <c r="Z955" s="81"/>
      <c r="AA955" s="81"/>
      <c r="AB955" s="81"/>
      <c r="AC955" s="81"/>
      <c r="AD955" s="81"/>
      <c r="AE955" s="81"/>
      <c r="AF955" s="81"/>
      <c r="AG955" s="81"/>
      <c r="AH955" s="81"/>
    </row>
    <row r="956" spans="4:34" ht="14.25" customHeight="1">
      <c r="D956" s="81"/>
      <c r="E956" s="81"/>
      <c r="F956" s="81"/>
      <c r="G956" s="81"/>
      <c r="H956" s="81"/>
      <c r="I956" s="81"/>
      <c r="J956" s="81"/>
      <c r="K956" s="81"/>
      <c r="L956" s="81"/>
      <c r="M956" s="81"/>
      <c r="N956" s="81"/>
      <c r="O956" s="81"/>
      <c r="P956" s="81"/>
      <c r="Q956" s="81"/>
      <c r="R956" s="81"/>
      <c r="S956" s="81"/>
      <c r="T956" s="81"/>
      <c r="U956" s="81"/>
      <c r="V956" s="81"/>
      <c r="W956" s="81"/>
      <c r="X956" s="81"/>
      <c r="Y956" s="81"/>
      <c r="Z956" s="81"/>
      <c r="AA956" s="81"/>
      <c r="AB956" s="81"/>
      <c r="AC956" s="81"/>
      <c r="AD956" s="81"/>
      <c r="AE956" s="81"/>
      <c r="AF956" s="81"/>
      <c r="AG956" s="81"/>
      <c r="AH956" s="81"/>
    </row>
    <row r="957" spans="4:34" ht="14.25" customHeight="1">
      <c r="D957" s="81"/>
      <c r="E957" s="81"/>
      <c r="F957" s="81"/>
      <c r="G957" s="81"/>
      <c r="H957" s="81"/>
      <c r="I957" s="81"/>
      <c r="J957" s="81"/>
      <c r="K957" s="81"/>
      <c r="L957" s="81"/>
      <c r="M957" s="81"/>
      <c r="N957" s="81"/>
      <c r="O957" s="81"/>
      <c r="P957" s="81"/>
      <c r="Q957" s="81"/>
      <c r="R957" s="81"/>
      <c r="S957" s="81"/>
      <c r="T957" s="81"/>
      <c r="U957" s="81"/>
      <c r="V957" s="81"/>
      <c r="W957" s="81"/>
      <c r="X957" s="81"/>
      <c r="Y957" s="81"/>
      <c r="Z957" s="81"/>
      <c r="AA957" s="81"/>
      <c r="AB957" s="81"/>
      <c r="AC957" s="81"/>
      <c r="AD957" s="81"/>
      <c r="AE957" s="81"/>
      <c r="AF957" s="81"/>
      <c r="AG957" s="81"/>
      <c r="AH957" s="81"/>
    </row>
    <row r="958" spans="4:34" ht="14.25" customHeight="1"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  <c r="S958" s="81"/>
      <c r="T958" s="81"/>
      <c r="U958" s="81"/>
      <c r="V958" s="81"/>
      <c r="W958" s="81"/>
      <c r="X958" s="81"/>
      <c r="Y958" s="81"/>
      <c r="Z958" s="81"/>
      <c r="AA958" s="81"/>
      <c r="AB958" s="81"/>
      <c r="AC958" s="81"/>
      <c r="AD958" s="81"/>
      <c r="AE958" s="81"/>
      <c r="AF958" s="81"/>
      <c r="AG958" s="81"/>
      <c r="AH958" s="81"/>
    </row>
    <row r="959" spans="4:34" ht="14.25" customHeight="1">
      <c r="D959" s="81"/>
      <c r="E959" s="81"/>
      <c r="F959" s="81"/>
      <c r="G959" s="81"/>
      <c r="H959" s="81"/>
      <c r="I959" s="81"/>
      <c r="J959" s="81"/>
      <c r="K959" s="81"/>
      <c r="L959" s="81"/>
      <c r="M959" s="81"/>
      <c r="N959" s="81"/>
      <c r="O959" s="81"/>
      <c r="P959" s="81"/>
      <c r="Q959" s="81"/>
      <c r="R959" s="81"/>
      <c r="S959" s="81"/>
      <c r="T959" s="81"/>
      <c r="U959" s="81"/>
      <c r="V959" s="81"/>
      <c r="W959" s="81"/>
      <c r="X959" s="81"/>
      <c r="Y959" s="81"/>
      <c r="Z959" s="81"/>
      <c r="AA959" s="81"/>
      <c r="AB959" s="81"/>
      <c r="AC959" s="81"/>
      <c r="AD959" s="81"/>
      <c r="AE959" s="81"/>
      <c r="AF959" s="81"/>
      <c r="AG959" s="81"/>
      <c r="AH959" s="81"/>
    </row>
    <row r="960" spans="4:34" ht="14.25" customHeight="1">
      <c r="D960" s="81"/>
      <c r="E960" s="81"/>
      <c r="F960" s="81"/>
      <c r="G960" s="81"/>
      <c r="H960" s="81"/>
      <c r="I960" s="81"/>
      <c r="J960" s="81"/>
      <c r="K960" s="81"/>
      <c r="L960" s="81"/>
      <c r="M960" s="81"/>
      <c r="N960" s="81"/>
      <c r="O960" s="81"/>
      <c r="P960" s="81"/>
      <c r="Q960" s="81"/>
      <c r="R960" s="81"/>
      <c r="S960" s="81"/>
      <c r="T960" s="81"/>
      <c r="U960" s="81"/>
      <c r="V960" s="81"/>
      <c r="W960" s="81"/>
      <c r="X960" s="81"/>
      <c r="Y960" s="81"/>
      <c r="Z960" s="81"/>
      <c r="AA960" s="81"/>
      <c r="AB960" s="81"/>
      <c r="AC960" s="81"/>
      <c r="AD960" s="81"/>
      <c r="AE960" s="81"/>
      <c r="AF960" s="81"/>
      <c r="AG960" s="81"/>
      <c r="AH960" s="81"/>
    </row>
    <row r="961" spans="4:34" ht="14.25" customHeight="1">
      <c r="D961" s="81"/>
      <c r="E961" s="81"/>
      <c r="F961" s="81"/>
      <c r="G961" s="81"/>
      <c r="H961" s="81"/>
      <c r="I961" s="81"/>
      <c r="J961" s="81"/>
      <c r="K961" s="81"/>
      <c r="L961" s="81"/>
      <c r="M961" s="81"/>
      <c r="N961" s="81"/>
      <c r="O961" s="81"/>
      <c r="P961" s="81"/>
      <c r="Q961" s="81"/>
      <c r="R961" s="81"/>
      <c r="S961" s="81"/>
      <c r="T961" s="81"/>
      <c r="U961" s="81"/>
      <c r="V961" s="81"/>
      <c r="W961" s="81"/>
      <c r="X961" s="81"/>
      <c r="Y961" s="81"/>
      <c r="Z961" s="81"/>
      <c r="AA961" s="81"/>
      <c r="AB961" s="81"/>
      <c r="AC961" s="81"/>
      <c r="AD961" s="81"/>
      <c r="AE961" s="81"/>
      <c r="AF961" s="81"/>
      <c r="AG961" s="81"/>
      <c r="AH961" s="81"/>
    </row>
    <row r="962" spans="4:34" ht="14.25" customHeight="1"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  <c r="S962" s="81"/>
      <c r="T962" s="81"/>
      <c r="U962" s="81"/>
      <c r="V962" s="81"/>
      <c r="W962" s="81"/>
      <c r="X962" s="81"/>
      <c r="Y962" s="81"/>
      <c r="Z962" s="81"/>
      <c r="AA962" s="81"/>
      <c r="AB962" s="81"/>
      <c r="AC962" s="81"/>
      <c r="AD962" s="81"/>
      <c r="AE962" s="81"/>
      <c r="AF962" s="81"/>
      <c r="AG962" s="81"/>
      <c r="AH962" s="81"/>
    </row>
    <row r="963" spans="4:34" ht="14.25" customHeight="1">
      <c r="D963" s="81"/>
      <c r="E963" s="81"/>
      <c r="F963" s="81"/>
      <c r="G963" s="81"/>
      <c r="H963" s="81"/>
      <c r="I963" s="81"/>
      <c r="J963" s="81"/>
      <c r="K963" s="81"/>
      <c r="L963" s="81"/>
      <c r="M963" s="81"/>
      <c r="N963" s="81"/>
      <c r="O963" s="81"/>
      <c r="P963" s="81"/>
      <c r="Q963" s="81"/>
      <c r="R963" s="81"/>
      <c r="S963" s="81"/>
      <c r="T963" s="81"/>
      <c r="U963" s="81"/>
      <c r="V963" s="81"/>
      <c r="W963" s="81"/>
      <c r="X963" s="81"/>
      <c r="Y963" s="81"/>
      <c r="Z963" s="81"/>
      <c r="AA963" s="81"/>
      <c r="AB963" s="81"/>
      <c r="AC963" s="81"/>
      <c r="AD963" s="81"/>
      <c r="AE963" s="81"/>
      <c r="AF963" s="81"/>
      <c r="AG963" s="81"/>
      <c r="AH963" s="81"/>
    </row>
    <row r="964" spans="4:34" ht="14.25" customHeight="1">
      <c r="D964" s="81"/>
      <c r="E964" s="81"/>
      <c r="F964" s="81"/>
      <c r="G964" s="81"/>
      <c r="H964" s="81"/>
      <c r="I964" s="81"/>
      <c r="J964" s="81"/>
      <c r="K964" s="81"/>
      <c r="L964" s="81"/>
      <c r="M964" s="81"/>
      <c r="N964" s="81"/>
      <c r="O964" s="81"/>
      <c r="P964" s="81"/>
      <c r="Q964" s="81"/>
      <c r="R964" s="81"/>
      <c r="S964" s="81"/>
      <c r="T964" s="81"/>
      <c r="U964" s="81"/>
      <c r="V964" s="81"/>
      <c r="W964" s="81"/>
      <c r="X964" s="81"/>
      <c r="Y964" s="81"/>
      <c r="Z964" s="81"/>
      <c r="AA964" s="81"/>
      <c r="AB964" s="81"/>
      <c r="AC964" s="81"/>
      <c r="AD964" s="81"/>
      <c r="AE964" s="81"/>
      <c r="AF964" s="81"/>
      <c r="AG964" s="81"/>
      <c r="AH964" s="81"/>
    </row>
    <row r="965" spans="4:34" ht="14.25" customHeight="1">
      <c r="D965" s="81"/>
      <c r="E965" s="81"/>
      <c r="F965" s="81"/>
      <c r="G965" s="81"/>
      <c r="H965" s="81"/>
      <c r="I965" s="81"/>
      <c r="J965" s="81"/>
      <c r="K965" s="81"/>
      <c r="L965" s="81"/>
      <c r="M965" s="81"/>
      <c r="N965" s="81"/>
      <c r="O965" s="81"/>
      <c r="P965" s="81"/>
      <c r="Q965" s="81"/>
      <c r="R965" s="81"/>
      <c r="S965" s="81"/>
      <c r="T965" s="81"/>
      <c r="U965" s="81"/>
      <c r="V965" s="81"/>
      <c r="W965" s="81"/>
      <c r="X965" s="81"/>
      <c r="Y965" s="81"/>
      <c r="Z965" s="81"/>
      <c r="AA965" s="81"/>
      <c r="AB965" s="81"/>
      <c r="AC965" s="81"/>
      <c r="AD965" s="81"/>
      <c r="AE965" s="81"/>
      <c r="AF965" s="81"/>
      <c r="AG965" s="81"/>
      <c r="AH965" s="81"/>
    </row>
    <row r="966" spans="4:34" ht="14.25" customHeight="1">
      <c r="D966" s="81"/>
      <c r="E966" s="81"/>
      <c r="F966" s="81"/>
      <c r="G966" s="81"/>
      <c r="H966" s="81"/>
      <c r="I966" s="81"/>
      <c r="J966" s="81"/>
      <c r="K966" s="81"/>
      <c r="L966" s="81"/>
      <c r="M966" s="81"/>
      <c r="N966" s="81"/>
      <c r="O966" s="81"/>
      <c r="P966" s="81"/>
      <c r="Q966" s="81"/>
      <c r="R966" s="81"/>
      <c r="S966" s="81"/>
      <c r="T966" s="81"/>
      <c r="U966" s="81"/>
      <c r="V966" s="81"/>
      <c r="W966" s="81"/>
      <c r="X966" s="81"/>
      <c r="Y966" s="81"/>
      <c r="Z966" s="81"/>
      <c r="AA966" s="81"/>
      <c r="AB966" s="81"/>
      <c r="AC966" s="81"/>
      <c r="AD966" s="81"/>
      <c r="AE966" s="81"/>
      <c r="AF966" s="81"/>
      <c r="AG966" s="81"/>
      <c r="AH966" s="81"/>
    </row>
    <row r="967" spans="4:34" ht="14.25" customHeight="1">
      <c r="D967" s="81"/>
      <c r="E967" s="81"/>
      <c r="F967" s="81"/>
      <c r="G967" s="81"/>
      <c r="H967" s="81"/>
      <c r="I967" s="81"/>
      <c r="J967" s="81"/>
      <c r="K967" s="81"/>
      <c r="L967" s="81"/>
      <c r="M967" s="81"/>
      <c r="N967" s="81"/>
      <c r="O967" s="81"/>
      <c r="P967" s="81"/>
      <c r="Q967" s="81"/>
      <c r="R967" s="81"/>
      <c r="S967" s="81"/>
      <c r="T967" s="81"/>
      <c r="U967" s="81"/>
      <c r="V967" s="81"/>
      <c r="W967" s="81"/>
      <c r="X967" s="81"/>
      <c r="Y967" s="81"/>
      <c r="Z967" s="81"/>
      <c r="AA967" s="81"/>
      <c r="AB967" s="81"/>
      <c r="AC967" s="81"/>
      <c r="AD967" s="81"/>
      <c r="AE967" s="81"/>
      <c r="AF967" s="81"/>
      <c r="AG967" s="81"/>
      <c r="AH967" s="81"/>
    </row>
    <row r="968" spans="4:34" ht="14.25" customHeight="1">
      <c r="D968" s="81"/>
      <c r="E968" s="81"/>
      <c r="F968" s="81"/>
      <c r="G968" s="81"/>
      <c r="H968" s="81"/>
      <c r="I968" s="81"/>
      <c r="J968" s="81"/>
      <c r="K968" s="81"/>
      <c r="L968" s="81"/>
      <c r="M968" s="81"/>
      <c r="N968" s="81"/>
      <c r="O968" s="81"/>
      <c r="P968" s="81"/>
      <c r="Q968" s="81"/>
      <c r="R968" s="81"/>
      <c r="S968" s="81"/>
      <c r="T968" s="81"/>
      <c r="U968" s="81"/>
      <c r="V968" s="81"/>
      <c r="W968" s="81"/>
      <c r="X968" s="81"/>
      <c r="Y968" s="81"/>
      <c r="Z968" s="81"/>
      <c r="AA968" s="81"/>
      <c r="AB968" s="81"/>
      <c r="AC968" s="81"/>
      <c r="AD968" s="81"/>
      <c r="AE968" s="81"/>
      <c r="AF968" s="81"/>
      <c r="AG968" s="81"/>
      <c r="AH968" s="81"/>
    </row>
    <row r="969" spans="4:34" ht="14.25" customHeight="1">
      <c r="D969" s="81"/>
      <c r="E969" s="81"/>
      <c r="F969" s="81"/>
      <c r="G969" s="81"/>
      <c r="H969" s="81"/>
      <c r="I969" s="81"/>
      <c r="J969" s="81"/>
      <c r="K969" s="81"/>
      <c r="L969" s="81"/>
      <c r="M969" s="81"/>
      <c r="N969" s="81"/>
      <c r="O969" s="81"/>
      <c r="P969" s="81"/>
      <c r="Q969" s="81"/>
      <c r="R969" s="81"/>
      <c r="S969" s="81"/>
      <c r="T969" s="81"/>
      <c r="U969" s="81"/>
      <c r="V969" s="81"/>
      <c r="W969" s="81"/>
      <c r="X969" s="81"/>
      <c r="Y969" s="81"/>
      <c r="Z969" s="81"/>
      <c r="AA969" s="81"/>
      <c r="AB969" s="81"/>
      <c r="AC969" s="81"/>
      <c r="AD969" s="81"/>
      <c r="AE969" s="81"/>
      <c r="AF969" s="81"/>
      <c r="AG969" s="81"/>
      <c r="AH969" s="81"/>
    </row>
    <row r="970" spans="4:34" ht="14.25" customHeight="1">
      <c r="D970" s="81"/>
      <c r="E970" s="81"/>
      <c r="F970" s="81"/>
      <c r="G970" s="81"/>
      <c r="H970" s="81"/>
      <c r="I970" s="81"/>
      <c r="J970" s="81"/>
      <c r="K970" s="81"/>
      <c r="L970" s="81"/>
      <c r="M970" s="81"/>
      <c r="N970" s="81"/>
      <c r="O970" s="81"/>
      <c r="P970" s="81"/>
      <c r="Q970" s="81"/>
      <c r="R970" s="81"/>
      <c r="S970" s="81"/>
      <c r="T970" s="81"/>
      <c r="U970" s="81"/>
      <c r="V970" s="81"/>
      <c r="W970" s="81"/>
      <c r="X970" s="81"/>
      <c r="Y970" s="81"/>
      <c r="Z970" s="81"/>
      <c r="AA970" s="81"/>
      <c r="AB970" s="81"/>
      <c r="AC970" s="81"/>
      <c r="AD970" s="81"/>
      <c r="AE970" s="81"/>
      <c r="AF970" s="81"/>
      <c r="AG970" s="81"/>
      <c r="AH970" s="81"/>
    </row>
    <row r="971" spans="4:34" ht="14.25" customHeight="1">
      <c r="D971" s="81"/>
      <c r="E971" s="81"/>
      <c r="F971" s="81"/>
      <c r="G971" s="81"/>
      <c r="H971" s="81"/>
      <c r="I971" s="81"/>
      <c r="J971" s="81"/>
      <c r="K971" s="81"/>
      <c r="L971" s="81"/>
      <c r="M971" s="81"/>
      <c r="N971" s="81"/>
      <c r="O971" s="81"/>
      <c r="P971" s="81"/>
      <c r="Q971" s="81"/>
      <c r="R971" s="81"/>
      <c r="S971" s="81"/>
      <c r="T971" s="81"/>
      <c r="U971" s="81"/>
      <c r="V971" s="81"/>
      <c r="W971" s="81"/>
      <c r="X971" s="81"/>
      <c r="Y971" s="81"/>
      <c r="Z971" s="81"/>
      <c r="AA971" s="81"/>
      <c r="AB971" s="81"/>
      <c r="AC971" s="81"/>
      <c r="AD971" s="81"/>
      <c r="AE971" s="81"/>
      <c r="AF971" s="81"/>
      <c r="AG971" s="81"/>
      <c r="AH971" s="81"/>
    </row>
    <row r="972" spans="4:34" ht="14.25" customHeight="1">
      <c r="D972" s="81"/>
      <c r="E972" s="81"/>
      <c r="F972" s="81"/>
      <c r="G972" s="81"/>
      <c r="H972" s="81"/>
      <c r="I972" s="81"/>
      <c r="J972" s="81"/>
      <c r="K972" s="81"/>
      <c r="L972" s="81"/>
      <c r="M972" s="81"/>
      <c r="N972" s="81"/>
      <c r="O972" s="81"/>
      <c r="P972" s="81"/>
      <c r="Q972" s="81"/>
      <c r="R972" s="81"/>
      <c r="S972" s="81"/>
      <c r="T972" s="81"/>
      <c r="U972" s="81"/>
      <c r="V972" s="81"/>
      <c r="W972" s="81"/>
      <c r="X972" s="81"/>
      <c r="Y972" s="81"/>
      <c r="Z972" s="81"/>
      <c r="AA972" s="81"/>
      <c r="AB972" s="81"/>
      <c r="AC972" s="81"/>
      <c r="AD972" s="81"/>
      <c r="AE972" s="81"/>
      <c r="AF972" s="81"/>
      <c r="AG972" s="81"/>
      <c r="AH972" s="81"/>
    </row>
    <row r="973" spans="4:34" ht="14.25" customHeight="1">
      <c r="D973" s="81"/>
      <c r="E973" s="81"/>
      <c r="F973" s="81"/>
      <c r="G973" s="81"/>
      <c r="H973" s="81"/>
      <c r="I973" s="81"/>
      <c r="J973" s="81"/>
      <c r="K973" s="81"/>
      <c r="L973" s="81"/>
      <c r="M973" s="81"/>
      <c r="N973" s="81"/>
      <c r="O973" s="81"/>
      <c r="P973" s="81"/>
      <c r="Q973" s="81"/>
      <c r="R973" s="81"/>
      <c r="S973" s="81"/>
      <c r="T973" s="81"/>
      <c r="U973" s="81"/>
      <c r="V973" s="81"/>
      <c r="W973" s="81"/>
      <c r="X973" s="81"/>
      <c r="Y973" s="81"/>
      <c r="Z973" s="81"/>
      <c r="AA973" s="81"/>
      <c r="AB973" s="81"/>
      <c r="AC973" s="81"/>
      <c r="AD973" s="81"/>
      <c r="AE973" s="81"/>
      <c r="AF973" s="81"/>
      <c r="AG973" s="81"/>
      <c r="AH973" s="81"/>
    </row>
    <row r="974" spans="4:34" ht="14.25" customHeight="1">
      <c r="D974" s="81"/>
      <c r="E974" s="81"/>
      <c r="F974" s="81"/>
      <c r="G974" s="81"/>
      <c r="H974" s="81"/>
      <c r="I974" s="81"/>
      <c r="J974" s="81"/>
      <c r="K974" s="81"/>
      <c r="L974" s="81"/>
      <c r="M974" s="81"/>
      <c r="N974" s="81"/>
      <c r="O974" s="81"/>
      <c r="P974" s="81"/>
      <c r="Q974" s="81"/>
      <c r="R974" s="81"/>
      <c r="S974" s="81"/>
      <c r="T974" s="81"/>
      <c r="U974" s="81"/>
      <c r="V974" s="81"/>
      <c r="W974" s="81"/>
      <c r="X974" s="81"/>
      <c r="Y974" s="81"/>
      <c r="Z974" s="81"/>
      <c r="AA974" s="81"/>
      <c r="AB974" s="81"/>
      <c r="AC974" s="81"/>
      <c r="AD974" s="81"/>
      <c r="AE974" s="81"/>
      <c r="AF974" s="81"/>
      <c r="AG974" s="81"/>
      <c r="AH974" s="81"/>
    </row>
    <row r="975" spans="4:34" ht="14.25" customHeight="1">
      <c r="D975" s="81"/>
      <c r="E975" s="81"/>
      <c r="F975" s="81"/>
      <c r="G975" s="81"/>
      <c r="H975" s="81"/>
      <c r="I975" s="81"/>
      <c r="J975" s="81"/>
      <c r="K975" s="81"/>
      <c r="L975" s="81"/>
      <c r="M975" s="81"/>
      <c r="N975" s="81"/>
      <c r="O975" s="81"/>
      <c r="P975" s="81"/>
      <c r="Q975" s="81"/>
      <c r="R975" s="81"/>
      <c r="S975" s="81"/>
      <c r="T975" s="81"/>
      <c r="U975" s="81"/>
      <c r="V975" s="81"/>
      <c r="W975" s="81"/>
      <c r="X975" s="81"/>
      <c r="Y975" s="81"/>
      <c r="Z975" s="81"/>
      <c r="AA975" s="81"/>
      <c r="AB975" s="81"/>
      <c r="AC975" s="81"/>
      <c r="AD975" s="81"/>
      <c r="AE975" s="81"/>
      <c r="AF975" s="81"/>
      <c r="AG975" s="81"/>
      <c r="AH975" s="81"/>
    </row>
    <row r="976" spans="4:34" ht="14.25" customHeight="1">
      <c r="D976" s="81"/>
      <c r="E976" s="81"/>
      <c r="F976" s="81"/>
      <c r="G976" s="81"/>
      <c r="H976" s="81"/>
      <c r="I976" s="81"/>
      <c r="J976" s="81"/>
      <c r="K976" s="81"/>
      <c r="L976" s="81"/>
      <c r="M976" s="81"/>
      <c r="N976" s="81"/>
      <c r="O976" s="81"/>
      <c r="P976" s="81"/>
      <c r="Q976" s="81"/>
      <c r="R976" s="81"/>
      <c r="S976" s="81"/>
      <c r="T976" s="81"/>
      <c r="U976" s="81"/>
      <c r="V976" s="81"/>
      <c r="W976" s="81"/>
      <c r="X976" s="81"/>
      <c r="Y976" s="81"/>
      <c r="Z976" s="81"/>
      <c r="AA976" s="81"/>
      <c r="AB976" s="81"/>
      <c r="AC976" s="81"/>
      <c r="AD976" s="81"/>
      <c r="AE976" s="81"/>
      <c r="AF976" s="81"/>
      <c r="AG976" s="81"/>
      <c r="AH976" s="81"/>
    </row>
    <row r="977" spans="4:34" ht="14.25" customHeight="1">
      <c r="D977" s="81"/>
      <c r="E977" s="81"/>
      <c r="F977" s="81"/>
      <c r="G977" s="81"/>
      <c r="H977" s="81"/>
      <c r="I977" s="81"/>
      <c r="J977" s="81"/>
      <c r="K977" s="81"/>
      <c r="L977" s="81"/>
      <c r="M977" s="81"/>
      <c r="N977" s="81"/>
      <c r="O977" s="81"/>
      <c r="P977" s="81"/>
      <c r="Q977" s="81"/>
      <c r="R977" s="81"/>
      <c r="S977" s="81"/>
      <c r="T977" s="81"/>
      <c r="U977" s="81"/>
      <c r="V977" s="81"/>
      <c r="W977" s="81"/>
      <c r="X977" s="81"/>
      <c r="Y977" s="81"/>
      <c r="Z977" s="81"/>
      <c r="AA977" s="81"/>
      <c r="AB977" s="81"/>
      <c r="AC977" s="81"/>
      <c r="AD977" s="81"/>
      <c r="AE977" s="81"/>
      <c r="AF977" s="81"/>
      <c r="AG977" s="81"/>
      <c r="AH977" s="81"/>
    </row>
    <row r="978" spans="4:34" ht="14.25" customHeight="1">
      <c r="D978" s="81"/>
      <c r="E978" s="81"/>
      <c r="F978" s="81"/>
      <c r="G978" s="81"/>
      <c r="H978" s="81"/>
      <c r="I978" s="81"/>
      <c r="J978" s="81"/>
      <c r="K978" s="81"/>
      <c r="L978" s="81"/>
      <c r="M978" s="81"/>
      <c r="N978" s="81"/>
      <c r="O978" s="81"/>
      <c r="P978" s="81"/>
      <c r="Q978" s="81"/>
      <c r="R978" s="81"/>
      <c r="S978" s="81"/>
      <c r="T978" s="81"/>
      <c r="U978" s="81"/>
      <c r="V978" s="81"/>
      <c r="W978" s="81"/>
      <c r="X978" s="81"/>
      <c r="Y978" s="81"/>
      <c r="Z978" s="81"/>
      <c r="AA978" s="81"/>
      <c r="AB978" s="81"/>
      <c r="AC978" s="81"/>
      <c r="AD978" s="81"/>
      <c r="AE978" s="81"/>
      <c r="AF978" s="81"/>
      <c r="AG978" s="81"/>
      <c r="AH978" s="81"/>
    </row>
    <row r="979" spans="4:34" ht="14.25" customHeight="1">
      <c r="D979" s="81"/>
      <c r="E979" s="81"/>
      <c r="F979" s="81"/>
      <c r="G979" s="81"/>
      <c r="H979" s="81"/>
      <c r="I979" s="81"/>
      <c r="J979" s="81"/>
      <c r="K979" s="81"/>
      <c r="L979" s="81"/>
      <c r="M979" s="81"/>
      <c r="N979" s="81"/>
      <c r="O979" s="81"/>
      <c r="P979" s="81"/>
      <c r="Q979" s="81"/>
      <c r="R979" s="81"/>
      <c r="S979" s="81"/>
      <c r="T979" s="81"/>
      <c r="U979" s="81"/>
      <c r="V979" s="81"/>
      <c r="W979" s="81"/>
      <c r="X979" s="81"/>
      <c r="Y979" s="81"/>
      <c r="Z979" s="81"/>
      <c r="AA979" s="81"/>
      <c r="AB979" s="81"/>
      <c r="AC979" s="81"/>
      <c r="AD979" s="81"/>
      <c r="AE979" s="81"/>
      <c r="AF979" s="81"/>
      <c r="AG979" s="81"/>
      <c r="AH979" s="81"/>
    </row>
    <row r="980" spans="4:34" ht="14.25" customHeight="1">
      <c r="D980" s="81"/>
      <c r="E980" s="81"/>
      <c r="F980" s="81"/>
      <c r="G980" s="81"/>
      <c r="H980" s="81"/>
      <c r="I980" s="81"/>
      <c r="J980" s="81"/>
      <c r="K980" s="81"/>
      <c r="L980" s="81"/>
      <c r="M980" s="81"/>
      <c r="N980" s="81"/>
      <c r="O980" s="81"/>
      <c r="P980" s="81"/>
      <c r="Q980" s="81"/>
      <c r="R980" s="81"/>
      <c r="S980" s="81"/>
      <c r="T980" s="81"/>
      <c r="U980" s="81"/>
      <c r="V980" s="81"/>
      <c r="W980" s="81"/>
      <c r="X980" s="81"/>
      <c r="Y980" s="81"/>
      <c r="Z980" s="81"/>
      <c r="AA980" s="81"/>
      <c r="AB980" s="81"/>
      <c r="AC980" s="81"/>
      <c r="AD980" s="81"/>
      <c r="AE980" s="81"/>
      <c r="AF980" s="81"/>
      <c r="AG980" s="81"/>
      <c r="AH980" s="81"/>
    </row>
    <row r="981" spans="4:34" ht="14.25" customHeight="1">
      <c r="D981" s="81"/>
      <c r="E981" s="81"/>
      <c r="F981" s="81"/>
      <c r="G981" s="81"/>
      <c r="H981" s="81"/>
      <c r="I981" s="81"/>
      <c r="J981" s="81"/>
      <c r="K981" s="81"/>
      <c r="L981" s="81"/>
      <c r="M981" s="81"/>
      <c r="N981" s="81"/>
      <c r="O981" s="81"/>
      <c r="P981" s="81"/>
      <c r="Q981" s="81"/>
      <c r="R981" s="81"/>
      <c r="S981" s="81"/>
      <c r="T981" s="81"/>
      <c r="U981" s="81"/>
      <c r="V981" s="81"/>
      <c r="W981" s="81"/>
      <c r="X981" s="81"/>
      <c r="Y981" s="81"/>
      <c r="Z981" s="81"/>
      <c r="AA981" s="81"/>
      <c r="AB981" s="81"/>
      <c r="AC981" s="81"/>
      <c r="AD981" s="81"/>
      <c r="AE981" s="81"/>
      <c r="AF981" s="81"/>
      <c r="AG981" s="81"/>
      <c r="AH981" s="81"/>
    </row>
    <row r="982" spans="4:34" ht="14.25" customHeight="1">
      <c r="D982" s="81"/>
      <c r="E982" s="81"/>
      <c r="F982" s="81"/>
      <c r="G982" s="81"/>
      <c r="H982" s="81"/>
      <c r="I982" s="81"/>
      <c r="J982" s="81"/>
      <c r="K982" s="81"/>
      <c r="L982" s="81"/>
      <c r="M982" s="81"/>
      <c r="N982" s="81"/>
      <c r="O982" s="81"/>
      <c r="P982" s="81"/>
      <c r="Q982" s="81"/>
      <c r="R982" s="81"/>
      <c r="S982" s="81"/>
      <c r="T982" s="81"/>
      <c r="U982" s="81"/>
      <c r="V982" s="81"/>
      <c r="W982" s="81"/>
      <c r="X982" s="81"/>
      <c r="Y982" s="81"/>
      <c r="Z982" s="81"/>
      <c r="AA982" s="81"/>
      <c r="AB982" s="81"/>
      <c r="AC982" s="81"/>
      <c r="AD982" s="81"/>
      <c r="AE982" s="81"/>
      <c r="AF982" s="81"/>
      <c r="AG982" s="81"/>
      <c r="AH982" s="81"/>
    </row>
    <row r="983" spans="4:34" ht="14.25" customHeight="1">
      <c r="D983" s="81"/>
      <c r="E983" s="81"/>
      <c r="F983" s="81"/>
      <c r="G983" s="81"/>
      <c r="H983" s="81"/>
      <c r="I983" s="81"/>
      <c r="J983" s="81"/>
      <c r="K983" s="81"/>
      <c r="L983" s="81"/>
      <c r="M983" s="81"/>
      <c r="N983" s="81"/>
      <c r="O983" s="81"/>
      <c r="P983" s="81"/>
      <c r="Q983" s="81"/>
      <c r="R983" s="81"/>
      <c r="S983" s="81"/>
      <c r="T983" s="81"/>
      <c r="U983" s="81"/>
      <c r="V983" s="81"/>
      <c r="W983" s="81"/>
      <c r="X983" s="81"/>
      <c r="Y983" s="81"/>
      <c r="Z983" s="81"/>
      <c r="AA983" s="81"/>
      <c r="AB983" s="81"/>
      <c r="AC983" s="81"/>
      <c r="AD983" s="81"/>
      <c r="AE983" s="81"/>
      <c r="AF983" s="81"/>
      <c r="AG983" s="81"/>
      <c r="AH983" s="81"/>
    </row>
    <row r="984" spans="4:34" ht="14.25" customHeight="1">
      <c r="D984" s="81"/>
      <c r="E984" s="81"/>
      <c r="F984" s="81"/>
      <c r="G984" s="81"/>
      <c r="H984" s="81"/>
      <c r="I984" s="81"/>
      <c r="J984" s="81"/>
      <c r="K984" s="81"/>
      <c r="L984" s="81"/>
      <c r="M984" s="81"/>
      <c r="N984" s="81"/>
      <c r="O984" s="81"/>
      <c r="P984" s="81"/>
      <c r="Q984" s="81"/>
      <c r="R984" s="81"/>
      <c r="S984" s="81"/>
      <c r="T984" s="81"/>
      <c r="U984" s="81"/>
      <c r="V984" s="81"/>
      <c r="W984" s="81"/>
      <c r="X984" s="81"/>
      <c r="Y984" s="81"/>
      <c r="Z984" s="81"/>
      <c r="AA984" s="81"/>
      <c r="AB984" s="81"/>
      <c r="AC984" s="81"/>
      <c r="AD984" s="81"/>
      <c r="AE984" s="81"/>
      <c r="AF984" s="81"/>
      <c r="AG984" s="81"/>
      <c r="AH984" s="81"/>
    </row>
    <row r="985" spans="4:34" ht="14.25" customHeight="1">
      <c r="D985" s="81"/>
      <c r="E985" s="81"/>
      <c r="F985" s="81"/>
      <c r="G985" s="81"/>
      <c r="H985" s="81"/>
      <c r="I985" s="81"/>
      <c r="J985" s="81"/>
      <c r="K985" s="81"/>
      <c r="L985" s="81"/>
      <c r="M985" s="81"/>
      <c r="N985" s="81"/>
      <c r="O985" s="81"/>
      <c r="P985" s="81"/>
      <c r="Q985" s="81"/>
      <c r="R985" s="81"/>
      <c r="S985" s="81"/>
      <c r="T985" s="81"/>
      <c r="U985" s="81"/>
      <c r="V985" s="81"/>
      <c r="W985" s="81"/>
      <c r="X985" s="81"/>
      <c r="Y985" s="81"/>
      <c r="Z985" s="81"/>
      <c r="AA985" s="81"/>
      <c r="AB985" s="81"/>
      <c r="AC985" s="81"/>
      <c r="AD985" s="81"/>
      <c r="AE985" s="81"/>
      <c r="AF985" s="81"/>
      <c r="AG985" s="81"/>
      <c r="AH985" s="81"/>
    </row>
    <row r="986" spans="4:34" ht="14.25" customHeight="1">
      <c r="D986" s="81"/>
      <c r="E986" s="81"/>
      <c r="F986" s="81"/>
      <c r="G986" s="81"/>
      <c r="H986" s="81"/>
      <c r="I986" s="81"/>
      <c r="J986" s="81"/>
      <c r="K986" s="81"/>
      <c r="L986" s="81"/>
      <c r="M986" s="81"/>
      <c r="N986" s="81"/>
      <c r="O986" s="81"/>
      <c r="P986" s="81"/>
      <c r="Q986" s="81"/>
      <c r="R986" s="81"/>
      <c r="S986" s="81"/>
      <c r="T986" s="81"/>
      <c r="U986" s="81"/>
      <c r="V986" s="81"/>
      <c r="W986" s="81"/>
      <c r="X986" s="81"/>
      <c r="Y986" s="81"/>
      <c r="Z986" s="81"/>
      <c r="AA986" s="81"/>
      <c r="AB986" s="81"/>
      <c r="AC986" s="81"/>
      <c r="AD986" s="81"/>
      <c r="AE986" s="81"/>
      <c r="AF986" s="81"/>
      <c r="AG986" s="81"/>
      <c r="AH986" s="81"/>
    </row>
    <row r="987" spans="4:34" ht="14.25" customHeight="1">
      <c r="D987" s="81"/>
      <c r="E987" s="81"/>
      <c r="F987" s="81"/>
      <c r="G987" s="81"/>
      <c r="H987" s="81"/>
      <c r="I987" s="81"/>
      <c r="J987" s="81"/>
      <c r="K987" s="81"/>
      <c r="L987" s="81"/>
      <c r="M987" s="81"/>
      <c r="N987" s="81"/>
      <c r="O987" s="81"/>
      <c r="P987" s="81"/>
      <c r="Q987" s="81"/>
      <c r="R987" s="81"/>
      <c r="S987" s="81"/>
      <c r="T987" s="81"/>
      <c r="U987" s="81"/>
      <c r="V987" s="81"/>
      <c r="W987" s="81"/>
      <c r="X987" s="81"/>
      <c r="Y987" s="81"/>
      <c r="Z987" s="81"/>
      <c r="AA987" s="81"/>
      <c r="AB987" s="81"/>
      <c r="AC987" s="81"/>
      <c r="AD987" s="81"/>
      <c r="AE987" s="81"/>
      <c r="AF987" s="81"/>
      <c r="AG987" s="81"/>
      <c r="AH987" s="81"/>
    </row>
    <row r="988" spans="4:34" ht="14.25" customHeight="1">
      <c r="D988" s="81"/>
      <c r="E988" s="81"/>
      <c r="F988" s="81"/>
      <c r="G988" s="81"/>
      <c r="H988" s="81"/>
      <c r="I988" s="81"/>
      <c r="J988" s="81"/>
      <c r="K988" s="81"/>
      <c r="L988" s="81"/>
      <c r="M988" s="81"/>
      <c r="N988" s="81"/>
      <c r="O988" s="81"/>
      <c r="P988" s="81"/>
      <c r="Q988" s="81"/>
      <c r="R988" s="81"/>
      <c r="S988" s="81"/>
      <c r="T988" s="81"/>
      <c r="U988" s="81"/>
      <c r="V988" s="81"/>
      <c r="W988" s="81"/>
      <c r="X988" s="81"/>
      <c r="Y988" s="81"/>
      <c r="Z988" s="81"/>
      <c r="AA988" s="81"/>
      <c r="AB988" s="81"/>
      <c r="AC988" s="81"/>
      <c r="AD988" s="81"/>
      <c r="AE988" s="81"/>
      <c r="AF988" s="81"/>
      <c r="AG988" s="81"/>
      <c r="AH988" s="81"/>
    </row>
    <row r="989" spans="4:34" ht="14.25" customHeight="1">
      <c r="D989" s="81"/>
      <c r="E989" s="81"/>
      <c r="F989" s="81"/>
      <c r="G989" s="81"/>
      <c r="H989" s="81"/>
      <c r="I989" s="81"/>
      <c r="J989" s="81"/>
      <c r="K989" s="81"/>
      <c r="L989" s="81"/>
      <c r="M989" s="81"/>
      <c r="N989" s="81"/>
      <c r="O989" s="81"/>
      <c r="P989" s="81"/>
      <c r="Q989" s="81"/>
      <c r="R989" s="81"/>
      <c r="S989" s="81"/>
      <c r="T989" s="81"/>
      <c r="U989" s="81"/>
      <c r="V989" s="81"/>
      <c r="W989" s="81"/>
      <c r="X989" s="81"/>
      <c r="Y989" s="81"/>
      <c r="Z989" s="81"/>
      <c r="AA989" s="81"/>
      <c r="AB989" s="81"/>
      <c r="AC989" s="81"/>
      <c r="AD989" s="81"/>
      <c r="AE989" s="81"/>
      <c r="AF989" s="81"/>
      <c r="AG989" s="81"/>
      <c r="AH989" s="81"/>
    </row>
    <row r="990" spans="4:34" ht="14.25" customHeight="1">
      <c r="D990" s="81"/>
      <c r="E990" s="81"/>
      <c r="F990" s="81"/>
      <c r="G990" s="81"/>
      <c r="H990" s="81"/>
      <c r="I990" s="81"/>
      <c r="J990" s="81"/>
      <c r="K990" s="81"/>
      <c r="L990" s="81"/>
      <c r="M990" s="81"/>
      <c r="N990" s="81"/>
      <c r="O990" s="81"/>
      <c r="P990" s="81"/>
      <c r="Q990" s="81"/>
      <c r="R990" s="81"/>
      <c r="S990" s="81"/>
      <c r="T990" s="81"/>
      <c r="U990" s="81"/>
      <c r="V990" s="81"/>
      <c r="W990" s="81"/>
      <c r="X990" s="81"/>
      <c r="Y990" s="81"/>
      <c r="Z990" s="81"/>
      <c r="AA990" s="81"/>
      <c r="AB990" s="81"/>
      <c r="AC990" s="81"/>
      <c r="AD990" s="81"/>
      <c r="AE990" s="81"/>
      <c r="AF990" s="81"/>
      <c r="AG990" s="81"/>
      <c r="AH990" s="81"/>
    </row>
    <row r="991" spans="4:34" ht="14.25" customHeight="1">
      <c r="D991" s="81"/>
      <c r="E991" s="81"/>
      <c r="F991" s="81"/>
      <c r="G991" s="81"/>
      <c r="H991" s="81"/>
      <c r="I991" s="81"/>
      <c r="J991" s="81"/>
      <c r="K991" s="81"/>
      <c r="L991" s="81"/>
      <c r="M991" s="81"/>
      <c r="N991" s="81"/>
      <c r="O991" s="81"/>
      <c r="P991" s="81"/>
      <c r="Q991" s="81"/>
      <c r="R991" s="81"/>
      <c r="S991" s="81"/>
      <c r="T991" s="81"/>
      <c r="U991" s="81"/>
      <c r="V991" s="81"/>
      <c r="W991" s="81"/>
      <c r="X991" s="81"/>
      <c r="Y991" s="81"/>
      <c r="Z991" s="81"/>
      <c r="AA991" s="81"/>
      <c r="AB991" s="81"/>
      <c r="AC991" s="81"/>
      <c r="AD991" s="81"/>
      <c r="AE991" s="81"/>
      <c r="AF991" s="81"/>
      <c r="AG991" s="81"/>
      <c r="AH991" s="81"/>
    </row>
    <row r="992" spans="4:34" ht="14.25" customHeight="1">
      <c r="D992" s="81"/>
      <c r="E992" s="81"/>
      <c r="F992" s="81"/>
      <c r="G992" s="81"/>
      <c r="H992" s="81"/>
      <c r="I992" s="81"/>
      <c r="J992" s="81"/>
      <c r="K992" s="81"/>
      <c r="L992" s="81"/>
      <c r="M992" s="81"/>
      <c r="N992" s="81"/>
      <c r="O992" s="81"/>
      <c r="P992" s="81"/>
      <c r="Q992" s="81"/>
      <c r="R992" s="81"/>
      <c r="S992" s="81"/>
      <c r="T992" s="81"/>
      <c r="U992" s="81"/>
      <c r="V992" s="81"/>
      <c r="W992" s="81"/>
      <c r="X992" s="81"/>
      <c r="Y992" s="81"/>
      <c r="Z992" s="81"/>
      <c r="AA992" s="81"/>
      <c r="AB992" s="81"/>
      <c r="AC992" s="81"/>
      <c r="AD992" s="81"/>
      <c r="AE992" s="81"/>
      <c r="AF992" s="81"/>
      <c r="AG992" s="81"/>
      <c r="AH992" s="81"/>
    </row>
    <row r="993" spans="4:34" ht="14.25" customHeight="1">
      <c r="D993" s="81"/>
      <c r="E993" s="81"/>
      <c r="F993" s="81"/>
      <c r="G993" s="81"/>
      <c r="H993" s="81"/>
      <c r="I993" s="81"/>
      <c r="J993" s="81"/>
      <c r="K993" s="81"/>
      <c r="L993" s="81"/>
      <c r="M993" s="81"/>
      <c r="N993" s="81"/>
      <c r="O993" s="81"/>
      <c r="P993" s="81"/>
      <c r="Q993" s="81"/>
      <c r="R993" s="81"/>
      <c r="S993" s="81"/>
      <c r="T993" s="81"/>
      <c r="U993" s="81"/>
      <c r="V993" s="81"/>
      <c r="W993" s="81"/>
      <c r="X993" s="81"/>
      <c r="Y993" s="81"/>
      <c r="Z993" s="81"/>
      <c r="AA993" s="81"/>
      <c r="AB993" s="81"/>
      <c r="AC993" s="81"/>
      <c r="AD993" s="81"/>
      <c r="AE993" s="81"/>
      <c r="AF993" s="81"/>
      <c r="AG993" s="81"/>
      <c r="AH993" s="81"/>
    </row>
    <row r="994" spans="4:34" ht="14.25" customHeight="1">
      <c r="D994" s="81"/>
      <c r="E994" s="81"/>
      <c r="F994" s="81"/>
      <c r="G994" s="81"/>
      <c r="H994" s="81"/>
      <c r="I994" s="81"/>
      <c r="J994" s="81"/>
      <c r="K994" s="81"/>
      <c r="L994" s="81"/>
      <c r="M994" s="81"/>
      <c r="N994" s="81"/>
      <c r="O994" s="81"/>
      <c r="P994" s="81"/>
      <c r="Q994" s="81"/>
      <c r="R994" s="81"/>
      <c r="S994" s="81"/>
      <c r="T994" s="81"/>
      <c r="U994" s="81"/>
      <c r="V994" s="81"/>
      <c r="W994" s="81"/>
      <c r="X994" s="81"/>
      <c r="Y994" s="81"/>
      <c r="Z994" s="81"/>
      <c r="AA994" s="81"/>
      <c r="AB994" s="81"/>
      <c r="AC994" s="81"/>
      <c r="AD994" s="81"/>
      <c r="AE994" s="81"/>
      <c r="AF994" s="81"/>
      <c r="AG994" s="81"/>
      <c r="AH994" s="81"/>
    </row>
    <row r="995" spans="4:34" ht="14.25" customHeight="1">
      <c r="D995" s="81"/>
      <c r="E995" s="81"/>
      <c r="F995" s="81"/>
      <c r="G995" s="81"/>
      <c r="H995" s="81"/>
      <c r="I995" s="81"/>
      <c r="J995" s="81"/>
      <c r="K995" s="81"/>
      <c r="L995" s="81"/>
      <c r="M995" s="81"/>
      <c r="N995" s="81"/>
      <c r="O995" s="81"/>
      <c r="P995" s="81"/>
      <c r="Q995" s="81"/>
      <c r="R995" s="81"/>
      <c r="S995" s="81"/>
      <c r="T995" s="81"/>
      <c r="U995" s="81"/>
      <c r="V995" s="81"/>
      <c r="W995" s="81"/>
      <c r="X995" s="81"/>
      <c r="Y995" s="81"/>
      <c r="Z995" s="81"/>
      <c r="AA995" s="81"/>
      <c r="AB995" s="81"/>
      <c r="AC995" s="81"/>
      <c r="AD995" s="81"/>
      <c r="AE995" s="81"/>
      <c r="AF995" s="81"/>
      <c r="AG995" s="81"/>
      <c r="AH995" s="81"/>
    </row>
    <row r="996" spans="4:34" ht="14.25" customHeight="1">
      <c r="D996" s="81"/>
      <c r="E996" s="81"/>
      <c r="F996" s="81"/>
      <c r="G996" s="81"/>
      <c r="H996" s="81"/>
      <c r="I996" s="81"/>
      <c r="J996" s="81"/>
      <c r="K996" s="81"/>
      <c r="L996" s="81"/>
      <c r="M996" s="81"/>
      <c r="N996" s="81"/>
      <c r="O996" s="81"/>
      <c r="P996" s="81"/>
      <c r="Q996" s="81"/>
      <c r="R996" s="81"/>
      <c r="S996" s="81"/>
      <c r="T996" s="81"/>
      <c r="U996" s="81"/>
      <c r="V996" s="81"/>
      <c r="W996" s="81"/>
      <c r="X996" s="81"/>
      <c r="Y996" s="81"/>
      <c r="Z996" s="81"/>
      <c r="AA996" s="81"/>
      <c r="AB996" s="81"/>
      <c r="AC996" s="81"/>
      <c r="AD996" s="81"/>
      <c r="AE996" s="81"/>
      <c r="AF996" s="81"/>
      <c r="AG996" s="81"/>
      <c r="AH996" s="81"/>
    </row>
    <row r="997" spans="4:34" ht="14.25" customHeight="1">
      <c r="D997" s="81"/>
      <c r="E997" s="81"/>
      <c r="F997" s="81"/>
      <c r="G997" s="81"/>
      <c r="H997" s="81"/>
      <c r="I997" s="81"/>
      <c r="J997" s="81"/>
      <c r="K997" s="81"/>
      <c r="L997" s="81"/>
      <c r="M997" s="81"/>
      <c r="N997" s="81"/>
      <c r="O997" s="81"/>
      <c r="P997" s="81"/>
      <c r="Q997" s="81"/>
      <c r="R997" s="81"/>
      <c r="S997" s="81"/>
      <c r="T997" s="81"/>
      <c r="U997" s="81"/>
      <c r="V997" s="81"/>
      <c r="W997" s="81"/>
      <c r="X997" s="81"/>
      <c r="Y997" s="81"/>
      <c r="Z997" s="81"/>
      <c r="AA997" s="81"/>
      <c r="AB997" s="81"/>
      <c r="AC997" s="81"/>
      <c r="AD997" s="81"/>
      <c r="AE997" s="81"/>
      <c r="AF997" s="81"/>
      <c r="AG997" s="81"/>
      <c r="AH997" s="81"/>
    </row>
    <row r="998" spans="4:34" ht="14.25" customHeight="1">
      <c r="D998" s="81"/>
      <c r="E998" s="81"/>
      <c r="F998" s="81"/>
      <c r="G998" s="81"/>
      <c r="H998" s="81"/>
      <c r="I998" s="81"/>
      <c r="J998" s="81"/>
      <c r="K998" s="81"/>
      <c r="L998" s="81"/>
      <c r="M998" s="81"/>
      <c r="N998" s="81"/>
      <c r="O998" s="81"/>
      <c r="P998" s="81"/>
      <c r="Q998" s="81"/>
      <c r="R998" s="81"/>
      <c r="S998" s="81"/>
      <c r="T998" s="81"/>
      <c r="U998" s="81"/>
      <c r="V998" s="81"/>
      <c r="W998" s="81"/>
      <c r="X998" s="81"/>
      <c r="Y998" s="81"/>
      <c r="Z998" s="81"/>
      <c r="AA998" s="81"/>
      <c r="AB998" s="81"/>
      <c r="AC998" s="81"/>
      <c r="AD998" s="81"/>
      <c r="AE998" s="81"/>
      <c r="AF998" s="81"/>
      <c r="AG998" s="81"/>
      <c r="AH998" s="81"/>
    </row>
    <row r="999" spans="4:34" ht="14.25" customHeight="1">
      <c r="D999" s="81"/>
      <c r="E999" s="81"/>
      <c r="F999" s="81"/>
      <c r="G999" s="81"/>
      <c r="H999" s="81"/>
      <c r="I999" s="81"/>
      <c r="J999" s="81"/>
      <c r="K999" s="81"/>
      <c r="L999" s="81"/>
      <c r="M999" s="81"/>
      <c r="N999" s="81"/>
      <c r="O999" s="81"/>
      <c r="P999" s="81"/>
      <c r="Q999" s="81"/>
      <c r="R999" s="81"/>
      <c r="S999" s="81"/>
      <c r="T999" s="81"/>
      <c r="U999" s="81"/>
      <c r="V999" s="81"/>
      <c r="W999" s="81"/>
      <c r="X999" s="81"/>
      <c r="Y999" s="81"/>
      <c r="Z999" s="81"/>
      <c r="AA999" s="81"/>
      <c r="AB999" s="81"/>
      <c r="AC999" s="81"/>
      <c r="AD999" s="81"/>
      <c r="AE999" s="81"/>
      <c r="AF999" s="81"/>
      <c r="AG999" s="81"/>
      <c r="AH999" s="81"/>
    </row>
    <row r="1000" spans="4:34" ht="14.25" customHeight="1">
      <c r="D1000" s="81"/>
      <c r="E1000" s="81"/>
      <c r="F1000" s="81"/>
      <c r="G1000" s="81"/>
      <c r="H1000" s="81"/>
      <c r="I1000" s="81"/>
      <c r="J1000" s="81"/>
      <c r="K1000" s="81"/>
      <c r="L1000" s="81"/>
      <c r="M1000" s="81"/>
      <c r="N1000" s="81"/>
      <c r="O1000" s="81"/>
      <c r="P1000" s="81"/>
      <c r="Q1000" s="81"/>
      <c r="R1000" s="81"/>
      <c r="S1000" s="81"/>
      <c r="T1000" s="81"/>
      <c r="U1000" s="81"/>
      <c r="V1000" s="81"/>
      <c r="W1000" s="81"/>
      <c r="X1000" s="81"/>
      <c r="Y1000" s="81"/>
      <c r="Z1000" s="81"/>
      <c r="AA1000" s="81"/>
      <c r="AB1000" s="81"/>
      <c r="AC1000" s="81"/>
      <c r="AD1000" s="81"/>
      <c r="AE1000" s="81"/>
      <c r="AF1000" s="81"/>
      <c r="AG1000" s="81"/>
      <c r="AH1000" s="81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C8F7C-FF1D-4874-AFF7-6BC585D64438}">
  <sheetPr>
    <tabColor rgb="FFC00000"/>
  </sheetPr>
  <dimension ref="A1:AN1000"/>
  <sheetViews>
    <sheetView topLeftCell="G1" workbookViewId="0">
      <selection activeCell="T2" sqref="T2:T12"/>
    </sheetView>
  </sheetViews>
  <sheetFormatPr baseColWidth="10" defaultColWidth="12.59765625" defaultRowHeight="15" customHeight="1"/>
  <cols>
    <col min="1" max="3" width="12.59765625" style="78"/>
    <col min="4" max="4" width="14.09765625" style="78" customWidth="1"/>
    <col min="5" max="6" width="21" style="78" customWidth="1"/>
    <col min="7" max="7" width="14.19921875" style="78" customWidth="1"/>
    <col min="8" max="13" width="11" style="78" customWidth="1"/>
    <col min="14" max="15" width="14.69921875" style="78" customWidth="1"/>
    <col min="16" max="34" width="11" style="78" customWidth="1"/>
    <col min="35" max="16384" width="12.59765625" style="78"/>
  </cols>
  <sheetData>
    <row r="1" spans="1:40" ht="45" customHeight="1">
      <c r="A1" s="74" t="s">
        <v>0</v>
      </c>
      <c r="B1" s="75" t="s">
        <v>1</v>
      </c>
      <c r="C1" s="75" t="s">
        <v>2</v>
      </c>
      <c r="D1" s="75" t="s">
        <v>3</v>
      </c>
      <c r="E1" s="99" t="s">
        <v>451</v>
      </c>
      <c r="F1" s="100" t="s">
        <v>452</v>
      </c>
      <c r="G1" s="76" t="s">
        <v>490</v>
      </c>
      <c r="H1" s="77" t="s">
        <v>491</v>
      </c>
      <c r="I1" s="76" t="s">
        <v>492</v>
      </c>
      <c r="J1" s="77" t="s">
        <v>493</v>
      </c>
      <c r="K1" s="101" t="s">
        <v>495</v>
      </c>
      <c r="M1" s="75" t="s">
        <v>464</v>
      </c>
      <c r="N1" s="75" t="s">
        <v>7</v>
      </c>
      <c r="O1" s="43" t="s">
        <v>10</v>
      </c>
      <c r="P1" s="43" t="s">
        <v>458</v>
      </c>
      <c r="Q1" s="79" t="s">
        <v>7</v>
      </c>
      <c r="R1" s="102" t="s">
        <v>497</v>
      </c>
      <c r="S1" s="102" t="s">
        <v>456</v>
      </c>
      <c r="T1" s="60" t="s">
        <v>467</v>
      </c>
      <c r="AC1" s="81"/>
      <c r="AD1" s="81"/>
      <c r="AE1" s="81"/>
      <c r="AF1" s="81"/>
      <c r="AG1" s="81"/>
      <c r="AH1" s="81"/>
      <c r="AI1" s="81"/>
      <c r="AJ1" s="81"/>
      <c r="AK1" s="81"/>
      <c r="AL1" s="81"/>
      <c r="AM1" s="81"/>
      <c r="AN1" s="81"/>
    </row>
    <row r="2" spans="1:40" ht="14.25" customHeight="1">
      <c r="A2" s="82">
        <v>10101</v>
      </c>
      <c r="B2" s="83" t="s">
        <v>11</v>
      </c>
      <c r="C2" s="83" t="s">
        <v>12</v>
      </c>
      <c r="D2" s="83" t="s">
        <v>13</v>
      </c>
      <c r="E2" s="103">
        <v>122</v>
      </c>
      <c r="F2" s="104">
        <v>17089</v>
      </c>
      <c r="G2" s="84">
        <f t="shared" ref="G2:G30" si="0">E2/$R$2</f>
        <v>0.36969696969696969</v>
      </c>
      <c r="H2" s="85">
        <f>$S$17*G2</f>
        <v>1.0943030303030303</v>
      </c>
      <c r="I2" s="84">
        <f t="shared" ref="I2:I30" si="1">F2/$S$2</f>
        <v>0.47726637993632354</v>
      </c>
      <c r="J2" s="86">
        <f>I2*$U$17</f>
        <v>176.5885605764397</v>
      </c>
      <c r="K2" s="86">
        <f>1000*H2/J2</f>
        <v>6.1969078106242357</v>
      </c>
      <c r="M2" s="87">
        <v>1</v>
      </c>
      <c r="N2" s="83" t="s">
        <v>11</v>
      </c>
      <c r="O2" s="8">
        <v>24.818401937046005</v>
      </c>
      <c r="P2" s="8">
        <v>8.8076421596019259</v>
      </c>
      <c r="Q2" s="81" t="s">
        <v>11</v>
      </c>
      <c r="R2" s="105">
        <v>330</v>
      </c>
      <c r="S2" s="105">
        <v>35806</v>
      </c>
      <c r="T2" s="83">
        <v>8</v>
      </c>
      <c r="AC2" s="81"/>
      <c r="AD2" s="81"/>
      <c r="AE2" s="81"/>
      <c r="AF2" s="81"/>
      <c r="AG2" s="81"/>
      <c r="AH2" s="81"/>
      <c r="AI2" s="81"/>
      <c r="AJ2" s="81"/>
      <c r="AK2" s="81"/>
      <c r="AL2" s="81"/>
      <c r="AM2" s="81"/>
      <c r="AN2" s="81"/>
    </row>
    <row r="3" spans="1:40" ht="14.25" customHeight="1">
      <c r="A3" s="82">
        <v>10102</v>
      </c>
      <c r="B3" s="83" t="s">
        <v>11</v>
      </c>
      <c r="C3" s="83" t="s">
        <v>12</v>
      </c>
      <c r="D3" s="83" t="s">
        <v>14</v>
      </c>
      <c r="E3" s="103">
        <v>9</v>
      </c>
      <c r="F3" s="104">
        <v>519</v>
      </c>
      <c r="G3" s="84">
        <f t="shared" si="0"/>
        <v>2.7272727272727271E-2</v>
      </c>
      <c r="H3" s="85">
        <f t="shared" ref="H3:H30" si="2">$S$17*G3</f>
        <v>8.0727272727272717E-2</v>
      </c>
      <c r="I3" s="84">
        <f t="shared" si="1"/>
        <v>1.4494777411606994E-2</v>
      </c>
      <c r="J3" s="86">
        <f t="shared" ref="J3:J30" si="3">I3*$U$17</f>
        <v>5.3630676422945873</v>
      </c>
      <c r="K3" s="86">
        <f t="shared" ref="K3:K66" si="4">1000*H3/J3</f>
        <v>15.052443510246977</v>
      </c>
      <c r="M3" s="87">
        <v>2</v>
      </c>
      <c r="N3" s="83" t="s">
        <v>15</v>
      </c>
      <c r="O3" s="8">
        <v>31.791374861776632</v>
      </c>
      <c r="P3" s="8">
        <v>12.522001781872705</v>
      </c>
      <c r="Q3" s="81" t="s">
        <v>15</v>
      </c>
      <c r="R3" s="105">
        <v>2288</v>
      </c>
      <c r="S3" s="105">
        <v>175213</v>
      </c>
      <c r="T3" s="83">
        <v>17</v>
      </c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</row>
    <row r="4" spans="1:40" ht="14.25" customHeight="1">
      <c r="A4" s="82">
        <v>10103</v>
      </c>
      <c r="B4" s="83" t="s">
        <v>11</v>
      </c>
      <c r="C4" s="83" t="s">
        <v>12</v>
      </c>
      <c r="D4" s="83" t="s">
        <v>16</v>
      </c>
      <c r="E4" s="103">
        <v>16</v>
      </c>
      <c r="F4" s="104">
        <v>867</v>
      </c>
      <c r="G4" s="84">
        <f t="shared" si="0"/>
        <v>4.8484848484848485E-2</v>
      </c>
      <c r="H4" s="85">
        <f t="shared" si="2"/>
        <v>0.14351515151515151</v>
      </c>
      <c r="I4" s="84">
        <f t="shared" si="1"/>
        <v>2.4213818913031336E-2</v>
      </c>
      <c r="J4" s="86">
        <f t="shared" si="3"/>
        <v>8.9591129978215935</v>
      </c>
      <c r="K4" s="86">
        <f t="shared" si="4"/>
        <v>16.018901820977945</v>
      </c>
      <c r="M4" s="87">
        <v>3</v>
      </c>
      <c r="N4" s="83" t="s">
        <v>17</v>
      </c>
      <c r="O4" s="8">
        <v>24.103717422939543</v>
      </c>
      <c r="P4" s="8">
        <v>9.8247123027642669</v>
      </c>
      <c r="Q4" s="81" t="s">
        <v>17</v>
      </c>
      <c r="R4" s="105">
        <v>1317</v>
      </c>
      <c r="S4" s="105">
        <v>128674</v>
      </c>
      <c r="T4" s="83">
        <v>11</v>
      </c>
      <c r="AC4" s="81"/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</row>
    <row r="5" spans="1:40" ht="14.25" customHeight="1">
      <c r="A5" s="82">
        <v>10201</v>
      </c>
      <c r="B5" s="83" t="s">
        <v>11</v>
      </c>
      <c r="C5" s="83" t="s">
        <v>18</v>
      </c>
      <c r="D5" s="83" t="s">
        <v>19</v>
      </c>
      <c r="E5" s="103">
        <v>8</v>
      </c>
      <c r="F5" s="104">
        <v>523</v>
      </c>
      <c r="G5" s="84">
        <f t="shared" si="0"/>
        <v>2.4242424242424242E-2</v>
      </c>
      <c r="H5" s="85">
        <f t="shared" si="2"/>
        <v>7.1757575757575756E-2</v>
      </c>
      <c r="I5" s="84">
        <f t="shared" si="1"/>
        <v>1.460649053231302E-2</v>
      </c>
      <c r="J5" s="86">
        <f t="shared" si="3"/>
        <v>5.404401496955817</v>
      </c>
      <c r="K5" s="86">
        <f t="shared" si="4"/>
        <v>13.277617474940611</v>
      </c>
      <c r="M5" s="87">
        <v>4</v>
      </c>
      <c r="N5" s="83" t="s">
        <v>20</v>
      </c>
      <c r="O5" s="8">
        <v>20.750595710881651</v>
      </c>
      <c r="P5" s="8">
        <v>12.381883349625285</v>
      </c>
      <c r="Q5" s="81" t="s">
        <v>20</v>
      </c>
      <c r="R5" s="105">
        <v>455</v>
      </c>
      <c r="S5" s="105">
        <v>35024</v>
      </c>
      <c r="T5" s="83">
        <v>31</v>
      </c>
      <c r="AC5" s="81"/>
      <c r="AD5" s="81"/>
      <c r="AE5" s="81"/>
      <c r="AF5" s="81"/>
      <c r="AG5" s="81"/>
      <c r="AH5" s="81"/>
      <c r="AI5" s="81"/>
      <c r="AJ5" s="81"/>
      <c r="AK5" s="81"/>
      <c r="AL5" s="81"/>
      <c r="AM5" s="81"/>
      <c r="AN5" s="81"/>
    </row>
    <row r="6" spans="1:40" ht="14.25" customHeight="1">
      <c r="A6" s="82">
        <v>10202</v>
      </c>
      <c r="B6" s="83" t="s">
        <v>11</v>
      </c>
      <c r="C6" s="83" t="s">
        <v>18</v>
      </c>
      <c r="D6" s="83" t="s">
        <v>21</v>
      </c>
      <c r="E6" s="103">
        <v>11</v>
      </c>
      <c r="F6" s="104">
        <v>1039</v>
      </c>
      <c r="G6" s="84">
        <f t="shared" si="0"/>
        <v>3.3333333333333333E-2</v>
      </c>
      <c r="H6" s="85">
        <f t="shared" si="2"/>
        <v>9.8666666666666666E-2</v>
      </c>
      <c r="I6" s="84">
        <f t="shared" si="1"/>
        <v>2.9017483103390494E-2</v>
      </c>
      <c r="J6" s="86">
        <f t="shared" si="3"/>
        <v>10.736468748254483</v>
      </c>
      <c r="K6" s="86">
        <f t="shared" si="4"/>
        <v>9.1898620468399113</v>
      </c>
      <c r="M6" s="87">
        <v>5</v>
      </c>
      <c r="N6" s="83" t="s">
        <v>263</v>
      </c>
      <c r="O6" s="8">
        <v>41.426803679991394</v>
      </c>
      <c r="P6" s="8">
        <v>16.377842331964338</v>
      </c>
      <c r="Q6" s="81" t="s">
        <v>22</v>
      </c>
      <c r="R6" s="105">
        <v>979</v>
      </c>
      <c r="S6" s="105">
        <v>57031</v>
      </c>
      <c r="T6" s="83">
        <v>42</v>
      </c>
      <c r="AC6" s="81"/>
      <c r="AD6" s="81"/>
      <c r="AE6" s="81"/>
      <c r="AF6" s="81"/>
      <c r="AG6" s="81"/>
      <c r="AH6" s="81"/>
      <c r="AI6" s="81"/>
      <c r="AJ6" s="81"/>
      <c r="AK6" s="81"/>
      <c r="AL6" s="81"/>
      <c r="AM6" s="81"/>
      <c r="AN6" s="81"/>
    </row>
    <row r="7" spans="1:40" ht="14.25" customHeight="1">
      <c r="A7" s="82">
        <v>10301</v>
      </c>
      <c r="B7" s="83" t="s">
        <v>11</v>
      </c>
      <c r="C7" s="83" t="s">
        <v>23</v>
      </c>
      <c r="D7" s="83" t="s">
        <v>24</v>
      </c>
      <c r="E7" s="103">
        <v>3</v>
      </c>
      <c r="F7" s="104">
        <v>804</v>
      </c>
      <c r="G7" s="84">
        <f t="shared" si="0"/>
        <v>9.0909090909090905E-3</v>
      </c>
      <c r="H7" s="85">
        <f t="shared" si="2"/>
        <v>2.6909090909090907E-2</v>
      </c>
      <c r="I7" s="84">
        <f t="shared" si="1"/>
        <v>2.2454337261911411E-2</v>
      </c>
      <c r="J7" s="86">
        <f t="shared" si="3"/>
        <v>8.3081047869072222</v>
      </c>
      <c r="K7" s="86">
        <f t="shared" si="4"/>
        <v>3.2388964269561282</v>
      </c>
      <c r="M7" s="87">
        <v>6</v>
      </c>
      <c r="N7" s="83" t="s">
        <v>25</v>
      </c>
      <c r="O7" s="8">
        <v>16.856345286665235</v>
      </c>
      <c r="P7" s="8">
        <v>6.1150970241879339</v>
      </c>
      <c r="Q7" s="81" t="s">
        <v>25</v>
      </c>
      <c r="R7" s="105">
        <v>201</v>
      </c>
      <c r="S7" s="105">
        <v>31547</v>
      </c>
      <c r="T7" s="83">
        <v>25</v>
      </c>
      <c r="AC7" s="81"/>
      <c r="AD7" s="81"/>
      <c r="AE7" s="81"/>
      <c r="AF7" s="81"/>
      <c r="AG7" s="81"/>
      <c r="AH7" s="81"/>
      <c r="AI7" s="81"/>
      <c r="AJ7" s="81"/>
      <c r="AK7" s="81"/>
      <c r="AL7" s="81"/>
      <c r="AM7" s="81"/>
      <c r="AN7" s="81"/>
    </row>
    <row r="8" spans="1:40" ht="14.25" customHeight="1">
      <c r="A8" s="82">
        <v>10302</v>
      </c>
      <c r="B8" s="83" t="s">
        <v>11</v>
      </c>
      <c r="C8" s="83" t="s">
        <v>23</v>
      </c>
      <c r="D8" s="83" t="s">
        <v>26</v>
      </c>
      <c r="E8" s="103">
        <v>8</v>
      </c>
      <c r="F8" s="104">
        <v>779</v>
      </c>
      <c r="G8" s="84">
        <f t="shared" si="0"/>
        <v>2.4242424242424242E-2</v>
      </c>
      <c r="H8" s="85">
        <f t="shared" si="2"/>
        <v>7.1757575757575756E-2</v>
      </c>
      <c r="I8" s="84">
        <f t="shared" si="1"/>
        <v>2.1756130257498743E-2</v>
      </c>
      <c r="J8" s="86">
        <f t="shared" si="3"/>
        <v>8.0497681952745346</v>
      </c>
      <c r="K8" s="86">
        <f t="shared" si="4"/>
        <v>8.9142412572451075</v>
      </c>
      <c r="M8" s="87">
        <v>7</v>
      </c>
      <c r="N8" s="83" t="s">
        <v>27</v>
      </c>
      <c r="O8" s="8">
        <v>15.488074984752673</v>
      </c>
      <c r="P8" s="8">
        <v>7.3922008229563403</v>
      </c>
      <c r="Q8" s="81" t="s">
        <v>27</v>
      </c>
      <c r="R8" s="105">
        <v>1631</v>
      </c>
      <c r="S8" s="105">
        <v>210592</v>
      </c>
      <c r="T8" s="83">
        <v>8</v>
      </c>
      <c r="AC8" s="81"/>
      <c r="AD8" s="81"/>
      <c r="AE8" s="81"/>
      <c r="AF8" s="81"/>
      <c r="AG8" s="81"/>
      <c r="AH8" s="81"/>
      <c r="AI8" s="81"/>
      <c r="AJ8" s="81"/>
      <c r="AK8" s="81"/>
      <c r="AL8" s="81"/>
      <c r="AM8" s="81"/>
      <c r="AN8" s="81"/>
    </row>
    <row r="9" spans="1:40" ht="14.25" customHeight="1">
      <c r="A9" s="82">
        <v>10303</v>
      </c>
      <c r="B9" s="83" t="s">
        <v>11</v>
      </c>
      <c r="C9" s="83" t="s">
        <v>23</v>
      </c>
      <c r="D9" s="83" t="s">
        <v>28</v>
      </c>
      <c r="E9" s="103">
        <v>5</v>
      </c>
      <c r="F9" s="104">
        <v>547</v>
      </c>
      <c r="G9" s="84">
        <f t="shared" si="0"/>
        <v>1.5151515151515152E-2</v>
      </c>
      <c r="H9" s="85">
        <f t="shared" si="2"/>
        <v>4.4848484848484846E-2</v>
      </c>
      <c r="I9" s="84">
        <f t="shared" si="1"/>
        <v>1.5276769256549182E-2</v>
      </c>
      <c r="J9" s="86">
        <f t="shared" si="3"/>
        <v>5.6524046249231974</v>
      </c>
      <c r="K9" s="86">
        <f t="shared" si="4"/>
        <v>7.9344080660351217</v>
      </c>
      <c r="M9" s="87">
        <v>8</v>
      </c>
      <c r="N9" s="83" t="s">
        <v>29</v>
      </c>
      <c r="O9" s="8">
        <v>26.775320139697321</v>
      </c>
      <c r="P9" s="8">
        <v>8.8360995306641499</v>
      </c>
      <c r="Q9" s="81" t="s">
        <v>29</v>
      </c>
      <c r="R9" s="105">
        <v>336</v>
      </c>
      <c r="S9" s="105">
        <v>36199</v>
      </c>
      <c r="T9" s="83">
        <v>24</v>
      </c>
      <c r="AC9" s="81"/>
      <c r="AD9" s="81"/>
      <c r="AE9" s="81"/>
      <c r="AF9" s="81"/>
      <c r="AG9" s="81"/>
      <c r="AH9" s="81"/>
      <c r="AI9" s="81"/>
      <c r="AJ9" s="81"/>
      <c r="AK9" s="81"/>
      <c r="AL9" s="81"/>
      <c r="AM9" s="81"/>
      <c r="AN9" s="81"/>
    </row>
    <row r="10" spans="1:40" ht="14.25" customHeight="1">
      <c r="A10" s="82">
        <v>10304</v>
      </c>
      <c r="B10" s="83" t="s">
        <v>11</v>
      </c>
      <c r="C10" s="83" t="s">
        <v>23</v>
      </c>
      <c r="D10" s="83" t="s">
        <v>30</v>
      </c>
      <c r="E10" s="103">
        <v>5</v>
      </c>
      <c r="F10" s="104">
        <v>519</v>
      </c>
      <c r="G10" s="84">
        <f t="shared" si="0"/>
        <v>1.5151515151515152E-2</v>
      </c>
      <c r="H10" s="85">
        <f t="shared" si="2"/>
        <v>4.4848484848484846E-2</v>
      </c>
      <c r="I10" s="84">
        <f t="shared" si="1"/>
        <v>1.4494777411606994E-2</v>
      </c>
      <c r="J10" s="86">
        <f t="shared" si="3"/>
        <v>5.3630676422945873</v>
      </c>
      <c r="K10" s="86">
        <f t="shared" si="4"/>
        <v>8.3624686168038771</v>
      </c>
      <c r="M10" s="87">
        <v>9</v>
      </c>
      <c r="N10" s="83" t="s">
        <v>31</v>
      </c>
      <c r="O10" s="8">
        <v>4.4065804935370156</v>
      </c>
      <c r="P10" s="8">
        <v>7.2927072927072931</v>
      </c>
      <c r="Q10" s="81" t="s">
        <v>31</v>
      </c>
      <c r="R10" s="105">
        <v>71</v>
      </c>
      <c r="S10" s="105">
        <v>9512</v>
      </c>
      <c r="T10" s="83">
        <v>10</v>
      </c>
      <c r="AC10" s="81"/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</row>
    <row r="11" spans="1:40" ht="14.25" customHeight="1">
      <c r="A11" s="82">
        <v>10401</v>
      </c>
      <c r="B11" s="83" t="s">
        <v>11</v>
      </c>
      <c r="C11" s="83" t="s">
        <v>32</v>
      </c>
      <c r="D11" s="83" t="s">
        <v>33</v>
      </c>
      <c r="E11" s="103">
        <v>3</v>
      </c>
      <c r="F11" s="104">
        <v>584</v>
      </c>
      <c r="G11" s="84">
        <f t="shared" si="0"/>
        <v>9.0909090909090905E-3</v>
      </c>
      <c r="H11" s="85">
        <f t="shared" si="2"/>
        <v>2.6909090909090907E-2</v>
      </c>
      <c r="I11" s="84">
        <f t="shared" si="1"/>
        <v>1.6310115623079931E-2</v>
      </c>
      <c r="J11" s="86">
        <f t="shared" si="3"/>
        <v>6.0347427805395748</v>
      </c>
      <c r="K11" s="86">
        <f t="shared" si="4"/>
        <v>4.4590286425902859</v>
      </c>
      <c r="M11" s="87">
        <v>10</v>
      </c>
      <c r="N11" s="83" t="s">
        <v>323</v>
      </c>
      <c r="O11" s="8">
        <v>22.727272727272727</v>
      </c>
      <c r="P11" s="8">
        <v>8.2292574305353856</v>
      </c>
      <c r="Q11" s="81" t="s">
        <v>323</v>
      </c>
      <c r="R11" s="85">
        <f>SUM(E246:E248)</f>
        <v>85</v>
      </c>
      <c r="S11" s="85">
        <f>SUM(F246:F248)</f>
        <v>10329</v>
      </c>
      <c r="T11" s="85">
        <f>SUM(H246:H248)/SUM(J246:J248)*1000</f>
        <v>27.123264016831325</v>
      </c>
      <c r="AC11" s="81"/>
      <c r="AD11" s="81"/>
      <c r="AE11" s="81"/>
      <c r="AF11" s="81"/>
      <c r="AG11" s="81"/>
      <c r="AH11" s="81"/>
      <c r="AI11" s="81"/>
      <c r="AJ11" s="81"/>
      <c r="AK11" s="81"/>
      <c r="AL11" s="81"/>
      <c r="AM11" s="81"/>
      <c r="AN11" s="81"/>
    </row>
    <row r="12" spans="1:40" ht="14.25" customHeight="1">
      <c r="A12" s="82">
        <v>10402</v>
      </c>
      <c r="B12" s="83" t="s">
        <v>11</v>
      </c>
      <c r="C12" s="83" t="s">
        <v>32</v>
      </c>
      <c r="D12" s="83" t="s">
        <v>32</v>
      </c>
      <c r="E12" s="103">
        <v>3</v>
      </c>
      <c r="F12" s="104">
        <v>545</v>
      </c>
      <c r="G12" s="84">
        <f t="shared" si="0"/>
        <v>9.0909090909090905E-3</v>
      </c>
      <c r="H12" s="85">
        <f t="shared" si="2"/>
        <v>2.6909090909090907E-2</v>
      </c>
      <c r="I12" s="84">
        <f t="shared" si="1"/>
        <v>1.5220912696196168E-2</v>
      </c>
      <c r="J12" s="86">
        <f t="shared" si="3"/>
        <v>5.6317376975925821</v>
      </c>
      <c r="K12" s="86">
        <f t="shared" si="4"/>
        <v>4.778115095913261</v>
      </c>
      <c r="M12" s="87">
        <v>11</v>
      </c>
      <c r="N12" s="83" t="s">
        <v>34</v>
      </c>
      <c r="O12" s="8">
        <v>24.442843594981031</v>
      </c>
      <c r="P12" s="8">
        <v>10.114267964655577</v>
      </c>
      <c r="Q12" s="81" t="s">
        <v>34</v>
      </c>
      <c r="R12" s="105">
        <v>7608</v>
      </c>
      <c r="S12" s="105">
        <v>719598</v>
      </c>
      <c r="T12" s="88">
        <v>16</v>
      </c>
      <c r="AC12" s="81"/>
      <c r="AD12" s="81"/>
      <c r="AE12" s="81"/>
      <c r="AF12" s="81"/>
      <c r="AG12" s="81"/>
      <c r="AH12" s="81"/>
      <c r="AI12" s="81"/>
      <c r="AJ12" s="81"/>
      <c r="AK12" s="81"/>
      <c r="AL12" s="81"/>
      <c r="AM12" s="81"/>
      <c r="AN12" s="81"/>
    </row>
    <row r="13" spans="1:40" ht="14.25" customHeight="1">
      <c r="A13" s="82">
        <v>10403</v>
      </c>
      <c r="B13" s="83" t="s">
        <v>11</v>
      </c>
      <c r="C13" s="83" t="s">
        <v>32</v>
      </c>
      <c r="D13" s="83" t="s">
        <v>35</v>
      </c>
      <c r="E13" s="103">
        <v>1</v>
      </c>
      <c r="F13" s="104">
        <v>428</v>
      </c>
      <c r="G13" s="84">
        <f t="shared" si="0"/>
        <v>3.0303030303030303E-3</v>
      </c>
      <c r="H13" s="85">
        <f t="shared" si="2"/>
        <v>8.9696969696969695E-3</v>
      </c>
      <c r="I13" s="84">
        <f t="shared" si="1"/>
        <v>1.1953303915544881E-2</v>
      </c>
      <c r="J13" s="86">
        <f t="shared" si="3"/>
        <v>4.4227224487516059</v>
      </c>
      <c r="K13" s="86">
        <f t="shared" si="4"/>
        <v>2.0280940243557062</v>
      </c>
      <c r="M13" s="81"/>
      <c r="N13" s="81"/>
      <c r="O13" s="81"/>
      <c r="P13" s="81"/>
      <c r="AC13" s="81"/>
      <c r="AD13" s="81"/>
      <c r="AE13" s="81"/>
      <c r="AF13" s="81"/>
      <c r="AG13" s="81"/>
      <c r="AH13" s="81"/>
      <c r="AI13" s="81"/>
      <c r="AJ13" s="81"/>
      <c r="AK13" s="81"/>
      <c r="AL13" s="81"/>
      <c r="AM13" s="81"/>
      <c r="AN13" s="81"/>
    </row>
    <row r="14" spans="1:40" ht="14.25" customHeight="1">
      <c r="A14" s="82">
        <v>10404</v>
      </c>
      <c r="B14" s="83" t="s">
        <v>11</v>
      </c>
      <c r="C14" s="83" t="s">
        <v>32</v>
      </c>
      <c r="D14" s="83" t="s">
        <v>36</v>
      </c>
      <c r="E14" s="103">
        <v>1</v>
      </c>
      <c r="F14" s="104">
        <v>204</v>
      </c>
      <c r="G14" s="84">
        <f t="shared" si="0"/>
        <v>3.0303030303030303E-3</v>
      </c>
      <c r="H14" s="85">
        <f t="shared" si="2"/>
        <v>8.9696969696969695E-3</v>
      </c>
      <c r="I14" s="84">
        <f t="shared" si="1"/>
        <v>5.6973691560073727E-3</v>
      </c>
      <c r="J14" s="86">
        <f t="shared" si="3"/>
        <v>2.108026587722728</v>
      </c>
      <c r="K14" s="86">
        <f t="shared" si="4"/>
        <v>4.2550207961972664</v>
      </c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</row>
    <row r="15" spans="1:40" ht="14.25" customHeight="1">
      <c r="A15" s="82">
        <v>10405</v>
      </c>
      <c r="B15" s="83" t="s">
        <v>11</v>
      </c>
      <c r="C15" s="83" t="s">
        <v>32</v>
      </c>
      <c r="D15" s="83" t="s">
        <v>37</v>
      </c>
      <c r="E15" s="103">
        <v>4</v>
      </c>
      <c r="F15" s="104">
        <v>338</v>
      </c>
      <c r="G15" s="84">
        <f t="shared" si="0"/>
        <v>1.2121212121212121E-2</v>
      </c>
      <c r="H15" s="85">
        <f t="shared" si="2"/>
        <v>3.5878787878787878E-2</v>
      </c>
      <c r="I15" s="84">
        <f t="shared" si="1"/>
        <v>9.4397586996592744E-3</v>
      </c>
      <c r="J15" s="86">
        <f t="shared" si="3"/>
        <v>3.4927107188739317</v>
      </c>
      <c r="K15" s="86">
        <f t="shared" si="4"/>
        <v>10.272476241707009</v>
      </c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  <c r="AI15" s="81"/>
      <c r="AJ15" s="81"/>
      <c r="AK15" s="81"/>
      <c r="AL15" s="81"/>
      <c r="AM15" s="81"/>
      <c r="AN15" s="81"/>
    </row>
    <row r="16" spans="1:40" ht="14.25" customHeight="1">
      <c r="A16" s="82">
        <v>10501</v>
      </c>
      <c r="B16" s="83" t="s">
        <v>11</v>
      </c>
      <c r="C16" s="83" t="s">
        <v>38</v>
      </c>
      <c r="D16" s="83" t="s">
        <v>39</v>
      </c>
      <c r="E16" s="103">
        <v>9</v>
      </c>
      <c r="F16" s="104">
        <v>1404</v>
      </c>
      <c r="G16" s="84">
        <f t="shared" si="0"/>
        <v>2.7272727272727271E-2</v>
      </c>
      <c r="H16" s="85">
        <f t="shared" si="2"/>
        <v>8.0727272727272717E-2</v>
      </c>
      <c r="I16" s="84">
        <f t="shared" si="1"/>
        <v>3.9211305367815447E-2</v>
      </c>
      <c r="J16" s="86">
        <f t="shared" si="3"/>
        <v>14.508182986091715</v>
      </c>
      <c r="K16" s="86">
        <f t="shared" si="4"/>
        <v>5.5642579642579646</v>
      </c>
      <c r="M16" s="80" t="s">
        <v>465</v>
      </c>
      <c r="N16" s="60" t="s">
        <v>7</v>
      </c>
      <c r="O16" s="60" t="s">
        <v>466</v>
      </c>
      <c r="P16" s="60" t="s">
        <v>467</v>
      </c>
      <c r="Q16" s="89" t="s">
        <v>468</v>
      </c>
      <c r="R16" s="89" t="s">
        <v>469</v>
      </c>
      <c r="S16" s="106" t="s">
        <v>496</v>
      </c>
      <c r="T16" s="90" t="s">
        <v>482</v>
      </c>
      <c r="U16" s="107" t="s">
        <v>483</v>
      </c>
      <c r="V16" s="90"/>
      <c r="W16" s="90"/>
      <c r="Y16" s="81"/>
      <c r="Z16" s="81"/>
      <c r="AA16" s="81"/>
      <c r="AB16" s="81"/>
      <c r="AC16" s="81"/>
      <c r="AD16" s="81"/>
      <c r="AE16" s="81"/>
      <c r="AF16" s="81"/>
      <c r="AG16" s="81"/>
      <c r="AH16" s="81"/>
      <c r="AI16" s="81"/>
      <c r="AJ16" s="81"/>
      <c r="AK16" s="81"/>
      <c r="AL16" s="81"/>
      <c r="AM16" s="81"/>
      <c r="AN16" s="81"/>
    </row>
    <row r="17" spans="1:40" ht="14.25" customHeight="1">
      <c r="A17" s="82">
        <v>10502</v>
      </c>
      <c r="B17" s="83" t="s">
        <v>11</v>
      </c>
      <c r="C17" s="83" t="s">
        <v>38</v>
      </c>
      <c r="D17" s="83" t="s">
        <v>40</v>
      </c>
      <c r="E17" s="103">
        <v>4</v>
      </c>
      <c r="F17" s="104">
        <v>469</v>
      </c>
      <c r="G17" s="84">
        <f t="shared" si="0"/>
        <v>1.2121212121212121E-2</v>
      </c>
      <c r="H17" s="85">
        <f t="shared" si="2"/>
        <v>3.5878787878787878E-2</v>
      </c>
      <c r="I17" s="84">
        <f t="shared" si="1"/>
        <v>1.3098363402781657E-2</v>
      </c>
      <c r="J17" s="86">
        <f t="shared" si="3"/>
        <v>4.846394459029213</v>
      </c>
      <c r="K17" s="86">
        <f t="shared" si="4"/>
        <v>7.4031918330425786</v>
      </c>
      <c r="M17" s="83">
        <v>1</v>
      </c>
      <c r="N17" s="61" t="s">
        <v>11</v>
      </c>
      <c r="O17" s="61">
        <v>22</v>
      </c>
      <c r="P17" s="61">
        <v>8</v>
      </c>
      <c r="Q17" s="91">
        <f t="shared" ref="Q17:Q25" si="5">O2-O17</f>
        <v>2.8184019370460049</v>
      </c>
      <c r="R17" s="91">
        <f t="shared" ref="R17:R25" si="6">P2-P17</f>
        <v>0.80764215960192587</v>
      </c>
      <c r="S17" s="92">
        <f>P17*U17/1000</f>
        <v>2.96</v>
      </c>
      <c r="T17" s="93">
        <v>571</v>
      </c>
      <c r="U17" s="92">
        <v>370</v>
      </c>
      <c r="V17" s="94"/>
      <c r="W17" s="94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</row>
    <row r="18" spans="1:40" ht="14.25" customHeight="1">
      <c r="A18" s="82">
        <v>10601</v>
      </c>
      <c r="B18" s="83" t="s">
        <v>11</v>
      </c>
      <c r="C18" s="83" t="s">
        <v>41</v>
      </c>
      <c r="D18" s="83" t="s">
        <v>42</v>
      </c>
      <c r="E18" s="103">
        <v>13</v>
      </c>
      <c r="F18" s="104">
        <v>713</v>
      </c>
      <c r="G18" s="84">
        <f t="shared" si="0"/>
        <v>3.9393939393939391E-2</v>
      </c>
      <c r="H18" s="85">
        <f t="shared" si="2"/>
        <v>0.1166060606060606</v>
      </c>
      <c r="I18" s="84">
        <f t="shared" si="1"/>
        <v>1.99128637658493E-2</v>
      </c>
      <c r="J18" s="86">
        <f t="shared" si="3"/>
        <v>7.3677595933642408</v>
      </c>
      <c r="K18" s="86">
        <f t="shared" si="4"/>
        <v>15.826528964256873</v>
      </c>
      <c r="M18" s="83">
        <v>2</v>
      </c>
      <c r="N18" s="61" t="s">
        <v>15</v>
      </c>
      <c r="O18" s="61">
        <v>59</v>
      </c>
      <c r="P18" s="61">
        <v>15</v>
      </c>
      <c r="Q18" s="91">
        <f t="shared" si="5"/>
        <v>-27.208625138223368</v>
      </c>
      <c r="R18" s="91">
        <f t="shared" si="6"/>
        <v>-2.4779982181272953</v>
      </c>
      <c r="S18" s="92">
        <f t="shared" ref="S18:S28" si="7">P18*U18/1000</f>
        <v>26.07</v>
      </c>
      <c r="T18" s="93">
        <v>1226</v>
      </c>
      <c r="U18" s="92">
        <v>1738</v>
      </c>
      <c r="V18" s="94"/>
      <c r="W18" s="94"/>
      <c r="Y18" s="81"/>
      <c r="Z18" s="81"/>
      <c r="AA18" s="81"/>
      <c r="AB18" s="81"/>
      <c r="AC18" s="81"/>
      <c r="AD18" s="81"/>
      <c r="AE18" s="81"/>
      <c r="AF18" s="81"/>
      <c r="AG18" s="81"/>
      <c r="AH18" s="81"/>
      <c r="AI18" s="81"/>
      <c r="AJ18" s="81"/>
      <c r="AK18" s="81"/>
      <c r="AL18" s="81"/>
      <c r="AM18" s="81"/>
      <c r="AN18" s="81"/>
    </row>
    <row r="19" spans="1:40" ht="14.25" customHeight="1">
      <c r="A19" s="82">
        <v>10602</v>
      </c>
      <c r="B19" s="83" t="s">
        <v>11</v>
      </c>
      <c r="C19" s="83" t="s">
        <v>41</v>
      </c>
      <c r="D19" s="83" t="s">
        <v>41</v>
      </c>
      <c r="E19" s="103">
        <v>3</v>
      </c>
      <c r="F19" s="104">
        <v>460</v>
      </c>
      <c r="G19" s="84">
        <f t="shared" si="0"/>
        <v>9.0909090909090905E-3</v>
      </c>
      <c r="H19" s="85">
        <f t="shared" si="2"/>
        <v>2.6909090909090907E-2</v>
      </c>
      <c r="I19" s="84">
        <f t="shared" si="1"/>
        <v>1.2847008881193096E-2</v>
      </c>
      <c r="J19" s="86">
        <f t="shared" si="3"/>
        <v>4.7533932860414456</v>
      </c>
      <c r="K19" s="86">
        <f t="shared" si="4"/>
        <v>5.6610276679841895</v>
      </c>
      <c r="M19" s="83">
        <v>3</v>
      </c>
      <c r="N19" s="61" t="s">
        <v>17</v>
      </c>
      <c r="O19" s="61">
        <v>57</v>
      </c>
      <c r="P19" s="61">
        <v>6</v>
      </c>
      <c r="Q19" s="91">
        <f t="shared" si="5"/>
        <v>-32.896282577060461</v>
      </c>
      <c r="R19" s="91">
        <f t="shared" si="6"/>
        <v>3.8247123027642669</v>
      </c>
      <c r="S19" s="92">
        <f t="shared" si="7"/>
        <v>7.5419999999999998</v>
      </c>
      <c r="T19" s="93">
        <v>974</v>
      </c>
      <c r="U19" s="92">
        <v>1257</v>
      </c>
      <c r="V19" s="94"/>
      <c r="W19" s="94"/>
      <c r="Y19" s="81"/>
      <c r="Z19" s="81"/>
      <c r="AA19" s="81"/>
      <c r="AB19" s="81"/>
      <c r="AC19" s="81"/>
      <c r="AD19" s="81"/>
      <c r="AE19" s="81"/>
      <c r="AF19" s="81"/>
      <c r="AG19" s="81"/>
      <c r="AH19" s="81"/>
      <c r="AI19" s="81"/>
      <c r="AJ19" s="81"/>
      <c r="AK19" s="81"/>
      <c r="AL19" s="81"/>
      <c r="AM19" s="81"/>
      <c r="AN19" s="81"/>
    </row>
    <row r="20" spans="1:40" ht="14.25" customHeight="1">
      <c r="A20" s="82">
        <v>10701</v>
      </c>
      <c r="B20" s="83" t="s">
        <v>11</v>
      </c>
      <c r="C20" s="83" t="s">
        <v>43</v>
      </c>
      <c r="D20" s="83" t="s">
        <v>44</v>
      </c>
      <c r="E20" s="103">
        <v>11</v>
      </c>
      <c r="F20" s="104">
        <v>820</v>
      </c>
      <c r="G20" s="84">
        <f t="shared" si="0"/>
        <v>3.3333333333333333E-2</v>
      </c>
      <c r="H20" s="85">
        <f t="shared" si="2"/>
        <v>9.8666666666666666E-2</v>
      </c>
      <c r="I20" s="84">
        <f t="shared" si="1"/>
        <v>2.2901189744735519E-2</v>
      </c>
      <c r="J20" s="86">
        <f t="shared" si="3"/>
        <v>8.4734402055521425</v>
      </c>
      <c r="K20" s="86">
        <f t="shared" si="4"/>
        <v>11.644227642276423</v>
      </c>
      <c r="M20" s="83">
        <v>4</v>
      </c>
      <c r="N20" s="61" t="s">
        <v>20</v>
      </c>
      <c r="O20" s="61">
        <v>51</v>
      </c>
      <c r="P20" s="61">
        <v>29</v>
      </c>
      <c r="Q20" s="91">
        <f t="shared" si="5"/>
        <v>-30.249404289118349</v>
      </c>
      <c r="R20" s="91">
        <f t="shared" si="6"/>
        <v>-16.618116650374716</v>
      </c>
      <c r="S20" s="92">
        <f t="shared" si="7"/>
        <v>8.4390000000000001</v>
      </c>
      <c r="T20" s="93">
        <v>628</v>
      </c>
      <c r="U20" s="92">
        <v>291</v>
      </c>
      <c r="V20" s="94"/>
      <c r="W20" s="94"/>
      <c r="Y20" s="81"/>
      <c r="Z20" s="81"/>
      <c r="AA20" s="81"/>
      <c r="AB20" s="81"/>
      <c r="AC20" s="81"/>
      <c r="AD20" s="81"/>
      <c r="AE20" s="81"/>
      <c r="AF20" s="81"/>
      <c r="AG20" s="81"/>
      <c r="AH20" s="81"/>
      <c r="AI20" s="81"/>
      <c r="AJ20" s="81"/>
      <c r="AK20" s="81"/>
      <c r="AL20" s="81"/>
      <c r="AM20" s="81"/>
      <c r="AN20" s="81"/>
    </row>
    <row r="21" spans="1:40" ht="14.25" customHeight="1">
      <c r="A21" s="82">
        <v>10702</v>
      </c>
      <c r="B21" s="83" t="s">
        <v>11</v>
      </c>
      <c r="C21" s="83" t="s">
        <v>43</v>
      </c>
      <c r="D21" s="83" t="s">
        <v>45</v>
      </c>
      <c r="E21" s="103">
        <v>29</v>
      </c>
      <c r="F21" s="104">
        <v>1817</v>
      </c>
      <c r="G21" s="84">
        <f t="shared" si="0"/>
        <v>8.7878787878787876E-2</v>
      </c>
      <c r="H21" s="85">
        <f t="shared" si="2"/>
        <v>0.26012121212121209</v>
      </c>
      <c r="I21" s="84">
        <f t="shared" si="1"/>
        <v>5.0745685080712727E-2</v>
      </c>
      <c r="J21" s="86">
        <f t="shared" si="3"/>
        <v>18.775903479863707</v>
      </c>
      <c r="K21" s="86">
        <f t="shared" si="4"/>
        <v>13.853991761311518</v>
      </c>
      <c r="M21" s="83">
        <v>5</v>
      </c>
      <c r="N21" s="61" t="s">
        <v>263</v>
      </c>
      <c r="O21" s="61">
        <v>91</v>
      </c>
      <c r="P21" s="61">
        <v>21</v>
      </c>
      <c r="Q21" s="91">
        <f t="shared" si="5"/>
        <v>-49.573196320008606</v>
      </c>
      <c r="R21" s="91">
        <f t="shared" si="6"/>
        <v>-4.622157668035662</v>
      </c>
      <c r="S21" s="92">
        <f t="shared" si="7"/>
        <v>10.689</v>
      </c>
      <c r="T21" s="93">
        <v>727</v>
      </c>
      <c r="U21" s="92">
        <v>509</v>
      </c>
      <c r="V21" s="94"/>
      <c r="W21" s="94"/>
      <c r="Y21" s="81"/>
      <c r="Z21" s="81"/>
      <c r="AA21" s="81"/>
      <c r="AB21" s="81"/>
      <c r="AC21" s="81"/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</row>
    <row r="22" spans="1:40" ht="14.25" customHeight="1">
      <c r="A22" s="82">
        <v>10703</v>
      </c>
      <c r="B22" s="83" t="s">
        <v>11</v>
      </c>
      <c r="C22" s="83" t="s">
        <v>43</v>
      </c>
      <c r="D22" s="83" t="s">
        <v>46</v>
      </c>
      <c r="E22" s="103">
        <v>16</v>
      </c>
      <c r="F22" s="104">
        <v>1042</v>
      </c>
      <c r="G22" s="84">
        <f t="shared" si="0"/>
        <v>4.8484848484848485E-2</v>
      </c>
      <c r="H22" s="85">
        <f t="shared" si="2"/>
        <v>0.14351515151515151</v>
      </c>
      <c r="I22" s="84">
        <f t="shared" si="1"/>
        <v>2.9101267943920012E-2</v>
      </c>
      <c r="J22" s="86">
        <f t="shared" si="3"/>
        <v>10.767469139250405</v>
      </c>
      <c r="K22" s="86">
        <f t="shared" si="4"/>
        <v>13.32858721572733</v>
      </c>
      <c r="M22" s="83">
        <v>6</v>
      </c>
      <c r="N22" s="61" t="s">
        <v>25</v>
      </c>
      <c r="O22" s="61">
        <v>33</v>
      </c>
      <c r="P22" s="61">
        <v>21</v>
      </c>
      <c r="Q22" s="91">
        <f t="shared" si="5"/>
        <v>-16.143654713334765</v>
      </c>
      <c r="R22" s="91">
        <f t="shared" si="6"/>
        <v>-14.884902975812066</v>
      </c>
      <c r="S22" s="92">
        <f t="shared" si="7"/>
        <v>7.4550000000000001</v>
      </c>
      <c r="T22" s="93">
        <v>527</v>
      </c>
      <c r="U22" s="92">
        <v>355</v>
      </c>
      <c r="V22" s="94"/>
      <c r="W22" s="94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</row>
    <row r="23" spans="1:40" ht="14.25" customHeight="1">
      <c r="A23" s="82">
        <v>10704</v>
      </c>
      <c r="B23" s="83" t="s">
        <v>11</v>
      </c>
      <c r="C23" s="83" t="s">
        <v>43</v>
      </c>
      <c r="D23" s="83" t="s">
        <v>47</v>
      </c>
      <c r="E23" s="103">
        <v>9</v>
      </c>
      <c r="F23" s="104">
        <v>1012</v>
      </c>
      <c r="G23" s="84">
        <f t="shared" si="0"/>
        <v>2.7272727272727271E-2</v>
      </c>
      <c r="H23" s="85">
        <f t="shared" si="2"/>
        <v>8.0727272727272717E-2</v>
      </c>
      <c r="I23" s="84">
        <f t="shared" si="1"/>
        <v>2.8263419538624813E-2</v>
      </c>
      <c r="J23" s="86">
        <f t="shared" si="3"/>
        <v>10.457465229291181</v>
      </c>
      <c r="K23" s="86">
        <f t="shared" si="4"/>
        <v>7.7195831836148034</v>
      </c>
      <c r="M23" s="83">
        <v>7</v>
      </c>
      <c r="N23" s="61" t="s">
        <v>27</v>
      </c>
      <c r="O23" s="61">
        <v>21</v>
      </c>
      <c r="P23" s="61">
        <v>6</v>
      </c>
      <c r="Q23" s="91">
        <f t="shared" si="5"/>
        <v>-5.5119250152473267</v>
      </c>
      <c r="R23" s="91">
        <f t="shared" si="6"/>
        <v>1.3922008229563403</v>
      </c>
      <c r="S23" s="92">
        <f t="shared" si="7"/>
        <v>12.522</v>
      </c>
      <c r="T23" s="93">
        <v>1112</v>
      </c>
      <c r="U23" s="92">
        <v>2087</v>
      </c>
      <c r="V23" s="94"/>
      <c r="W23" s="94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</row>
    <row r="24" spans="1:40" ht="14.25" customHeight="1">
      <c r="A24" s="82">
        <v>10801</v>
      </c>
      <c r="B24" s="83" t="s">
        <v>11</v>
      </c>
      <c r="C24" s="83" t="s">
        <v>48</v>
      </c>
      <c r="D24" s="83" t="s">
        <v>49</v>
      </c>
      <c r="E24" s="103">
        <v>5</v>
      </c>
      <c r="F24" s="104">
        <v>509</v>
      </c>
      <c r="G24" s="84">
        <f t="shared" si="0"/>
        <v>1.5151515151515152E-2</v>
      </c>
      <c r="H24" s="85">
        <f t="shared" si="2"/>
        <v>4.4848484848484846E-2</v>
      </c>
      <c r="I24" s="84">
        <f t="shared" si="1"/>
        <v>1.4215494609841926E-2</v>
      </c>
      <c r="J24" s="86">
        <f t="shared" si="3"/>
        <v>5.2597330056415128</v>
      </c>
      <c r="K24" s="86">
        <f t="shared" si="4"/>
        <v>8.5267607310829305</v>
      </c>
      <c r="M24" s="83">
        <v>8</v>
      </c>
      <c r="N24" s="61" t="s">
        <v>29</v>
      </c>
      <c r="O24" s="61">
        <v>34</v>
      </c>
      <c r="P24" s="61">
        <v>13</v>
      </c>
      <c r="Q24" s="91">
        <f t="shared" si="5"/>
        <v>-7.2246798603026789</v>
      </c>
      <c r="R24" s="91">
        <f t="shared" si="6"/>
        <v>-4.1639004693358501</v>
      </c>
      <c r="S24" s="92">
        <f t="shared" si="7"/>
        <v>4.3029999999999999</v>
      </c>
      <c r="T24" s="93">
        <v>639</v>
      </c>
      <c r="U24" s="92">
        <v>331</v>
      </c>
      <c r="V24" s="94"/>
      <c r="W24" s="94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</row>
    <row r="25" spans="1:40" ht="14.25" customHeight="1">
      <c r="A25" s="82">
        <v>10901</v>
      </c>
      <c r="B25" s="83" t="s">
        <v>11</v>
      </c>
      <c r="C25" s="83" t="s">
        <v>50</v>
      </c>
      <c r="D25" s="83" t="s">
        <v>51</v>
      </c>
      <c r="E25" s="103">
        <v>1</v>
      </c>
      <c r="F25" s="104">
        <v>303</v>
      </c>
      <c r="G25" s="84">
        <f t="shared" si="0"/>
        <v>3.0303030303030303E-3</v>
      </c>
      <c r="H25" s="85">
        <f t="shared" si="2"/>
        <v>8.9696969696969695E-3</v>
      </c>
      <c r="I25" s="84">
        <f t="shared" si="1"/>
        <v>8.462268893481539E-3</v>
      </c>
      <c r="J25" s="86">
        <f t="shared" si="3"/>
        <v>3.1310394905881695</v>
      </c>
      <c r="K25" s="86">
        <f t="shared" si="4"/>
        <v>2.8647664766476644</v>
      </c>
      <c r="M25" s="83">
        <v>9</v>
      </c>
      <c r="N25" s="61" t="s">
        <v>31</v>
      </c>
      <c r="O25" s="61">
        <f>43</f>
        <v>43</v>
      </c>
      <c r="P25" s="61">
        <v>10</v>
      </c>
      <c r="Q25" s="91">
        <f t="shared" si="5"/>
        <v>-38.593419506462986</v>
      </c>
      <c r="R25" s="91">
        <f t="shared" si="6"/>
        <v>-2.7072927072927069</v>
      </c>
      <c r="S25" s="92">
        <f t="shared" si="7"/>
        <v>1.06</v>
      </c>
      <c r="T25" s="93">
        <v>657</v>
      </c>
      <c r="U25" s="92">
        <v>106</v>
      </c>
      <c r="V25" s="94"/>
      <c r="W25" s="94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</row>
    <row r="26" spans="1:40" ht="14.25" customHeight="1">
      <c r="A26" s="82">
        <v>10902</v>
      </c>
      <c r="B26" s="83" t="s">
        <v>11</v>
      </c>
      <c r="C26" s="83" t="s">
        <v>50</v>
      </c>
      <c r="D26" s="83" t="s">
        <v>52</v>
      </c>
      <c r="E26" s="103">
        <v>15</v>
      </c>
      <c r="F26" s="104">
        <v>999</v>
      </c>
      <c r="G26" s="84">
        <f t="shared" si="0"/>
        <v>4.5454545454545456E-2</v>
      </c>
      <c r="H26" s="85">
        <f t="shared" si="2"/>
        <v>0.13454545454545455</v>
      </c>
      <c r="I26" s="84">
        <f t="shared" si="1"/>
        <v>2.7900351896330226E-2</v>
      </c>
      <c r="J26" s="86">
        <f t="shared" si="3"/>
        <v>10.323130201642183</v>
      </c>
      <c r="K26" s="86">
        <f t="shared" si="4"/>
        <v>13.033397033397035</v>
      </c>
      <c r="M26" s="83">
        <v>11</v>
      </c>
      <c r="N26" s="61" t="s">
        <v>34</v>
      </c>
      <c r="O26" s="61">
        <v>50</v>
      </c>
      <c r="P26" s="61">
        <v>12</v>
      </c>
      <c r="Q26" s="95">
        <f>O12-O26</f>
        <v>-25.557156405018969</v>
      </c>
      <c r="R26" s="95">
        <f>P12-P26</f>
        <v>-1.8857320353444234</v>
      </c>
      <c r="S26" s="92">
        <f t="shared" si="7"/>
        <v>84.516000000000005</v>
      </c>
      <c r="T26" s="93">
        <v>7061</v>
      </c>
      <c r="U26" s="92">
        <v>7043</v>
      </c>
      <c r="V26" s="94"/>
      <c r="W26" s="94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</row>
    <row r="27" spans="1:40" ht="14.25" customHeight="1">
      <c r="A27" s="82">
        <v>10903</v>
      </c>
      <c r="B27" s="83" t="s">
        <v>11</v>
      </c>
      <c r="C27" s="83" t="s">
        <v>50</v>
      </c>
      <c r="D27" s="83" t="s">
        <v>53</v>
      </c>
      <c r="E27" s="103">
        <v>1</v>
      </c>
      <c r="F27" s="104">
        <v>240</v>
      </c>
      <c r="G27" s="84">
        <f t="shared" si="0"/>
        <v>3.0303030303030303E-3</v>
      </c>
      <c r="H27" s="85">
        <f t="shared" si="2"/>
        <v>8.9696969696969695E-3</v>
      </c>
      <c r="I27" s="84">
        <f t="shared" si="1"/>
        <v>6.7027872423616151E-3</v>
      </c>
      <c r="J27" s="86">
        <f t="shared" si="3"/>
        <v>2.4800312796737978</v>
      </c>
      <c r="K27" s="86">
        <f t="shared" si="4"/>
        <v>3.6167676767676764</v>
      </c>
      <c r="M27" s="96" t="s">
        <v>470</v>
      </c>
      <c r="N27" s="61" t="s">
        <v>486</v>
      </c>
      <c r="O27" s="61">
        <v>36</v>
      </c>
      <c r="P27" s="61">
        <v>9</v>
      </c>
      <c r="Q27" s="97"/>
      <c r="R27" s="97"/>
      <c r="S27" s="92">
        <f t="shared" si="7"/>
        <v>44.145000000000003</v>
      </c>
      <c r="T27" s="93">
        <v>4821</v>
      </c>
      <c r="U27" s="92">
        <v>4905</v>
      </c>
      <c r="V27" s="94"/>
      <c r="W27" s="94"/>
      <c r="Y27" s="81"/>
      <c r="Z27" s="81"/>
      <c r="AA27" s="81"/>
      <c r="AB27" s="81"/>
      <c r="AC27" s="81"/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</row>
    <row r="28" spans="1:40" ht="14.25" customHeight="1">
      <c r="A28" s="82">
        <v>11001</v>
      </c>
      <c r="B28" s="83" t="s">
        <v>11</v>
      </c>
      <c r="C28" s="83" t="s">
        <v>54</v>
      </c>
      <c r="D28" s="83" t="s">
        <v>55</v>
      </c>
      <c r="E28" s="103">
        <v>4</v>
      </c>
      <c r="F28" s="104">
        <v>635</v>
      </c>
      <c r="G28" s="84">
        <f t="shared" si="0"/>
        <v>1.2121212121212121E-2</v>
      </c>
      <c r="H28" s="85">
        <f t="shared" si="2"/>
        <v>3.5878787878787878E-2</v>
      </c>
      <c r="I28" s="84">
        <f t="shared" si="1"/>
        <v>1.7734457912081773E-2</v>
      </c>
      <c r="J28" s="86">
        <f t="shared" si="3"/>
        <v>6.5617494274702564</v>
      </c>
      <c r="K28" s="86">
        <f t="shared" si="4"/>
        <v>5.4678692436172742</v>
      </c>
      <c r="M28" s="81"/>
      <c r="N28" s="61" t="s">
        <v>487</v>
      </c>
      <c r="O28" s="61">
        <v>67</v>
      </c>
      <c r="P28" s="61">
        <v>17</v>
      </c>
      <c r="Q28" s="97"/>
      <c r="R28" s="97"/>
      <c r="S28" s="92">
        <f t="shared" si="7"/>
        <v>36.329000000000001</v>
      </c>
      <c r="T28" s="93">
        <v>2240</v>
      </c>
      <c r="U28" s="92">
        <v>2137</v>
      </c>
      <c r="V28" s="94"/>
      <c r="W28" s="94"/>
      <c r="Y28" s="81"/>
      <c r="Z28" s="81"/>
      <c r="AA28" s="81"/>
      <c r="AB28" s="81"/>
      <c r="AC28" s="81"/>
      <c r="AD28" s="81"/>
      <c r="AE28" s="81"/>
      <c r="AF28" s="81"/>
      <c r="AG28" s="81"/>
      <c r="AH28" s="81"/>
      <c r="AI28" s="81"/>
      <c r="AJ28" s="81"/>
      <c r="AK28" s="81"/>
      <c r="AL28" s="81"/>
      <c r="AM28" s="81"/>
      <c r="AN28" s="81"/>
    </row>
    <row r="29" spans="1:40" ht="14.25" customHeight="1">
      <c r="A29" s="82">
        <v>11002</v>
      </c>
      <c r="B29" s="83" t="s">
        <v>11</v>
      </c>
      <c r="C29" s="83" t="s">
        <v>54</v>
      </c>
      <c r="D29" s="83" t="s">
        <v>56</v>
      </c>
      <c r="E29" s="103">
        <v>3</v>
      </c>
      <c r="F29" s="104">
        <v>167</v>
      </c>
      <c r="G29" s="84">
        <f t="shared" si="0"/>
        <v>9.0909090909090905E-3</v>
      </c>
      <c r="H29" s="85">
        <f t="shared" si="2"/>
        <v>2.6909090909090907E-2</v>
      </c>
      <c r="I29" s="84">
        <f t="shared" si="1"/>
        <v>4.6640227894766241E-3</v>
      </c>
      <c r="J29" s="86">
        <f t="shared" si="3"/>
        <v>1.725688432106351</v>
      </c>
      <c r="K29" s="86">
        <f t="shared" si="4"/>
        <v>15.593249863908543</v>
      </c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  <c r="AI29" s="81"/>
      <c r="AJ29" s="81"/>
      <c r="AK29" s="81"/>
      <c r="AL29" s="81"/>
      <c r="AM29" s="81"/>
      <c r="AN29" s="81"/>
    </row>
    <row r="30" spans="1:40" ht="14.25" customHeight="1">
      <c r="A30" s="82">
        <v>11003</v>
      </c>
      <c r="B30" s="83" t="s">
        <v>11</v>
      </c>
      <c r="C30" s="83" t="s">
        <v>54</v>
      </c>
      <c r="D30" s="83" t="s">
        <v>57</v>
      </c>
      <c r="E30" s="103">
        <v>8</v>
      </c>
      <c r="F30" s="104">
        <v>431</v>
      </c>
      <c r="G30" s="84">
        <f t="shared" si="0"/>
        <v>2.4242424242424242E-2</v>
      </c>
      <c r="H30" s="85">
        <f t="shared" si="2"/>
        <v>7.1757575757575756E-2</v>
      </c>
      <c r="I30" s="84">
        <f t="shared" si="1"/>
        <v>1.2037088756074401E-2</v>
      </c>
      <c r="J30" s="86">
        <f t="shared" si="3"/>
        <v>4.4537228397475284</v>
      </c>
      <c r="K30" s="86">
        <f t="shared" si="4"/>
        <v>16.111818884904729</v>
      </c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</row>
    <row r="31" spans="1:40" ht="14.25" customHeight="1">
      <c r="A31" s="82">
        <v>20101</v>
      </c>
      <c r="B31" s="83" t="s">
        <v>15</v>
      </c>
      <c r="C31" s="83" t="s">
        <v>58</v>
      </c>
      <c r="D31" s="83" t="s">
        <v>59</v>
      </c>
      <c r="E31" s="103">
        <v>352</v>
      </c>
      <c r="F31" s="104">
        <v>34528</v>
      </c>
      <c r="G31" s="84">
        <f>E31/$R$3</f>
        <v>0.15384615384615385</v>
      </c>
      <c r="H31" s="85">
        <f>$S$18*G31</f>
        <v>4.0107692307692311</v>
      </c>
      <c r="I31" s="84">
        <f>F31/$S$3</f>
        <v>0.19706300331596399</v>
      </c>
      <c r="J31" s="86">
        <f>I31*$U$18</f>
        <v>342.4954997631454</v>
      </c>
      <c r="K31" s="86">
        <f t="shared" si="4"/>
        <v>11.710428994082841</v>
      </c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  <c r="AI31" s="81"/>
      <c r="AJ31" s="81"/>
      <c r="AK31" s="81"/>
      <c r="AL31" s="81"/>
      <c r="AM31" s="81"/>
      <c r="AN31" s="81"/>
    </row>
    <row r="32" spans="1:40" ht="14.25" customHeight="1">
      <c r="A32" s="82">
        <v>20102</v>
      </c>
      <c r="B32" s="83" t="s">
        <v>15</v>
      </c>
      <c r="C32" s="83" t="s">
        <v>58</v>
      </c>
      <c r="D32" s="83" t="s">
        <v>60</v>
      </c>
      <c r="E32" s="103">
        <v>26</v>
      </c>
      <c r="F32" s="104">
        <v>1505</v>
      </c>
      <c r="G32" s="84">
        <f t="shared" ref="G32:G56" si="8">E32/$R$3</f>
        <v>1.1363636363636364E-2</v>
      </c>
      <c r="H32" s="85">
        <f t="shared" ref="H32:H95" si="9">$S$18*G32</f>
        <v>0.29625000000000001</v>
      </c>
      <c r="I32" s="84">
        <f t="shared" ref="I32:I56" si="10">F32/$S$3</f>
        <v>8.5895452962965069E-3</v>
      </c>
      <c r="J32" s="86">
        <f t="shared" ref="J32:J95" si="11">I32*$U$18</f>
        <v>14.928629724963329</v>
      </c>
      <c r="K32" s="86">
        <f t="shared" si="4"/>
        <v>19.844420114768955</v>
      </c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  <c r="AI32" s="81"/>
      <c r="AJ32" s="81"/>
      <c r="AK32" s="81"/>
      <c r="AL32" s="81"/>
      <c r="AM32" s="81"/>
      <c r="AN32" s="81"/>
    </row>
    <row r="33" spans="1:40" ht="14.25" customHeight="1">
      <c r="A33" s="82">
        <v>20103</v>
      </c>
      <c r="B33" s="83" t="s">
        <v>15</v>
      </c>
      <c r="C33" s="83" t="s">
        <v>58</v>
      </c>
      <c r="D33" s="83" t="s">
        <v>61</v>
      </c>
      <c r="E33" s="103">
        <v>14</v>
      </c>
      <c r="F33" s="104">
        <v>1157</v>
      </c>
      <c r="G33" s="84">
        <f t="shared" si="8"/>
        <v>6.118881118881119E-3</v>
      </c>
      <c r="H33" s="85">
        <f t="shared" si="9"/>
        <v>0.15951923076923077</v>
      </c>
      <c r="I33" s="84">
        <f t="shared" si="10"/>
        <v>6.6033913008737939E-3</v>
      </c>
      <c r="J33" s="86">
        <f t="shared" si="11"/>
        <v>11.476694080918653</v>
      </c>
      <c r="K33" s="86">
        <f t="shared" si="4"/>
        <v>13.899406017491584</v>
      </c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</row>
    <row r="34" spans="1:40" ht="14.25" customHeight="1">
      <c r="A34" s="82">
        <v>20104</v>
      </c>
      <c r="B34" s="83" t="s">
        <v>15</v>
      </c>
      <c r="C34" s="83" t="s">
        <v>58</v>
      </c>
      <c r="D34" s="83" t="s">
        <v>62</v>
      </c>
      <c r="E34" s="103">
        <v>38</v>
      </c>
      <c r="F34" s="104">
        <v>2909</v>
      </c>
      <c r="G34" s="84">
        <f t="shared" si="8"/>
        <v>1.6608391608391608E-2</v>
      </c>
      <c r="H34" s="85">
        <f t="shared" si="9"/>
        <v>0.43298076923076922</v>
      </c>
      <c r="I34" s="84">
        <f t="shared" si="10"/>
        <v>1.6602649346795045E-2</v>
      </c>
      <c r="J34" s="86">
        <f t="shared" si="11"/>
        <v>28.855404564729788</v>
      </c>
      <c r="K34" s="86">
        <f t="shared" si="4"/>
        <v>15.0051879626046</v>
      </c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</row>
    <row r="35" spans="1:40" ht="14.25" customHeight="1">
      <c r="A35" s="82">
        <v>20105</v>
      </c>
      <c r="B35" s="83" t="s">
        <v>15</v>
      </c>
      <c r="C35" s="83" t="s">
        <v>58</v>
      </c>
      <c r="D35" s="83" t="s">
        <v>63</v>
      </c>
      <c r="E35" s="103">
        <v>751</v>
      </c>
      <c r="F35" s="104">
        <v>56954</v>
      </c>
      <c r="G35" s="84">
        <f t="shared" si="8"/>
        <v>0.32823426573426573</v>
      </c>
      <c r="H35" s="85">
        <f t="shared" si="9"/>
        <v>8.5570673076923072</v>
      </c>
      <c r="I35" s="84">
        <f t="shared" si="10"/>
        <v>0.32505578923938294</v>
      </c>
      <c r="J35" s="86">
        <f t="shared" si="11"/>
        <v>564.94696169804752</v>
      </c>
      <c r="K35" s="86">
        <f t="shared" si="4"/>
        <v>15.146673737252316</v>
      </c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81"/>
      <c r="AK35" s="81"/>
      <c r="AL35" s="81"/>
      <c r="AM35" s="81"/>
      <c r="AN35" s="81"/>
    </row>
    <row r="36" spans="1:40" ht="14.25" customHeight="1">
      <c r="A36" s="82">
        <v>20201</v>
      </c>
      <c r="B36" s="83" t="s">
        <v>15</v>
      </c>
      <c r="C36" s="83" t="s">
        <v>64</v>
      </c>
      <c r="D36" s="83" t="s">
        <v>65</v>
      </c>
      <c r="E36" s="103">
        <v>41</v>
      </c>
      <c r="F36" s="104">
        <v>2499</v>
      </c>
      <c r="G36" s="84">
        <f t="shared" si="8"/>
        <v>1.791958041958042E-2</v>
      </c>
      <c r="H36" s="85">
        <f t="shared" si="9"/>
        <v>0.46716346153846156</v>
      </c>
      <c r="I36" s="84">
        <f t="shared" si="10"/>
        <v>1.4262640329199317E-2</v>
      </c>
      <c r="J36" s="86">
        <f t="shared" si="11"/>
        <v>24.788468892148412</v>
      </c>
      <c r="K36" s="86">
        <f t="shared" si="4"/>
        <v>18.845999063961251</v>
      </c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  <c r="AI36" s="81"/>
      <c r="AJ36" s="81"/>
      <c r="AK36" s="81"/>
      <c r="AL36" s="81"/>
      <c r="AM36" s="81"/>
      <c r="AN36" s="81"/>
    </row>
    <row r="37" spans="1:40" ht="14.25" customHeight="1">
      <c r="A37" s="82">
        <v>20202</v>
      </c>
      <c r="B37" s="83" t="s">
        <v>15</v>
      </c>
      <c r="C37" s="83" t="s">
        <v>64</v>
      </c>
      <c r="D37" s="83" t="s">
        <v>66</v>
      </c>
      <c r="E37" s="103">
        <v>11</v>
      </c>
      <c r="F37" s="104">
        <v>821</v>
      </c>
      <c r="G37" s="84">
        <f t="shared" si="8"/>
        <v>4.807692307692308E-3</v>
      </c>
      <c r="H37" s="85">
        <f t="shared" si="9"/>
        <v>0.12533653846153847</v>
      </c>
      <c r="I37" s="84">
        <f t="shared" si="10"/>
        <v>4.6857253742587594E-3</v>
      </c>
      <c r="J37" s="86">
        <f t="shared" si="11"/>
        <v>8.1437907004617234</v>
      </c>
      <c r="K37" s="86">
        <f t="shared" si="4"/>
        <v>15.39044200318561</v>
      </c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  <c r="AI37" s="81"/>
      <c r="AJ37" s="81"/>
      <c r="AK37" s="81"/>
      <c r="AL37" s="81"/>
      <c r="AM37" s="81"/>
      <c r="AN37" s="81"/>
    </row>
    <row r="38" spans="1:40" ht="14.25" customHeight="1">
      <c r="A38" s="82">
        <v>20203</v>
      </c>
      <c r="B38" s="83" t="s">
        <v>15</v>
      </c>
      <c r="C38" s="83" t="s">
        <v>64</v>
      </c>
      <c r="D38" s="83" t="s">
        <v>67</v>
      </c>
      <c r="E38" s="103">
        <v>6</v>
      </c>
      <c r="F38" s="104">
        <v>333</v>
      </c>
      <c r="G38" s="84">
        <f t="shared" si="8"/>
        <v>2.6223776223776225E-3</v>
      </c>
      <c r="H38" s="85">
        <f t="shared" si="9"/>
        <v>6.836538461538462E-2</v>
      </c>
      <c r="I38" s="84">
        <f t="shared" si="10"/>
        <v>1.9005439094131142E-3</v>
      </c>
      <c r="J38" s="86">
        <f t="shared" si="11"/>
        <v>3.3031453145599925</v>
      </c>
      <c r="K38" s="86">
        <f t="shared" si="4"/>
        <v>20.697056322056323</v>
      </c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</row>
    <row r="39" spans="1:40" ht="14.25" customHeight="1">
      <c r="A39" s="82">
        <v>20204</v>
      </c>
      <c r="B39" s="83" t="s">
        <v>15</v>
      </c>
      <c r="C39" s="83" t="s">
        <v>64</v>
      </c>
      <c r="D39" s="83" t="s">
        <v>68</v>
      </c>
      <c r="E39" s="103">
        <v>6</v>
      </c>
      <c r="F39" s="104">
        <v>418</v>
      </c>
      <c r="G39" s="84">
        <f t="shared" si="8"/>
        <v>2.6223776223776225E-3</v>
      </c>
      <c r="H39" s="85">
        <f t="shared" si="9"/>
        <v>6.836538461538462E-2</v>
      </c>
      <c r="I39" s="84">
        <f t="shared" si="10"/>
        <v>2.3856677301341794E-3</v>
      </c>
      <c r="J39" s="86">
        <f t="shared" si="11"/>
        <v>4.1462905149732041</v>
      </c>
      <c r="K39" s="86">
        <f t="shared" si="4"/>
        <v>16.488324773312812</v>
      </c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  <c r="AI39" s="81"/>
      <c r="AJ39" s="81"/>
      <c r="AK39" s="81"/>
      <c r="AL39" s="81"/>
      <c r="AM39" s="81"/>
      <c r="AN39" s="81"/>
    </row>
    <row r="40" spans="1:40" ht="14.25" customHeight="1">
      <c r="A40" s="82">
        <v>20205</v>
      </c>
      <c r="B40" s="83" t="s">
        <v>15</v>
      </c>
      <c r="C40" s="83" t="s">
        <v>64</v>
      </c>
      <c r="D40" s="83" t="s">
        <v>69</v>
      </c>
      <c r="E40" s="103">
        <v>3</v>
      </c>
      <c r="F40" s="104">
        <v>414</v>
      </c>
      <c r="G40" s="84">
        <f t="shared" si="8"/>
        <v>1.3111888111888112E-3</v>
      </c>
      <c r="H40" s="85">
        <f t="shared" si="9"/>
        <v>3.418269230769231E-2</v>
      </c>
      <c r="I40" s="84">
        <f t="shared" si="10"/>
        <v>2.3628383738649528E-3</v>
      </c>
      <c r="J40" s="86">
        <f t="shared" si="11"/>
        <v>4.1066130937772876</v>
      </c>
      <c r="K40" s="86">
        <f t="shared" si="4"/>
        <v>8.3238161295226529</v>
      </c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</row>
    <row r="41" spans="1:40" ht="14.25" customHeight="1">
      <c r="A41" s="82">
        <v>20206</v>
      </c>
      <c r="B41" s="83" t="s">
        <v>15</v>
      </c>
      <c r="C41" s="83" t="s">
        <v>64</v>
      </c>
      <c r="D41" s="83" t="s">
        <v>70</v>
      </c>
      <c r="E41" s="103">
        <v>7</v>
      </c>
      <c r="F41" s="104">
        <v>188</v>
      </c>
      <c r="G41" s="84">
        <f t="shared" si="8"/>
        <v>3.0594405594405595E-3</v>
      </c>
      <c r="H41" s="85">
        <f t="shared" si="9"/>
        <v>7.9759615384615387E-2</v>
      </c>
      <c r="I41" s="84">
        <f t="shared" si="10"/>
        <v>1.0729797446536501E-3</v>
      </c>
      <c r="J41" s="86">
        <f t="shared" si="11"/>
        <v>1.8648387962080439</v>
      </c>
      <c r="K41" s="86">
        <f t="shared" si="4"/>
        <v>42.770246708079156</v>
      </c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  <c r="AI41" s="81"/>
      <c r="AJ41" s="81"/>
      <c r="AK41" s="81"/>
      <c r="AL41" s="81"/>
      <c r="AM41" s="81"/>
      <c r="AN41" s="81"/>
    </row>
    <row r="42" spans="1:40" ht="14.25" customHeight="1">
      <c r="A42" s="82">
        <v>20301</v>
      </c>
      <c r="B42" s="83" t="s">
        <v>15</v>
      </c>
      <c r="C42" s="83" t="s">
        <v>71</v>
      </c>
      <c r="D42" s="83" t="s">
        <v>72</v>
      </c>
      <c r="E42" s="103">
        <v>15</v>
      </c>
      <c r="F42" s="104">
        <v>655</v>
      </c>
      <c r="G42" s="84">
        <f t="shared" si="8"/>
        <v>6.555944055944056E-3</v>
      </c>
      <c r="H42" s="85">
        <f t="shared" si="9"/>
        <v>0.17091346153846154</v>
      </c>
      <c r="I42" s="84">
        <f t="shared" si="10"/>
        <v>3.7383070890858556E-3</v>
      </c>
      <c r="J42" s="86">
        <f t="shared" si="11"/>
        <v>6.4971777208312167</v>
      </c>
      <c r="K42" s="86">
        <f t="shared" si="4"/>
        <v>26.305800592537235</v>
      </c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  <c r="AI42" s="81"/>
      <c r="AJ42" s="81"/>
      <c r="AK42" s="81"/>
      <c r="AL42" s="81"/>
      <c r="AM42" s="81"/>
      <c r="AN42" s="81"/>
    </row>
    <row r="43" spans="1:40" ht="14.25" customHeight="1">
      <c r="A43" s="82">
        <v>20302</v>
      </c>
      <c r="B43" s="83" t="s">
        <v>15</v>
      </c>
      <c r="C43" s="83" t="s">
        <v>71</v>
      </c>
      <c r="D43" s="83" t="s">
        <v>73</v>
      </c>
      <c r="E43" s="103">
        <v>11</v>
      </c>
      <c r="F43" s="104">
        <v>742</v>
      </c>
      <c r="G43" s="84">
        <f t="shared" si="8"/>
        <v>4.807692307692308E-3</v>
      </c>
      <c r="H43" s="85">
        <f t="shared" si="9"/>
        <v>0.12533653846153847</v>
      </c>
      <c r="I43" s="84">
        <f t="shared" si="10"/>
        <v>4.2348455879415341E-3</v>
      </c>
      <c r="J43" s="86">
        <f t="shared" si="11"/>
        <v>7.3601616318423861</v>
      </c>
      <c r="K43" s="86">
        <f t="shared" si="4"/>
        <v>17.02904701430645</v>
      </c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  <c r="AI43" s="81"/>
      <c r="AJ43" s="81"/>
      <c r="AK43" s="81"/>
      <c r="AL43" s="81"/>
      <c r="AM43" s="81"/>
      <c r="AN43" s="81"/>
    </row>
    <row r="44" spans="1:40" ht="14.25" customHeight="1">
      <c r="A44" s="82">
        <v>20303</v>
      </c>
      <c r="B44" s="83" t="s">
        <v>15</v>
      </c>
      <c r="C44" s="83" t="s">
        <v>71</v>
      </c>
      <c r="D44" s="83" t="s">
        <v>74</v>
      </c>
      <c r="E44" s="103">
        <v>11</v>
      </c>
      <c r="F44" s="104">
        <v>570</v>
      </c>
      <c r="G44" s="84">
        <f t="shared" si="8"/>
        <v>4.807692307692308E-3</v>
      </c>
      <c r="H44" s="85">
        <f t="shared" si="9"/>
        <v>0.12533653846153847</v>
      </c>
      <c r="I44" s="84">
        <f t="shared" si="10"/>
        <v>3.2531832683647902E-3</v>
      </c>
      <c r="J44" s="86">
        <f t="shared" si="11"/>
        <v>5.6540325204180055</v>
      </c>
      <c r="K44" s="86">
        <f t="shared" si="4"/>
        <v>22.167636639676115</v>
      </c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</row>
    <row r="45" spans="1:40" ht="14.25" customHeight="1">
      <c r="A45" s="82">
        <v>20304</v>
      </c>
      <c r="B45" s="83" t="s">
        <v>15</v>
      </c>
      <c r="C45" s="83" t="s">
        <v>71</v>
      </c>
      <c r="D45" s="83" t="s">
        <v>75</v>
      </c>
      <c r="E45" s="103">
        <v>4</v>
      </c>
      <c r="F45" s="104">
        <v>310</v>
      </c>
      <c r="G45" s="84">
        <f t="shared" si="8"/>
        <v>1.7482517482517483E-3</v>
      </c>
      <c r="H45" s="85">
        <f t="shared" si="9"/>
        <v>4.5576923076923077E-2</v>
      </c>
      <c r="I45" s="84">
        <f t="shared" si="10"/>
        <v>1.7692751108650613E-3</v>
      </c>
      <c r="J45" s="86">
        <f t="shared" si="11"/>
        <v>3.0750001426834768</v>
      </c>
      <c r="K45" s="86">
        <f t="shared" si="4"/>
        <v>14.82176291450485</v>
      </c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  <c r="AI45" s="81"/>
      <c r="AJ45" s="81"/>
      <c r="AK45" s="81"/>
      <c r="AL45" s="81"/>
      <c r="AM45" s="81"/>
      <c r="AN45" s="81"/>
    </row>
    <row r="46" spans="1:40" ht="14.25" customHeight="1">
      <c r="A46" s="82">
        <v>20305</v>
      </c>
      <c r="B46" s="83" t="s">
        <v>15</v>
      </c>
      <c r="C46" s="83" t="s">
        <v>71</v>
      </c>
      <c r="D46" s="83" t="s">
        <v>76</v>
      </c>
      <c r="E46" s="103">
        <v>6</v>
      </c>
      <c r="F46" s="104">
        <v>233</v>
      </c>
      <c r="G46" s="84">
        <f t="shared" si="8"/>
        <v>2.6223776223776225E-3</v>
      </c>
      <c r="H46" s="85">
        <f t="shared" si="9"/>
        <v>6.836538461538462E-2</v>
      </c>
      <c r="I46" s="84">
        <f t="shared" si="10"/>
        <v>1.3298100026824494E-3</v>
      </c>
      <c r="J46" s="86">
        <f t="shared" si="11"/>
        <v>2.3112097846620969</v>
      </c>
      <c r="K46" s="86">
        <f t="shared" si="4"/>
        <v>29.579913112638433</v>
      </c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</row>
    <row r="47" spans="1:40" ht="14.25" customHeight="1">
      <c r="A47" s="82">
        <v>20306</v>
      </c>
      <c r="B47" s="83" t="s">
        <v>15</v>
      </c>
      <c r="C47" s="83" t="s">
        <v>71</v>
      </c>
      <c r="D47" s="83" t="s">
        <v>77</v>
      </c>
      <c r="E47" s="103">
        <v>7</v>
      </c>
      <c r="F47" s="104">
        <v>220</v>
      </c>
      <c r="G47" s="84">
        <f t="shared" si="8"/>
        <v>3.0594405594405595E-3</v>
      </c>
      <c r="H47" s="85">
        <f t="shared" si="9"/>
        <v>7.9759615384615387E-2</v>
      </c>
      <c r="I47" s="84">
        <f t="shared" si="10"/>
        <v>1.255614594807463E-3</v>
      </c>
      <c r="J47" s="86">
        <f t="shared" si="11"/>
        <v>2.1822581657753708</v>
      </c>
      <c r="K47" s="86">
        <f t="shared" si="4"/>
        <v>36.549119914176728</v>
      </c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  <c r="AB47" s="81"/>
      <c r="AC47" s="81"/>
      <c r="AD47" s="81"/>
      <c r="AE47" s="81"/>
      <c r="AF47" s="81"/>
      <c r="AG47" s="81"/>
      <c r="AH47" s="81"/>
      <c r="AI47" s="81"/>
      <c r="AJ47" s="81"/>
      <c r="AK47" s="81"/>
      <c r="AL47" s="81"/>
      <c r="AM47" s="81"/>
      <c r="AN47" s="81"/>
    </row>
    <row r="48" spans="1:40" ht="14.25" customHeight="1">
      <c r="A48" s="82">
        <v>20307</v>
      </c>
      <c r="B48" s="83" t="s">
        <v>15</v>
      </c>
      <c r="C48" s="83" t="s">
        <v>71</v>
      </c>
      <c r="D48" s="83" t="s">
        <v>78</v>
      </c>
      <c r="E48" s="103">
        <v>1</v>
      </c>
      <c r="F48" s="104">
        <v>224</v>
      </c>
      <c r="G48" s="84">
        <f t="shared" si="8"/>
        <v>4.3706293706293706E-4</v>
      </c>
      <c r="H48" s="85">
        <f t="shared" si="9"/>
        <v>1.1394230769230769E-2</v>
      </c>
      <c r="I48" s="84">
        <f t="shared" si="10"/>
        <v>1.2784439510766896E-3</v>
      </c>
      <c r="J48" s="86">
        <f t="shared" si="11"/>
        <v>2.2219355869712865</v>
      </c>
      <c r="K48" s="86">
        <f t="shared" si="4"/>
        <v>5.128065294080919</v>
      </c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  <c r="AA48" s="81"/>
      <c r="AB48" s="81"/>
      <c r="AC48" s="81"/>
      <c r="AD48" s="81"/>
      <c r="AE48" s="81"/>
      <c r="AF48" s="81"/>
      <c r="AG48" s="81"/>
      <c r="AH48" s="81"/>
      <c r="AI48" s="81"/>
      <c r="AJ48" s="81"/>
      <c r="AK48" s="81"/>
      <c r="AL48" s="81"/>
      <c r="AM48" s="81"/>
      <c r="AN48" s="81"/>
    </row>
    <row r="49" spans="1:40" ht="14.25" customHeight="1">
      <c r="A49" s="82">
        <v>20308</v>
      </c>
      <c r="B49" s="83" t="s">
        <v>15</v>
      </c>
      <c r="C49" s="83" t="s">
        <v>71</v>
      </c>
      <c r="D49" s="83" t="s">
        <v>79</v>
      </c>
      <c r="E49" s="103">
        <v>3</v>
      </c>
      <c r="F49" s="104">
        <v>350</v>
      </c>
      <c r="G49" s="84">
        <f t="shared" si="8"/>
        <v>1.3111888111888112E-3</v>
      </c>
      <c r="H49" s="85">
        <f t="shared" si="9"/>
        <v>3.418269230769231E-2</v>
      </c>
      <c r="I49" s="84">
        <f t="shared" si="10"/>
        <v>1.9975686735573274E-3</v>
      </c>
      <c r="J49" s="86">
        <f t="shared" si="11"/>
        <v>3.4717743546426352</v>
      </c>
      <c r="K49" s="86">
        <f t="shared" si="4"/>
        <v>9.8458853646353646</v>
      </c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  <c r="AA49" s="81"/>
      <c r="AB49" s="81"/>
      <c r="AC49" s="81"/>
      <c r="AD49" s="81"/>
      <c r="AE49" s="81"/>
      <c r="AF49" s="81"/>
      <c r="AG49" s="81"/>
      <c r="AH49" s="81"/>
      <c r="AI49" s="81"/>
      <c r="AJ49" s="81"/>
      <c r="AK49" s="81"/>
      <c r="AL49" s="81"/>
      <c r="AM49" s="81"/>
      <c r="AN49" s="81"/>
    </row>
    <row r="50" spans="1:40" ht="14.25" customHeight="1">
      <c r="A50" s="82">
        <v>20401</v>
      </c>
      <c r="B50" s="83" t="s">
        <v>15</v>
      </c>
      <c r="C50" s="83" t="s">
        <v>80</v>
      </c>
      <c r="D50" s="83" t="s">
        <v>81</v>
      </c>
      <c r="E50" s="103">
        <v>8</v>
      </c>
      <c r="F50" s="104">
        <v>624</v>
      </c>
      <c r="G50" s="84">
        <f t="shared" si="8"/>
        <v>3.4965034965034965E-3</v>
      </c>
      <c r="H50" s="85">
        <f t="shared" si="9"/>
        <v>9.1153846153846155E-2</v>
      </c>
      <c r="I50" s="84">
        <f t="shared" si="10"/>
        <v>3.5613795779993493E-3</v>
      </c>
      <c r="J50" s="86">
        <f t="shared" si="11"/>
        <v>6.1896777065628692</v>
      </c>
      <c r="K50" s="86">
        <f t="shared" si="4"/>
        <v>14.726751613770846</v>
      </c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  <c r="AA50" s="81"/>
      <c r="AB50" s="81"/>
      <c r="AC50" s="81"/>
      <c r="AD50" s="81"/>
      <c r="AE50" s="81"/>
      <c r="AF50" s="81"/>
      <c r="AG50" s="81"/>
      <c r="AH50" s="81"/>
      <c r="AI50" s="81"/>
      <c r="AJ50" s="81"/>
      <c r="AK50" s="81"/>
      <c r="AL50" s="81"/>
      <c r="AM50" s="81"/>
      <c r="AN50" s="81"/>
    </row>
    <row r="51" spans="1:40" ht="14.25" customHeight="1">
      <c r="A51" s="82">
        <v>20402</v>
      </c>
      <c r="B51" s="83" t="s">
        <v>15</v>
      </c>
      <c r="C51" s="83" t="s">
        <v>80</v>
      </c>
      <c r="D51" s="83" t="s">
        <v>82</v>
      </c>
      <c r="E51" s="103">
        <v>11</v>
      </c>
      <c r="F51" s="104">
        <v>785</v>
      </c>
      <c r="G51" s="84">
        <f t="shared" si="8"/>
        <v>4.807692307692308E-3</v>
      </c>
      <c r="H51" s="85">
        <f t="shared" si="9"/>
        <v>0.12533653846153847</v>
      </c>
      <c r="I51" s="84">
        <f t="shared" si="10"/>
        <v>4.4802611678357203E-3</v>
      </c>
      <c r="J51" s="86">
        <f t="shared" si="11"/>
        <v>7.7866939096984815</v>
      </c>
      <c r="K51" s="86">
        <f t="shared" si="4"/>
        <v>16.096245712885839</v>
      </c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  <c r="AA51" s="81"/>
      <c r="AB51" s="81"/>
      <c r="AC51" s="81"/>
      <c r="AD51" s="81"/>
      <c r="AE51" s="81"/>
      <c r="AF51" s="81"/>
      <c r="AG51" s="81"/>
      <c r="AH51" s="81"/>
      <c r="AI51" s="81"/>
      <c r="AJ51" s="81"/>
      <c r="AK51" s="81"/>
      <c r="AL51" s="81"/>
      <c r="AM51" s="81"/>
      <c r="AN51" s="81"/>
    </row>
    <row r="52" spans="1:40" ht="14.25" customHeight="1">
      <c r="A52" s="82">
        <v>20403</v>
      </c>
      <c r="B52" s="83" t="s">
        <v>15</v>
      </c>
      <c r="C52" s="83" t="s">
        <v>80</v>
      </c>
      <c r="D52" s="83" t="s">
        <v>83</v>
      </c>
      <c r="E52" s="103">
        <v>17</v>
      </c>
      <c r="F52" s="104">
        <v>834</v>
      </c>
      <c r="G52" s="84">
        <f t="shared" si="8"/>
        <v>7.43006993006993E-3</v>
      </c>
      <c r="H52" s="85">
        <f t="shared" si="9"/>
        <v>0.19370192307692308</v>
      </c>
      <c r="I52" s="84">
        <f t="shared" si="10"/>
        <v>4.7599207821337457E-3</v>
      </c>
      <c r="J52" s="86">
        <f t="shared" si="11"/>
        <v>8.2727423193484508</v>
      </c>
      <c r="K52" s="86">
        <f t="shared" si="4"/>
        <v>23.414475587362276</v>
      </c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  <c r="AA52" s="81"/>
      <c r="AB52" s="81"/>
      <c r="AC52" s="81"/>
      <c r="AD52" s="81"/>
      <c r="AE52" s="81"/>
      <c r="AF52" s="81"/>
      <c r="AG52" s="81"/>
      <c r="AH52" s="81"/>
      <c r="AI52" s="81"/>
      <c r="AJ52" s="81"/>
      <c r="AK52" s="81"/>
      <c r="AL52" s="81"/>
      <c r="AM52" s="81"/>
      <c r="AN52" s="81"/>
    </row>
    <row r="53" spans="1:40" ht="14.25" customHeight="1">
      <c r="A53" s="82">
        <v>20404</v>
      </c>
      <c r="B53" s="83" t="s">
        <v>15</v>
      </c>
      <c r="C53" s="83" t="s">
        <v>80</v>
      </c>
      <c r="D53" s="83" t="s">
        <v>84</v>
      </c>
      <c r="E53" s="103">
        <v>2</v>
      </c>
      <c r="F53" s="104">
        <v>276</v>
      </c>
      <c r="G53" s="84">
        <f t="shared" si="8"/>
        <v>8.7412587412587413E-4</v>
      </c>
      <c r="H53" s="85">
        <f t="shared" si="9"/>
        <v>2.2788461538461539E-2</v>
      </c>
      <c r="I53" s="84">
        <f t="shared" si="10"/>
        <v>1.5752255825766353E-3</v>
      </c>
      <c r="J53" s="86">
        <f t="shared" si="11"/>
        <v>2.7377420625181923</v>
      </c>
      <c r="K53" s="86">
        <f t="shared" si="4"/>
        <v>8.3238161295226512</v>
      </c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  <c r="AA53" s="81"/>
      <c r="AB53" s="81"/>
      <c r="AC53" s="81"/>
      <c r="AD53" s="81"/>
      <c r="AE53" s="81"/>
      <c r="AF53" s="81"/>
      <c r="AG53" s="81"/>
      <c r="AH53" s="81"/>
      <c r="AI53" s="81"/>
      <c r="AJ53" s="81"/>
      <c r="AK53" s="81"/>
      <c r="AL53" s="81"/>
      <c r="AM53" s="81"/>
      <c r="AN53" s="81"/>
    </row>
    <row r="54" spans="1:40" ht="14.25" customHeight="1">
      <c r="A54" s="82">
        <v>20405</v>
      </c>
      <c r="B54" s="83" t="s">
        <v>15</v>
      </c>
      <c r="C54" s="83" t="s">
        <v>80</v>
      </c>
      <c r="D54" s="83" t="s">
        <v>85</v>
      </c>
      <c r="E54" s="103">
        <v>6</v>
      </c>
      <c r="F54" s="104">
        <v>384</v>
      </c>
      <c r="G54" s="84">
        <f t="shared" si="8"/>
        <v>2.6223776223776225E-3</v>
      </c>
      <c r="H54" s="85">
        <f t="shared" si="9"/>
        <v>6.836538461538462E-2</v>
      </c>
      <c r="I54" s="84">
        <f t="shared" si="10"/>
        <v>2.1916182018457534E-3</v>
      </c>
      <c r="J54" s="86">
        <f t="shared" si="11"/>
        <v>3.8090324348079196</v>
      </c>
      <c r="K54" s="86">
        <f t="shared" si="4"/>
        <v>17.948228529283217</v>
      </c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  <c r="AB54" s="81"/>
      <c r="AC54" s="81"/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</row>
    <row r="55" spans="1:40" ht="14.25" customHeight="1">
      <c r="A55" s="82">
        <v>20501</v>
      </c>
      <c r="B55" s="83" t="s">
        <v>15</v>
      </c>
      <c r="C55" s="83" t="s">
        <v>86</v>
      </c>
      <c r="D55" s="83" t="s">
        <v>87</v>
      </c>
      <c r="E55" s="103">
        <v>8</v>
      </c>
      <c r="F55" s="104">
        <v>908</v>
      </c>
      <c r="G55" s="84">
        <f t="shared" si="8"/>
        <v>3.4965034965034965E-3</v>
      </c>
      <c r="H55" s="85">
        <f t="shared" si="9"/>
        <v>9.1153846153846155E-2</v>
      </c>
      <c r="I55" s="84">
        <f t="shared" si="10"/>
        <v>5.1822638731144378E-3</v>
      </c>
      <c r="J55" s="86">
        <f t="shared" si="11"/>
        <v>9.0067746114728937</v>
      </c>
      <c r="K55" s="86">
        <f t="shared" si="4"/>
        <v>10.120587012106835</v>
      </c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  <c r="AA55" s="81"/>
      <c r="AB55" s="81"/>
      <c r="AC55" s="81"/>
      <c r="AD55" s="81"/>
      <c r="AE55" s="81"/>
      <c r="AF55" s="81"/>
      <c r="AG55" s="81"/>
      <c r="AH55" s="81"/>
      <c r="AI55" s="81"/>
      <c r="AJ55" s="81"/>
      <c r="AK55" s="81"/>
      <c r="AL55" s="81"/>
      <c r="AM55" s="81"/>
      <c r="AN55" s="81"/>
    </row>
    <row r="56" spans="1:40" ht="14.25" customHeight="1">
      <c r="A56" s="82">
        <v>20502</v>
      </c>
      <c r="B56" s="83" t="s">
        <v>15</v>
      </c>
      <c r="C56" s="83" t="s">
        <v>86</v>
      </c>
      <c r="D56" s="83" t="s">
        <v>88</v>
      </c>
      <c r="E56" s="103">
        <v>3</v>
      </c>
      <c r="F56" s="104">
        <v>453</v>
      </c>
      <c r="G56" s="84">
        <f t="shared" si="8"/>
        <v>1.3111888111888112E-3</v>
      </c>
      <c r="H56" s="85">
        <f t="shared" si="9"/>
        <v>3.418269230769231E-2</v>
      </c>
      <c r="I56" s="84">
        <f t="shared" si="10"/>
        <v>2.5854245974899124E-3</v>
      </c>
      <c r="J56" s="86">
        <f t="shared" si="11"/>
        <v>4.4934679504374673</v>
      </c>
      <c r="K56" s="86">
        <f t="shared" si="4"/>
        <v>7.6071961978418932</v>
      </c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  <c r="AA56" s="81"/>
      <c r="AB56" s="81"/>
      <c r="AC56" s="81"/>
      <c r="AD56" s="81"/>
      <c r="AE56" s="81"/>
      <c r="AF56" s="81"/>
      <c r="AG56" s="81"/>
      <c r="AH56" s="81"/>
      <c r="AI56" s="81"/>
      <c r="AJ56" s="81"/>
      <c r="AK56" s="81"/>
      <c r="AL56" s="81"/>
      <c r="AM56" s="81"/>
      <c r="AN56" s="81"/>
    </row>
    <row r="57" spans="1:40" ht="14.25" customHeight="1">
      <c r="A57" s="82">
        <v>20503</v>
      </c>
      <c r="B57" s="83" t="s">
        <v>15</v>
      </c>
      <c r="C57" s="83" t="s">
        <v>86</v>
      </c>
      <c r="D57" s="83" t="s">
        <v>89</v>
      </c>
      <c r="E57" s="103">
        <v>4</v>
      </c>
      <c r="F57" s="104">
        <v>445</v>
      </c>
      <c r="G57" s="84">
        <f>E57/$R$3</f>
        <v>1.7482517482517483E-3</v>
      </c>
      <c r="H57" s="85">
        <f>$S$18*G57</f>
        <v>4.5576923076923077E-2</v>
      </c>
      <c r="I57" s="84">
        <f>F57/$S$3</f>
        <v>2.5397658849514592E-3</v>
      </c>
      <c r="J57" s="86">
        <f>I57*$U$18</f>
        <v>4.4141131080456359</v>
      </c>
      <c r="K57" s="86">
        <f t="shared" si="4"/>
        <v>10.325273041565177</v>
      </c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  <c r="AD57" s="81"/>
      <c r="AE57" s="81"/>
      <c r="AF57" s="81"/>
      <c r="AG57" s="81"/>
      <c r="AH57" s="81"/>
      <c r="AI57" s="81"/>
      <c r="AJ57" s="81"/>
      <c r="AK57" s="81"/>
      <c r="AL57" s="81"/>
      <c r="AM57" s="81"/>
      <c r="AN57" s="81"/>
    </row>
    <row r="58" spans="1:40" ht="14.25" customHeight="1">
      <c r="A58" s="82">
        <v>20601</v>
      </c>
      <c r="B58" s="83" t="s">
        <v>15</v>
      </c>
      <c r="C58" s="83" t="s">
        <v>90</v>
      </c>
      <c r="D58" s="83" t="s">
        <v>91</v>
      </c>
      <c r="E58" s="103">
        <v>22</v>
      </c>
      <c r="F58" s="104">
        <v>1880</v>
      </c>
      <c r="G58" s="84">
        <f t="shared" ref="G58:G67" si="12">E58/$R$3</f>
        <v>9.6153846153846159E-3</v>
      </c>
      <c r="H58" s="85">
        <f t="shared" si="9"/>
        <v>0.25067307692307694</v>
      </c>
      <c r="I58" s="84">
        <f t="shared" ref="I58:I67" si="13">F58/$S$3</f>
        <v>1.0729797446536501E-2</v>
      </c>
      <c r="J58" s="86">
        <f t="shared" si="11"/>
        <v>18.648387962080438</v>
      </c>
      <c r="K58" s="86">
        <f t="shared" si="4"/>
        <v>13.442077536824879</v>
      </c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  <c r="AB58" s="81"/>
      <c r="AC58" s="81"/>
      <c r="AD58" s="81"/>
      <c r="AE58" s="81"/>
      <c r="AF58" s="81"/>
      <c r="AG58" s="81"/>
      <c r="AH58" s="81"/>
      <c r="AI58" s="81"/>
      <c r="AJ58" s="81"/>
      <c r="AK58" s="81"/>
      <c r="AL58" s="81"/>
      <c r="AM58" s="81"/>
      <c r="AN58" s="81"/>
    </row>
    <row r="59" spans="1:40" ht="14.25" customHeight="1">
      <c r="A59" s="82">
        <v>20602</v>
      </c>
      <c r="B59" s="83" t="s">
        <v>15</v>
      </c>
      <c r="C59" s="83" t="s">
        <v>90</v>
      </c>
      <c r="D59" s="83" t="s">
        <v>92</v>
      </c>
      <c r="E59" s="103">
        <v>22</v>
      </c>
      <c r="F59" s="104">
        <v>1186</v>
      </c>
      <c r="G59" s="84">
        <f t="shared" si="12"/>
        <v>9.6153846153846159E-3</v>
      </c>
      <c r="H59" s="85">
        <f t="shared" si="9"/>
        <v>0.25067307692307694</v>
      </c>
      <c r="I59" s="84">
        <f t="shared" si="13"/>
        <v>6.7689041338256867E-3</v>
      </c>
      <c r="J59" s="86">
        <f t="shared" si="11"/>
        <v>11.764355384589043</v>
      </c>
      <c r="K59" s="86">
        <f t="shared" si="4"/>
        <v>21.307846348423919</v>
      </c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  <c r="AD59" s="81"/>
      <c r="AE59" s="81"/>
      <c r="AF59" s="81"/>
      <c r="AG59" s="81"/>
      <c r="AH59" s="81"/>
      <c r="AI59" s="81"/>
      <c r="AJ59" s="81"/>
      <c r="AK59" s="81"/>
      <c r="AL59" s="81"/>
      <c r="AM59" s="81"/>
      <c r="AN59" s="81"/>
    </row>
    <row r="60" spans="1:40" ht="14.25" customHeight="1">
      <c r="A60" s="82">
        <v>20603</v>
      </c>
      <c r="B60" s="83" t="s">
        <v>15</v>
      </c>
      <c r="C60" s="83" t="s">
        <v>90</v>
      </c>
      <c r="D60" s="83" t="s">
        <v>93</v>
      </c>
      <c r="E60" s="103">
        <v>0</v>
      </c>
      <c r="F60" s="104">
        <v>645</v>
      </c>
      <c r="G60" s="84">
        <f t="shared" si="12"/>
        <v>0</v>
      </c>
      <c r="H60" s="85">
        <f t="shared" si="9"/>
        <v>0</v>
      </c>
      <c r="I60" s="84">
        <f t="shared" si="13"/>
        <v>3.6812336984127889E-3</v>
      </c>
      <c r="J60" s="86">
        <f t="shared" si="11"/>
        <v>6.3979841678414271</v>
      </c>
      <c r="K60" s="86">
        <f t="shared" si="4"/>
        <v>0</v>
      </c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  <c r="AD60" s="81"/>
      <c r="AE60" s="81"/>
      <c r="AF60" s="81"/>
      <c r="AG60" s="81"/>
      <c r="AH60" s="81"/>
      <c r="AI60" s="81"/>
      <c r="AJ60" s="81"/>
      <c r="AK60" s="81"/>
      <c r="AL60" s="81"/>
      <c r="AM60" s="81"/>
      <c r="AN60" s="81"/>
    </row>
    <row r="61" spans="1:40" ht="14.25" customHeight="1">
      <c r="A61" s="82">
        <v>20604</v>
      </c>
      <c r="B61" s="83" t="s">
        <v>15</v>
      </c>
      <c r="C61" s="83" t="s">
        <v>90</v>
      </c>
      <c r="D61" s="83" t="s">
        <v>94</v>
      </c>
      <c r="E61" s="103">
        <v>8</v>
      </c>
      <c r="F61" s="104">
        <v>286</v>
      </c>
      <c r="G61" s="84">
        <f t="shared" si="12"/>
        <v>3.4965034965034965E-3</v>
      </c>
      <c r="H61" s="85">
        <f t="shared" si="9"/>
        <v>9.1153846153846155E-2</v>
      </c>
      <c r="I61" s="84">
        <f t="shared" si="13"/>
        <v>1.6322989732497019E-3</v>
      </c>
      <c r="J61" s="86">
        <f t="shared" si="11"/>
        <v>2.8369356155079819</v>
      </c>
      <c r="K61" s="86">
        <f t="shared" si="4"/>
        <v>32.131094430045479</v>
      </c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  <c r="AD61" s="81"/>
      <c r="AE61" s="81"/>
      <c r="AF61" s="81"/>
      <c r="AG61" s="81"/>
      <c r="AH61" s="81"/>
      <c r="AI61" s="81"/>
      <c r="AJ61" s="81"/>
      <c r="AK61" s="81"/>
      <c r="AL61" s="81"/>
      <c r="AM61" s="81"/>
      <c r="AN61" s="81"/>
    </row>
    <row r="62" spans="1:40" ht="14.25" customHeight="1">
      <c r="A62" s="82">
        <v>20605</v>
      </c>
      <c r="B62" s="83" t="s">
        <v>15</v>
      </c>
      <c r="C62" s="83" t="s">
        <v>90</v>
      </c>
      <c r="D62" s="83" t="s">
        <v>95</v>
      </c>
      <c r="E62" s="103">
        <v>2</v>
      </c>
      <c r="F62" s="104">
        <v>132</v>
      </c>
      <c r="G62" s="84">
        <f t="shared" si="12"/>
        <v>8.7412587412587413E-4</v>
      </c>
      <c r="H62" s="85">
        <f t="shared" si="9"/>
        <v>2.2788461538461539E-2</v>
      </c>
      <c r="I62" s="84">
        <f t="shared" si="13"/>
        <v>7.5336875688447776E-4</v>
      </c>
      <c r="J62" s="86">
        <f t="shared" si="11"/>
        <v>1.3093548994652224</v>
      </c>
      <c r="K62" s="86">
        <f t="shared" si="4"/>
        <v>17.404342816274635</v>
      </c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  <c r="AD62" s="81"/>
      <c r="AE62" s="81"/>
      <c r="AF62" s="81"/>
      <c r="AG62" s="81"/>
      <c r="AH62" s="81"/>
      <c r="AI62" s="81"/>
      <c r="AJ62" s="81"/>
      <c r="AK62" s="81"/>
      <c r="AL62" s="81"/>
      <c r="AM62" s="81"/>
      <c r="AN62" s="81"/>
    </row>
    <row r="63" spans="1:40" ht="14.25" customHeight="1">
      <c r="A63" s="82">
        <v>20606</v>
      </c>
      <c r="B63" s="83" t="s">
        <v>15</v>
      </c>
      <c r="C63" s="83" t="s">
        <v>90</v>
      </c>
      <c r="D63" s="83" t="s">
        <v>96</v>
      </c>
      <c r="E63" s="103">
        <v>11</v>
      </c>
      <c r="F63" s="104">
        <v>536</v>
      </c>
      <c r="G63" s="84">
        <f t="shared" si="12"/>
        <v>4.807692307692308E-3</v>
      </c>
      <c r="H63" s="85">
        <f t="shared" si="9"/>
        <v>0.12533653846153847</v>
      </c>
      <c r="I63" s="84">
        <f t="shared" si="13"/>
        <v>3.0591337400763642E-3</v>
      </c>
      <c r="J63" s="86">
        <f t="shared" si="11"/>
        <v>5.3167744402527211</v>
      </c>
      <c r="K63" s="86">
        <f t="shared" si="4"/>
        <v>23.573792695177957</v>
      </c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  <c r="AD63" s="81"/>
      <c r="AE63" s="81"/>
      <c r="AF63" s="81"/>
      <c r="AG63" s="81"/>
      <c r="AH63" s="81"/>
      <c r="AI63" s="81"/>
      <c r="AJ63" s="81"/>
      <c r="AK63" s="81"/>
      <c r="AL63" s="81"/>
      <c r="AM63" s="81"/>
      <c r="AN63" s="81"/>
    </row>
    <row r="64" spans="1:40" ht="14.25" customHeight="1">
      <c r="A64" s="82">
        <v>20607</v>
      </c>
      <c r="B64" s="83" t="s">
        <v>15</v>
      </c>
      <c r="C64" s="83" t="s">
        <v>90</v>
      </c>
      <c r="D64" s="83" t="s">
        <v>97</v>
      </c>
      <c r="E64" s="103">
        <v>24</v>
      </c>
      <c r="F64" s="104">
        <v>1890</v>
      </c>
      <c r="G64" s="84">
        <f t="shared" si="12"/>
        <v>1.048951048951049E-2</v>
      </c>
      <c r="H64" s="85">
        <f t="shared" si="9"/>
        <v>0.27346153846153848</v>
      </c>
      <c r="I64" s="84">
        <f t="shared" si="13"/>
        <v>1.0786870837209568E-2</v>
      </c>
      <c r="J64" s="86">
        <f t="shared" si="11"/>
        <v>18.74758151507023</v>
      </c>
      <c r="K64" s="86">
        <f t="shared" si="4"/>
        <v>14.586496836496835</v>
      </c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  <c r="AD64" s="81"/>
      <c r="AE64" s="81"/>
      <c r="AF64" s="81"/>
      <c r="AG64" s="81"/>
      <c r="AH64" s="81"/>
      <c r="AI64" s="81"/>
      <c r="AJ64" s="81"/>
      <c r="AK64" s="81"/>
      <c r="AL64" s="81"/>
      <c r="AM64" s="81"/>
      <c r="AN64" s="81"/>
    </row>
    <row r="65" spans="1:40" ht="14.25" customHeight="1">
      <c r="A65" s="82">
        <v>20608</v>
      </c>
      <c r="B65" s="83" t="s">
        <v>15</v>
      </c>
      <c r="C65" s="83" t="s">
        <v>90</v>
      </c>
      <c r="D65" s="83" t="s">
        <v>98</v>
      </c>
      <c r="E65" s="103">
        <v>15</v>
      </c>
      <c r="F65" s="104">
        <v>928</v>
      </c>
      <c r="G65" s="84">
        <f t="shared" si="12"/>
        <v>6.555944055944056E-3</v>
      </c>
      <c r="H65" s="85">
        <f t="shared" si="9"/>
        <v>0.17091346153846154</v>
      </c>
      <c r="I65" s="84">
        <f t="shared" si="13"/>
        <v>5.2964106544605705E-3</v>
      </c>
      <c r="J65" s="86">
        <f t="shared" si="11"/>
        <v>9.2051617174524711</v>
      </c>
      <c r="K65" s="86">
        <f t="shared" si="4"/>
        <v>18.56713296132747</v>
      </c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  <c r="AD65" s="81"/>
      <c r="AE65" s="81"/>
      <c r="AF65" s="81"/>
      <c r="AG65" s="81"/>
      <c r="AH65" s="81"/>
      <c r="AI65" s="81"/>
      <c r="AJ65" s="81"/>
      <c r="AK65" s="81"/>
      <c r="AL65" s="81"/>
      <c r="AM65" s="81"/>
      <c r="AN65" s="81"/>
    </row>
    <row r="66" spans="1:40" ht="14.25" customHeight="1">
      <c r="A66" s="82">
        <v>20701</v>
      </c>
      <c r="B66" s="83" t="s">
        <v>15</v>
      </c>
      <c r="C66" s="83" t="s">
        <v>99</v>
      </c>
      <c r="D66" s="83" t="s">
        <v>100</v>
      </c>
      <c r="E66" s="103">
        <v>26</v>
      </c>
      <c r="F66" s="104">
        <v>1480</v>
      </c>
      <c r="G66" s="84">
        <f t="shared" si="12"/>
        <v>1.1363636363636364E-2</v>
      </c>
      <c r="H66" s="85">
        <f t="shared" si="9"/>
        <v>0.29625000000000001</v>
      </c>
      <c r="I66" s="84">
        <f t="shared" si="13"/>
        <v>8.446861819613842E-3</v>
      </c>
      <c r="J66" s="86">
        <f t="shared" si="11"/>
        <v>14.680645842488858</v>
      </c>
      <c r="K66" s="86">
        <f t="shared" si="4"/>
        <v>20.179629914004913</v>
      </c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  <c r="AD66" s="81"/>
      <c r="AE66" s="81"/>
      <c r="AF66" s="81"/>
      <c r="AG66" s="81"/>
      <c r="AH66" s="81"/>
      <c r="AI66" s="81"/>
      <c r="AJ66" s="81"/>
      <c r="AK66" s="81"/>
      <c r="AL66" s="81"/>
      <c r="AM66" s="81"/>
      <c r="AN66" s="81"/>
    </row>
    <row r="67" spans="1:40" ht="14.25" customHeight="1">
      <c r="A67" s="82">
        <v>20702</v>
      </c>
      <c r="B67" s="83" t="s">
        <v>15</v>
      </c>
      <c r="C67" s="83" t="s">
        <v>99</v>
      </c>
      <c r="D67" s="83" t="s">
        <v>101</v>
      </c>
      <c r="E67" s="103">
        <v>6</v>
      </c>
      <c r="F67" s="104">
        <v>594</v>
      </c>
      <c r="G67" s="84">
        <f t="shared" si="12"/>
        <v>2.6223776223776225E-3</v>
      </c>
      <c r="H67" s="85">
        <f t="shared" si="9"/>
        <v>6.836538461538462E-2</v>
      </c>
      <c r="I67" s="84">
        <f t="shared" si="13"/>
        <v>3.3901594059801499E-3</v>
      </c>
      <c r="J67" s="86">
        <f t="shared" si="11"/>
        <v>5.8920970475935004</v>
      </c>
      <c r="K67" s="86">
        <f t="shared" ref="K67:K130" si="14">1000*H67/J67</f>
        <v>11.602895210849756</v>
      </c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81"/>
      <c r="AK67" s="81"/>
      <c r="AL67" s="81"/>
      <c r="AM67" s="81"/>
      <c r="AN67" s="81"/>
    </row>
    <row r="68" spans="1:40" ht="14.25" customHeight="1">
      <c r="A68" s="82">
        <v>20801</v>
      </c>
      <c r="B68" s="83" t="s">
        <v>15</v>
      </c>
      <c r="C68" s="83" t="s">
        <v>102</v>
      </c>
      <c r="D68" s="83" t="s">
        <v>103</v>
      </c>
      <c r="E68" s="103">
        <v>101</v>
      </c>
      <c r="F68" s="104">
        <v>7268</v>
      </c>
      <c r="G68" s="84">
        <f>E68/$R$3</f>
        <v>4.414335664335664E-2</v>
      </c>
      <c r="H68" s="85">
        <f>$S$18*G68</f>
        <v>1.1508173076923076</v>
      </c>
      <c r="I68" s="84">
        <f>F68/$S$3</f>
        <v>4.1480940341184727E-2</v>
      </c>
      <c r="J68" s="86">
        <f>I68*$U$18</f>
        <v>72.093874312979054</v>
      </c>
      <c r="K68" s="86">
        <f t="shared" si="14"/>
        <v>15.962761311679515</v>
      </c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  <c r="AD68" s="81"/>
      <c r="AE68" s="81"/>
      <c r="AF68" s="81"/>
      <c r="AG68" s="81"/>
      <c r="AH68" s="81"/>
      <c r="AI68" s="81"/>
      <c r="AJ68" s="81"/>
      <c r="AK68" s="81"/>
      <c r="AL68" s="81"/>
      <c r="AM68" s="81"/>
      <c r="AN68" s="81"/>
    </row>
    <row r="69" spans="1:40" ht="14.25" customHeight="1">
      <c r="A69" s="82">
        <v>20802</v>
      </c>
      <c r="B69" s="83" t="s">
        <v>15</v>
      </c>
      <c r="C69" s="83" t="s">
        <v>102</v>
      </c>
      <c r="D69" s="83" t="s">
        <v>104</v>
      </c>
      <c r="E69" s="103">
        <v>10</v>
      </c>
      <c r="F69" s="104">
        <v>427</v>
      </c>
      <c r="G69" s="84">
        <f t="shared" ref="G69:G82" si="15">E69/$R$3</f>
        <v>4.370629370629371E-3</v>
      </c>
      <c r="H69" s="85">
        <f t="shared" si="9"/>
        <v>0.1139423076923077</v>
      </c>
      <c r="I69" s="84">
        <f t="shared" ref="I69:I82" si="16">F69/$S$3</f>
        <v>2.4370337817399392E-3</v>
      </c>
      <c r="J69" s="86">
        <f t="shared" si="11"/>
        <v>4.2355647126640141</v>
      </c>
      <c r="K69" s="86">
        <f t="shared" si="14"/>
        <v>26.901326132883518</v>
      </c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  <c r="AD69" s="81"/>
      <c r="AE69" s="81"/>
      <c r="AF69" s="81"/>
      <c r="AG69" s="81"/>
      <c r="AH69" s="81"/>
      <c r="AI69" s="81"/>
      <c r="AJ69" s="81"/>
      <c r="AK69" s="81"/>
      <c r="AL69" s="81"/>
      <c r="AM69" s="81"/>
      <c r="AN69" s="81"/>
    </row>
    <row r="70" spans="1:40" ht="14.25" customHeight="1">
      <c r="A70" s="82">
        <v>20803</v>
      </c>
      <c r="B70" s="83" t="s">
        <v>15</v>
      </c>
      <c r="C70" s="83" t="s">
        <v>102</v>
      </c>
      <c r="D70" s="83" t="s">
        <v>105</v>
      </c>
      <c r="E70" s="103">
        <v>7</v>
      </c>
      <c r="F70" s="104">
        <v>785</v>
      </c>
      <c r="G70" s="84">
        <f t="shared" si="15"/>
        <v>3.0594405594405595E-3</v>
      </c>
      <c r="H70" s="85">
        <f t="shared" si="9"/>
        <v>7.9759615384615387E-2</v>
      </c>
      <c r="I70" s="84">
        <f t="shared" si="16"/>
        <v>4.4802611678357203E-3</v>
      </c>
      <c r="J70" s="86">
        <f t="shared" si="11"/>
        <v>7.7866939096984815</v>
      </c>
      <c r="K70" s="86">
        <f t="shared" si="14"/>
        <v>10.243065453654626</v>
      </c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  <c r="AD70" s="81"/>
      <c r="AE70" s="81"/>
      <c r="AF70" s="81"/>
      <c r="AG70" s="81"/>
      <c r="AH70" s="81"/>
      <c r="AI70" s="81"/>
      <c r="AJ70" s="81"/>
      <c r="AK70" s="81"/>
      <c r="AL70" s="81"/>
      <c r="AM70" s="81"/>
      <c r="AN70" s="81"/>
    </row>
    <row r="71" spans="1:40" ht="14.25" customHeight="1">
      <c r="A71" s="82">
        <v>20804</v>
      </c>
      <c r="B71" s="83" t="s">
        <v>15</v>
      </c>
      <c r="C71" s="83" t="s">
        <v>102</v>
      </c>
      <c r="D71" s="83" t="s">
        <v>106</v>
      </c>
      <c r="E71" s="103">
        <v>8</v>
      </c>
      <c r="F71" s="104">
        <v>486</v>
      </c>
      <c r="G71" s="84">
        <f t="shared" si="15"/>
        <v>3.4965034965034965E-3</v>
      </c>
      <c r="H71" s="85">
        <f t="shared" si="9"/>
        <v>9.1153846153846155E-2</v>
      </c>
      <c r="I71" s="84">
        <f t="shared" si="16"/>
        <v>2.7737667867110318E-3</v>
      </c>
      <c r="J71" s="86">
        <f t="shared" si="11"/>
        <v>4.820806675303773</v>
      </c>
      <c r="K71" s="86">
        <f t="shared" si="14"/>
        <v>18.908421825088492</v>
      </c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  <c r="AD71" s="81"/>
      <c r="AE71" s="81"/>
      <c r="AF71" s="81"/>
      <c r="AG71" s="81"/>
      <c r="AH71" s="81"/>
      <c r="AI71" s="81"/>
      <c r="AJ71" s="81"/>
      <c r="AK71" s="81"/>
      <c r="AL71" s="81"/>
      <c r="AM71" s="81"/>
      <c r="AN71" s="81"/>
    </row>
    <row r="72" spans="1:40" ht="14.25" customHeight="1">
      <c r="A72" s="82">
        <v>20805</v>
      </c>
      <c r="B72" s="83" t="s">
        <v>15</v>
      </c>
      <c r="C72" s="83" t="s">
        <v>102</v>
      </c>
      <c r="D72" s="83" t="s">
        <v>107</v>
      </c>
      <c r="E72" s="103">
        <v>5</v>
      </c>
      <c r="F72" s="104">
        <v>370</v>
      </c>
      <c r="G72" s="84">
        <f t="shared" si="15"/>
        <v>2.1853146853146855E-3</v>
      </c>
      <c r="H72" s="85">
        <f t="shared" si="9"/>
        <v>5.6971153846153852E-2</v>
      </c>
      <c r="I72" s="84">
        <f t="shared" si="16"/>
        <v>2.1117154549034605E-3</v>
      </c>
      <c r="J72" s="86">
        <f t="shared" si="11"/>
        <v>3.6701614606222144</v>
      </c>
      <c r="K72" s="86">
        <f t="shared" si="14"/>
        <v>15.522792241542243</v>
      </c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  <c r="AD72" s="81"/>
      <c r="AE72" s="81"/>
      <c r="AF72" s="81"/>
      <c r="AG72" s="81"/>
      <c r="AH72" s="81"/>
      <c r="AI72" s="81"/>
      <c r="AJ72" s="81"/>
      <c r="AK72" s="81"/>
      <c r="AL72" s="81"/>
      <c r="AM72" s="81"/>
      <c r="AN72" s="81"/>
    </row>
    <row r="73" spans="1:40" ht="14.25" customHeight="1">
      <c r="A73" s="82">
        <v>20806</v>
      </c>
      <c r="B73" s="83" t="s">
        <v>15</v>
      </c>
      <c r="C73" s="83" t="s">
        <v>102</v>
      </c>
      <c r="D73" s="83" t="s">
        <v>108</v>
      </c>
      <c r="E73" s="103">
        <v>5</v>
      </c>
      <c r="F73" s="104">
        <v>822</v>
      </c>
      <c r="G73" s="84">
        <f t="shared" si="15"/>
        <v>2.1853146853146855E-3</v>
      </c>
      <c r="H73" s="85">
        <f t="shared" si="9"/>
        <v>5.6971153846153852E-2</v>
      </c>
      <c r="I73" s="84">
        <f t="shared" si="16"/>
        <v>4.6914327133260663E-3</v>
      </c>
      <c r="J73" s="86">
        <f t="shared" si="11"/>
        <v>8.153710055760703</v>
      </c>
      <c r="K73" s="86">
        <f t="shared" si="14"/>
        <v>6.9871449262416423</v>
      </c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  <c r="AD73" s="81"/>
      <c r="AE73" s="81"/>
      <c r="AF73" s="81"/>
      <c r="AG73" s="81"/>
      <c r="AH73" s="81"/>
      <c r="AI73" s="81"/>
      <c r="AJ73" s="81"/>
      <c r="AK73" s="81"/>
      <c r="AL73" s="81"/>
      <c r="AM73" s="81"/>
      <c r="AN73" s="81"/>
    </row>
    <row r="74" spans="1:40" ht="14.25" customHeight="1">
      <c r="A74" s="82">
        <v>20807</v>
      </c>
      <c r="B74" s="83" t="s">
        <v>15</v>
      </c>
      <c r="C74" s="83" t="s">
        <v>102</v>
      </c>
      <c r="D74" s="83" t="s">
        <v>109</v>
      </c>
      <c r="E74" s="103">
        <v>2</v>
      </c>
      <c r="F74" s="104">
        <v>397</v>
      </c>
      <c r="G74" s="84">
        <f t="shared" si="15"/>
        <v>8.7412587412587413E-4</v>
      </c>
      <c r="H74" s="85">
        <f t="shared" si="9"/>
        <v>2.2788461538461539E-2</v>
      </c>
      <c r="I74" s="84">
        <f t="shared" si="16"/>
        <v>2.2658136097207398E-3</v>
      </c>
      <c r="J74" s="86">
        <f t="shared" si="11"/>
        <v>3.9379840536946458</v>
      </c>
      <c r="K74" s="86">
        <f t="shared" si="14"/>
        <v>5.7868343872751939</v>
      </c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  <c r="AD74" s="81"/>
      <c r="AE74" s="81"/>
      <c r="AF74" s="81"/>
      <c r="AG74" s="81"/>
      <c r="AH74" s="81"/>
      <c r="AI74" s="81"/>
      <c r="AJ74" s="81"/>
      <c r="AK74" s="81"/>
      <c r="AL74" s="81"/>
      <c r="AM74" s="81"/>
      <c r="AN74" s="81"/>
    </row>
    <row r="75" spans="1:40" ht="14.25" customHeight="1">
      <c r="A75" s="82">
        <v>20901</v>
      </c>
      <c r="B75" s="83" t="s">
        <v>15</v>
      </c>
      <c r="C75" s="83" t="s">
        <v>110</v>
      </c>
      <c r="D75" s="83" t="s">
        <v>111</v>
      </c>
      <c r="E75" s="103">
        <v>3</v>
      </c>
      <c r="F75" s="104">
        <v>599</v>
      </c>
      <c r="G75" s="84">
        <f t="shared" si="15"/>
        <v>1.3111888111888112E-3</v>
      </c>
      <c r="H75" s="85">
        <f t="shared" si="9"/>
        <v>3.418269230769231E-2</v>
      </c>
      <c r="I75" s="84">
        <f t="shared" si="16"/>
        <v>3.4186961013166831E-3</v>
      </c>
      <c r="J75" s="86">
        <f t="shared" si="11"/>
        <v>5.9416938240883947</v>
      </c>
      <c r="K75" s="86">
        <f t="shared" si="14"/>
        <v>5.7530214985348547</v>
      </c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  <c r="AD75" s="81"/>
      <c r="AE75" s="81"/>
      <c r="AF75" s="81"/>
      <c r="AG75" s="81"/>
      <c r="AH75" s="81"/>
      <c r="AI75" s="81"/>
      <c r="AJ75" s="81"/>
      <c r="AK75" s="81"/>
      <c r="AL75" s="81"/>
      <c r="AM75" s="81"/>
      <c r="AN75" s="81"/>
    </row>
    <row r="76" spans="1:40" ht="14.25" customHeight="1">
      <c r="A76" s="82">
        <v>20902</v>
      </c>
      <c r="B76" s="83" t="s">
        <v>15</v>
      </c>
      <c r="C76" s="83" t="s">
        <v>110</v>
      </c>
      <c r="D76" s="83" t="s">
        <v>112</v>
      </c>
      <c r="E76" s="103">
        <v>20</v>
      </c>
      <c r="F76" s="104">
        <v>943</v>
      </c>
      <c r="G76" s="84">
        <f t="shared" si="15"/>
        <v>8.7412587412587419E-3</v>
      </c>
      <c r="H76" s="85">
        <f t="shared" si="9"/>
        <v>0.22788461538461541</v>
      </c>
      <c r="I76" s="84">
        <f t="shared" si="16"/>
        <v>5.3820207404701708E-3</v>
      </c>
      <c r="J76" s="86">
        <f t="shared" si="11"/>
        <v>9.353952046937156</v>
      </c>
      <c r="K76" s="86">
        <f t="shared" si="14"/>
        <v>24.362388671773619</v>
      </c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  <c r="AD76" s="81"/>
      <c r="AE76" s="81"/>
      <c r="AF76" s="81"/>
      <c r="AG76" s="81"/>
      <c r="AH76" s="81"/>
      <c r="AI76" s="81"/>
      <c r="AJ76" s="81"/>
      <c r="AK76" s="81"/>
      <c r="AL76" s="81"/>
      <c r="AM76" s="81"/>
      <c r="AN76" s="81"/>
    </row>
    <row r="77" spans="1:40" ht="14.25" customHeight="1">
      <c r="A77" s="82">
        <v>20903</v>
      </c>
      <c r="B77" s="83" t="s">
        <v>15</v>
      </c>
      <c r="C77" s="83" t="s">
        <v>110</v>
      </c>
      <c r="D77" s="83" t="s">
        <v>113</v>
      </c>
      <c r="E77" s="103">
        <v>9</v>
      </c>
      <c r="F77" s="104">
        <v>660</v>
      </c>
      <c r="G77" s="84">
        <f t="shared" si="15"/>
        <v>3.9335664335664339E-3</v>
      </c>
      <c r="H77" s="85">
        <f t="shared" si="9"/>
        <v>0.10254807692307694</v>
      </c>
      <c r="I77" s="84">
        <f t="shared" si="16"/>
        <v>3.7668437844223888E-3</v>
      </c>
      <c r="J77" s="86">
        <f t="shared" si="11"/>
        <v>6.5467744973261119</v>
      </c>
      <c r="K77" s="86">
        <f t="shared" si="14"/>
        <v>15.663908534647172</v>
      </c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  <c r="AD77" s="81"/>
      <c r="AE77" s="81"/>
      <c r="AF77" s="81"/>
      <c r="AG77" s="81"/>
      <c r="AH77" s="81"/>
      <c r="AI77" s="81"/>
      <c r="AJ77" s="81"/>
      <c r="AK77" s="81"/>
      <c r="AL77" s="81"/>
      <c r="AM77" s="81"/>
      <c r="AN77" s="81"/>
    </row>
    <row r="78" spans="1:40" ht="14.25" customHeight="1">
      <c r="A78" s="82">
        <v>20904</v>
      </c>
      <c r="B78" s="83" t="s">
        <v>15</v>
      </c>
      <c r="C78" s="83" t="s">
        <v>110</v>
      </c>
      <c r="D78" s="83" t="s">
        <v>114</v>
      </c>
      <c r="E78" s="103">
        <v>1</v>
      </c>
      <c r="F78" s="104">
        <v>346</v>
      </c>
      <c r="G78" s="84">
        <f t="shared" si="15"/>
        <v>4.3706293706293706E-4</v>
      </c>
      <c r="H78" s="85">
        <f t="shared" si="9"/>
        <v>1.1394230769230769E-2</v>
      </c>
      <c r="I78" s="84">
        <f t="shared" si="16"/>
        <v>1.9747393172881008E-3</v>
      </c>
      <c r="J78" s="86">
        <f t="shared" si="11"/>
        <v>3.4320969334467191</v>
      </c>
      <c r="K78" s="86">
        <f t="shared" si="14"/>
        <v>3.3199035429888033</v>
      </c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  <c r="AD78" s="81"/>
      <c r="AE78" s="81"/>
      <c r="AF78" s="81"/>
      <c r="AG78" s="81"/>
      <c r="AH78" s="81"/>
      <c r="AI78" s="81"/>
      <c r="AJ78" s="81"/>
      <c r="AK78" s="81"/>
      <c r="AL78" s="81"/>
      <c r="AM78" s="81"/>
      <c r="AN78" s="81"/>
    </row>
    <row r="79" spans="1:40" ht="14.25" customHeight="1">
      <c r="A79" s="82">
        <v>20905</v>
      </c>
      <c r="B79" s="83" t="s">
        <v>15</v>
      </c>
      <c r="C79" s="83" t="s">
        <v>110</v>
      </c>
      <c r="D79" s="83" t="s">
        <v>115</v>
      </c>
      <c r="E79" s="103">
        <v>9</v>
      </c>
      <c r="F79" s="104">
        <v>910</v>
      </c>
      <c r="G79" s="84">
        <f t="shared" si="15"/>
        <v>3.9335664335664339E-3</v>
      </c>
      <c r="H79" s="85">
        <f t="shared" si="9"/>
        <v>0.10254807692307694</v>
      </c>
      <c r="I79" s="84">
        <f t="shared" si="16"/>
        <v>5.1936785512490509E-3</v>
      </c>
      <c r="J79" s="86">
        <f t="shared" si="11"/>
        <v>9.0266133220708511</v>
      </c>
      <c r="K79" s="86">
        <f t="shared" si="14"/>
        <v>11.360636959194652</v>
      </c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  <c r="AD79" s="81"/>
      <c r="AE79" s="81"/>
      <c r="AF79" s="81"/>
      <c r="AG79" s="81"/>
      <c r="AH79" s="81"/>
      <c r="AI79" s="81"/>
      <c r="AJ79" s="81"/>
      <c r="AK79" s="81"/>
      <c r="AL79" s="81"/>
      <c r="AM79" s="81"/>
      <c r="AN79" s="81"/>
    </row>
    <row r="80" spans="1:40" ht="14.25" customHeight="1">
      <c r="A80" s="82">
        <v>21001</v>
      </c>
      <c r="B80" s="83" t="s">
        <v>15</v>
      </c>
      <c r="C80" s="83" t="s">
        <v>116</v>
      </c>
      <c r="D80" s="83" t="s">
        <v>116</v>
      </c>
      <c r="E80" s="103">
        <v>11</v>
      </c>
      <c r="F80" s="104">
        <v>1189</v>
      </c>
      <c r="G80" s="84">
        <f t="shared" si="15"/>
        <v>4.807692307692308E-3</v>
      </c>
      <c r="H80" s="85">
        <f t="shared" si="9"/>
        <v>0.12533653846153847</v>
      </c>
      <c r="I80" s="84">
        <f t="shared" si="16"/>
        <v>6.7860261510276068E-3</v>
      </c>
      <c r="J80" s="86">
        <f t="shared" si="11"/>
        <v>11.79411345048598</v>
      </c>
      <c r="K80" s="86">
        <f t="shared" si="14"/>
        <v>10.627041955101248</v>
      </c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  <c r="AD80" s="81"/>
      <c r="AE80" s="81"/>
      <c r="AF80" s="81"/>
      <c r="AG80" s="81"/>
      <c r="AH80" s="81"/>
      <c r="AI80" s="81"/>
      <c r="AJ80" s="81"/>
      <c r="AK80" s="81"/>
      <c r="AL80" s="81"/>
      <c r="AM80" s="81"/>
      <c r="AN80" s="81"/>
    </row>
    <row r="81" spans="1:40" ht="14.25" customHeight="1">
      <c r="A81" s="82">
        <v>21002</v>
      </c>
      <c r="B81" s="83" t="s">
        <v>15</v>
      </c>
      <c r="C81" s="83" t="s">
        <v>116</v>
      </c>
      <c r="D81" s="83" t="s">
        <v>117</v>
      </c>
      <c r="E81" s="103">
        <v>15</v>
      </c>
      <c r="F81" s="104">
        <v>632</v>
      </c>
      <c r="G81" s="84">
        <f t="shared" si="15"/>
        <v>6.555944055944056E-3</v>
      </c>
      <c r="H81" s="85">
        <f t="shared" si="9"/>
        <v>0.17091346153846154</v>
      </c>
      <c r="I81" s="84">
        <f t="shared" si="16"/>
        <v>3.6070382905378025E-3</v>
      </c>
      <c r="J81" s="86">
        <f t="shared" si="11"/>
        <v>6.2690325489547005</v>
      </c>
      <c r="K81" s="86">
        <f t="shared" si="14"/>
        <v>27.263131943215015</v>
      </c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  <c r="AD81" s="81"/>
      <c r="AE81" s="81"/>
      <c r="AF81" s="81"/>
      <c r="AG81" s="81"/>
      <c r="AH81" s="81"/>
      <c r="AI81" s="81"/>
      <c r="AJ81" s="81"/>
      <c r="AK81" s="81"/>
      <c r="AL81" s="81"/>
      <c r="AM81" s="81"/>
      <c r="AN81" s="81"/>
    </row>
    <row r="82" spans="1:40" ht="14.25" customHeight="1">
      <c r="A82" s="82">
        <v>21003</v>
      </c>
      <c r="B82" s="83" t="s">
        <v>15</v>
      </c>
      <c r="C82" s="83" t="s">
        <v>116</v>
      </c>
      <c r="D82" s="83" t="s">
        <v>118</v>
      </c>
      <c r="E82" s="103">
        <v>15</v>
      </c>
      <c r="F82" s="104">
        <v>1220</v>
      </c>
      <c r="G82" s="84">
        <f t="shared" si="15"/>
        <v>6.555944055944056E-3</v>
      </c>
      <c r="H82" s="85">
        <f t="shared" si="9"/>
        <v>0.17091346153846154</v>
      </c>
      <c r="I82" s="84">
        <f t="shared" si="16"/>
        <v>6.9629536621141127E-3</v>
      </c>
      <c r="J82" s="86">
        <f t="shared" si="11"/>
        <v>12.101613464754328</v>
      </c>
      <c r="K82" s="86">
        <f t="shared" si="14"/>
        <v>14.123196219763843</v>
      </c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  <c r="AD82" s="81"/>
      <c r="AE82" s="81"/>
      <c r="AF82" s="81"/>
      <c r="AG82" s="81"/>
      <c r="AH82" s="81"/>
      <c r="AI82" s="81"/>
      <c r="AJ82" s="81"/>
      <c r="AK82" s="81"/>
      <c r="AL82" s="81"/>
      <c r="AM82" s="81"/>
      <c r="AN82" s="81"/>
    </row>
    <row r="83" spans="1:40" ht="14.25" customHeight="1">
      <c r="A83" s="82">
        <v>21004</v>
      </c>
      <c r="B83" s="83" t="s">
        <v>15</v>
      </c>
      <c r="C83" s="83" t="s">
        <v>116</v>
      </c>
      <c r="D83" s="83" t="s">
        <v>119</v>
      </c>
      <c r="E83" s="103">
        <v>27</v>
      </c>
      <c r="F83" s="104">
        <v>1585</v>
      </c>
      <c r="G83" s="84">
        <f>E83/$R$3</f>
        <v>1.18006993006993E-2</v>
      </c>
      <c r="H83" s="85">
        <f>$S$18*G83</f>
        <v>0.30764423076923075</v>
      </c>
      <c r="I83" s="84">
        <f>F83/$S$3</f>
        <v>9.0461324216810392E-3</v>
      </c>
      <c r="J83" s="86">
        <f>I83*$U$18</f>
        <v>15.722178148881646</v>
      </c>
      <c r="K83" s="86">
        <f t="shared" si="14"/>
        <v>19.567532428139685</v>
      </c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  <c r="AD83" s="81"/>
      <c r="AE83" s="81"/>
      <c r="AF83" s="81"/>
      <c r="AG83" s="81"/>
      <c r="AH83" s="81"/>
      <c r="AI83" s="81"/>
      <c r="AJ83" s="81"/>
      <c r="AK83" s="81"/>
      <c r="AL83" s="81"/>
      <c r="AM83" s="81"/>
      <c r="AN83" s="81"/>
    </row>
    <row r="84" spans="1:40" ht="14.25" customHeight="1">
      <c r="A84" s="82">
        <v>21005</v>
      </c>
      <c r="B84" s="83" t="s">
        <v>15</v>
      </c>
      <c r="C84" s="83" t="s">
        <v>116</v>
      </c>
      <c r="D84" s="83" t="s">
        <v>120</v>
      </c>
      <c r="E84" s="103">
        <v>5</v>
      </c>
      <c r="F84" s="104">
        <v>472</v>
      </c>
      <c r="G84" s="84">
        <f t="shared" ref="G84:G95" si="17">E84/$R$3</f>
        <v>2.1853146853146855E-3</v>
      </c>
      <c r="H84" s="85">
        <f t="shared" si="9"/>
        <v>5.6971153846153852E-2</v>
      </c>
      <c r="I84" s="84">
        <f t="shared" ref="I84:I95" si="18">F84/$S$3</f>
        <v>2.6938640397687385E-3</v>
      </c>
      <c r="J84" s="86">
        <f t="shared" si="11"/>
        <v>4.6819357011180678</v>
      </c>
      <c r="K84" s="86">
        <f t="shared" si="14"/>
        <v>12.168290528327606</v>
      </c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  <c r="AD84" s="81"/>
      <c r="AE84" s="81"/>
      <c r="AF84" s="81"/>
      <c r="AG84" s="81"/>
      <c r="AH84" s="81"/>
      <c r="AI84" s="81"/>
      <c r="AJ84" s="81"/>
      <c r="AK84" s="81"/>
      <c r="AL84" s="81"/>
      <c r="AM84" s="81"/>
      <c r="AN84" s="81"/>
    </row>
    <row r="85" spans="1:40" ht="14.25" customHeight="1">
      <c r="A85" s="82">
        <v>21006</v>
      </c>
      <c r="B85" s="83" t="s">
        <v>15</v>
      </c>
      <c r="C85" s="83" t="s">
        <v>116</v>
      </c>
      <c r="D85" s="83" t="s">
        <v>121</v>
      </c>
      <c r="E85" s="103">
        <v>4</v>
      </c>
      <c r="F85" s="104">
        <v>490</v>
      </c>
      <c r="G85" s="84">
        <f t="shared" si="17"/>
        <v>1.7482517482517483E-3</v>
      </c>
      <c r="H85" s="85">
        <f t="shared" si="9"/>
        <v>4.5576923076923077E-2</v>
      </c>
      <c r="I85" s="84">
        <f t="shared" si="18"/>
        <v>2.7965961429802584E-3</v>
      </c>
      <c r="J85" s="86">
        <f t="shared" si="11"/>
        <v>4.8604840964996887</v>
      </c>
      <c r="K85" s="86">
        <f t="shared" si="14"/>
        <v>9.3770336806051109</v>
      </c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  <c r="AD85" s="81"/>
      <c r="AE85" s="81"/>
      <c r="AF85" s="81"/>
      <c r="AG85" s="81"/>
      <c r="AH85" s="81"/>
      <c r="AI85" s="81"/>
      <c r="AJ85" s="81"/>
      <c r="AK85" s="81"/>
      <c r="AL85" s="81"/>
      <c r="AM85" s="81"/>
      <c r="AN85" s="81"/>
    </row>
    <row r="86" spans="1:40" ht="14.25" customHeight="1">
      <c r="A86" s="82">
        <v>21101</v>
      </c>
      <c r="B86" s="83" t="s">
        <v>15</v>
      </c>
      <c r="C86" s="83" t="s">
        <v>122</v>
      </c>
      <c r="D86" s="83" t="s">
        <v>123</v>
      </c>
      <c r="E86" s="103">
        <v>27</v>
      </c>
      <c r="F86" s="104">
        <v>1210</v>
      </c>
      <c r="G86" s="84">
        <f t="shared" si="17"/>
        <v>1.18006993006993E-2</v>
      </c>
      <c r="H86" s="85">
        <f t="shared" si="9"/>
        <v>0.30764423076923075</v>
      </c>
      <c r="I86" s="84">
        <f t="shared" si="18"/>
        <v>6.9058802714410464E-3</v>
      </c>
      <c r="J86" s="86">
        <f t="shared" si="11"/>
        <v>12.002419911764539</v>
      </c>
      <c r="K86" s="86">
        <f t="shared" si="14"/>
        <v>25.63185032942264</v>
      </c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  <c r="AD86" s="81"/>
      <c r="AE86" s="81"/>
      <c r="AF86" s="81"/>
      <c r="AG86" s="81"/>
      <c r="AH86" s="81"/>
      <c r="AI86" s="81"/>
      <c r="AJ86" s="81"/>
      <c r="AK86" s="81"/>
      <c r="AL86" s="81"/>
      <c r="AM86" s="81"/>
      <c r="AN86" s="81"/>
    </row>
    <row r="87" spans="1:40" ht="14.25" customHeight="1">
      <c r="A87" s="82">
        <v>21102</v>
      </c>
      <c r="B87" s="83" t="s">
        <v>15</v>
      </c>
      <c r="C87" s="83" t="s">
        <v>122</v>
      </c>
      <c r="D87" s="83" t="s">
        <v>124</v>
      </c>
      <c r="E87" s="103">
        <v>22</v>
      </c>
      <c r="F87" s="104">
        <v>1413</v>
      </c>
      <c r="G87" s="84">
        <f t="shared" si="17"/>
        <v>9.6153846153846159E-3</v>
      </c>
      <c r="H87" s="85">
        <f t="shared" si="9"/>
        <v>0.25067307692307694</v>
      </c>
      <c r="I87" s="84">
        <f t="shared" si="18"/>
        <v>8.0644701021042962E-3</v>
      </c>
      <c r="J87" s="86">
        <f t="shared" si="11"/>
        <v>14.016049037457266</v>
      </c>
      <c r="K87" s="86">
        <f t="shared" si="14"/>
        <v>17.884717458762044</v>
      </c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  <c r="AD87" s="81"/>
      <c r="AE87" s="81"/>
      <c r="AF87" s="81"/>
      <c r="AG87" s="81"/>
      <c r="AH87" s="81"/>
      <c r="AI87" s="81"/>
      <c r="AJ87" s="81"/>
      <c r="AK87" s="81"/>
      <c r="AL87" s="81"/>
      <c r="AM87" s="81"/>
      <c r="AN87" s="81"/>
    </row>
    <row r="88" spans="1:40" ht="14.25" customHeight="1">
      <c r="A88" s="82">
        <v>21103</v>
      </c>
      <c r="B88" s="83" t="s">
        <v>15</v>
      </c>
      <c r="C88" s="83" t="s">
        <v>122</v>
      </c>
      <c r="D88" s="83" t="s">
        <v>125</v>
      </c>
      <c r="E88" s="103">
        <v>3</v>
      </c>
      <c r="F88" s="104">
        <v>418</v>
      </c>
      <c r="G88" s="84">
        <f t="shared" si="17"/>
        <v>1.3111888111888112E-3</v>
      </c>
      <c r="H88" s="85">
        <f t="shared" si="9"/>
        <v>3.418269230769231E-2</v>
      </c>
      <c r="I88" s="84">
        <f t="shared" si="18"/>
        <v>2.3856677301341794E-3</v>
      </c>
      <c r="J88" s="86">
        <f t="shared" si="11"/>
        <v>4.1462905149732041</v>
      </c>
      <c r="K88" s="86">
        <f t="shared" si="14"/>
        <v>8.2441623866564058</v>
      </c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  <c r="AD88" s="81"/>
      <c r="AE88" s="81"/>
      <c r="AF88" s="81"/>
      <c r="AG88" s="81"/>
      <c r="AH88" s="81"/>
      <c r="AI88" s="81"/>
      <c r="AJ88" s="81"/>
      <c r="AK88" s="81"/>
      <c r="AL88" s="81"/>
      <c r="AM88" s="81"/>
      <c r="AN88" s="81"/>
    </row>
    <row r="89" spans="1:40" ht="14.25" customHeight="1">
      <c r="A89" s="82">
        <v>21104</v>
      </c>
      <c r="B89" s="83" t="s">
        <v>15</v>
      </c>
      <c r="C89" s="83" t="s">
        <v>122</v>
      </c>
      <c r="D89" s="83" t="s">
        <v>126</v>
      </c>
      <c r="E89" s="103">
        <v>30</v>
      </c>
      <c r="F89" s="104">
        <v>2035</v>
      </c>
      <c r="G89" s="84">
        <f t="shared" si="17"/>
        <v>1.3111888111888112E-2</v>
      </c>
      <c r="H89" s="85">
        <f t="shared" si="9"/>
        <v>0.34182692307692308</v>
      </c>
      <c r="I89" s="84">
        <f t="shared" si="18"/>
        <v>1.1614435001969032E-2</v>
      </c>
      <c r="J89" s="86">
        <f t="shared" si="11"/>
        <v>20.185888033422177</v>
      </c>
      <c r="K89" s="86">
        <f t="shared" si="14"/>
        <v>16.933955172591538</v>
      </c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  <c r="AD89" s="81"/>
      <c r="AE89" s="81"/>
      <c r="AF89" s="81"/>
      <c r="AG89" s="81"/>
      <c r="AH89" s="81"/>
      <c r="AI89" s="81"/>
      <c r="AJ89" s="81"/>
      <c r="AK89" s="81"/>
      <c r="AL89" s="81"/>
      <c r="AM89" s="81"/>
      <c r="AN89" s="81"/>
    </row>
    <row r="90" spans="1:40" ht="14.25" customHeight="1">
      <c r="A90" s="82">
        <v>21105</v>
      </c>
      <c r="B90" s="83" t="s">
        <v>15</v>
      </c>
      <c r="C90" s="83" t="s">
        <v>122</v>
      </c>
      <c r="D90" s="83" t="s">
        <v>127</v>
      </c>
      <c r="E90" s="103">
        <v>56</v>
      </c>
      <c r="F90" s="104">
        <v>3464</v>
      </c>
      <c r="G90" s="84">
        <f t="shared" si="17"/>
        <v>2.4475524475524476E-2</v>
      </c>
      <c r="H90" s="85">
        <f t="shared" si="9"/>
        <v>0.6380769230769231</v>
      </c>
      <c r="I90" s="84">
        <f t="shared" si="18"/>
        <v>1.9770222529150235E-2</v>
      </c>
      <c r="J90" s="86">
        <f t="shared" si="11"/>
        <v>34.360646755663105</v>
      </c>
      <c r="K90" s="86">
        <f t="shared" si="14"/>
        <v>18.569991642306888</v>
      </c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  <c r="AD90" s="81"/>
      <c r="AE90" s="81"/>
      <c r="AF90" s="81"/>
      <c r="AG90" s="81"/>
      <c r="AH90" s="81"/>
      <c r="AI90" s="81"/>
      <c r="AJ90" s="81"/>
      <c r="AK90" s="81"/>
      <c r="AL90" s="81"/>
      <c r="AM90" s="81"/>
      <c r="AN90" s="81"/>
    </row>
    <row r="91" spans="1:40" ht="14.25" customHeight="1">
      <c r="A91" s="82">
        <v>21201</v>
      </c>
      <c r="B91" s="83" t="s">
        <v>15</v>
      </c>
      <c r="C91" s="83" t="s">
        <v>128</v>
      </c>
      <c r="D91" s="83" t="s">
        <v>129</v>
      </c>
      <c r="E91" s="103">
        <v>44</v>
      </c>
      <c r="F91" s="104">
        <v>3215</v>
      </c>
      <c r="G91" s="84">
        <f t="shared" si="17"/>
        <v>1.9230769230769232E-2</v>
      </c>
      <c r="H91" s="85">
        <f t="shared" si="9"/>
        <v>0.50134615384615389</v>
      </c>
      <c r="I91" s="84">
        <f t="shared" si="18"/>
        <v>1.8349095101390878E-2</v>
      </c>
      <c r="J91" s="86">
        <f t="shared" si="11"/>
        <v>31.890727286217345</v>
      </c>
      <c r="K91" s="86">
        <f t="shared" si="14"/>
        <v>15.720750089723653</v>
      </c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  <c r="AD91" s="81"/>
      <c r="AE91" s="81"/>
      <c r="AF91" s="81"/>
      <c r="AG91" s="81"/>
      <c r="AH91" s="81"/>
      <c r="AI91" s="81"/>
      <c r="AJ91" s="81"/>
      <c r="AK91" s="81"/>
      <c r="AL91" s="81"/>
      <c r="AM91" s="81"/>
      <c r="AN91" s="81"/>
    </row>
    <row r="92" spans="1:40" ht="14.25" customHeight="1">
      <c r="A92" s="82">
        <v>21202</v>
      </c>
      <c r="B92" s="83" t="s">
        <v>15</v>
      </c>
      <c r="C92" s="83" t="s">
        <v>128</v>
      </c>
      <c r="D92" s="83" t="s">
        <v>130</v>
      </c>
      <c r="E92" s="103">
        <v>28</v>
      </c>
      <c r="F92" s="104">
        <v>2349</v>
      </c>
      <c r="G92" s="84">
        <f t="shared" si="17"/>
        <v>1.2237762237762238E-2</v>
      </c>
      <c r="H92" s="85">
        <f t="shared" si="9"/>
        <v>0.31903846153846155</v>
      </c>
      <c r="I92" s="84">
        <f t="shared" si="18"/>
        <v>1.3406539469103321E-2</v>
      </c>
      <c r="J92" s="86">
        <f t="shared" si="11"/>
        <v>23.300565597301571</v>
      </c>
      <c r="K92" s="86">
        <f t="shared" si="14"/>
        <v>13.692305459546839</v>
      </c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  <c r="AD92" s="81"/>
      <c r="AE92" s="81"/>
      <c r="AF92" s="81"/>
      <c r="AG92" s="81"/>
      <c r="AH92" s="81"/>
      <c r="AI92" s="81"/>
      <c r="AJ92" s="81"/>
      <c r="AK92" s="81"/>
      <c r="AL92" s="81"/>
      <c r="AM92" s="81"/>
      <c r="AN92" s="81"/>
    </row>
    <row r="93" spans="1:40" ht="14.25" customHeight="1">
      <c r="A93" s="82">
        <v>21203</v>
      </c>
      <c r="B93" s="83" t="s">
        <v>15</v>
      </c>
      <c r="C93" s="83" t="s">
        <v>128</v>
      </c>
      <c r="D93" s="83" t="s">
        <v>131</v>
      </c>
      <c r="E93" s="103">
        <v>19</v>
      </c>
      <c r="F93" s="104">
        <v>1212</v>
      </c>
      <c r="G93" s="84">
        <f t="shared" si="17"/>
        <v>8.304195804195804E-3</v>
      </c>
      <c r="H93" s="85">
        <f t="shared" si="9"/>
        <v>0.21649038461538461</v>
      </c>
      <c r="I93" s="84">
        <f t="shared" si="18"/>
        <v>6.9172949495756595E-3</v>
      </c>
      <c r="J93" s="86">
        <f t="shared" si="11"/>
        <v>12.022258622362497</v>
      </c>
      <c r="K93" s="86">
        <f t="shared" si="14"/>
        <v>18.007463606937616</v>
      </c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  <c r="AD93" s="81"/>
      <c r="AE93" s="81"/>
      <c r="AF93" s="81"/>
      <c r="AG93" s="81"/>
      <c r="AH93" s="81"/>
      <c r="AI93" s="81"/>
      <c r="AJ93" s="81"/>
      <c r="AK93" s="81"/>
      <c r="AL93" s="81"/>
      <c r="AM93" s="81"/>
      <c r="AN93" s="81"/>
    </row>
    <row r="94" spans="1:40" ht="14.25" customHeight="1">
      <c r="A94" s="82">
        <v>21204</v>
      </c>
      <c r="B94" s="83" t="s">
        <v>15</v>
      </c>
      <c r="C94" s="83" t="s">
        <v>128</v>
      </c>
      <c r="D94" s="83" t="s">
        <v>132</v>
      </c>
      <c r="E94" s="103">
        <v>3</v>
      </c>
      <c r="F94" s="104">
        <v>372</v>
      </c>
      <c r="G94" s="84">
        <f t="shared" si="17"/>
        <v>1.3111888111888112E-3</v>
      </c>
      <c r="H94" s="85">
        <f t="shared" si="9"/>
        <v>3.418269230769231E-2</v>
      </c>
      <c r="I94" s="84">
        <f t="shared" si="18"/>
        <v>2.1231301330380736E-3</v>
      </c>
      <c r="J94" s="86">
        <f t="shared" si="11"/>
        <v>3.6900001712201718</v>
      </c>
      <c r="K94" s="86">
        <f t="shared" si="14"/>
        <v>9.2636018215655316</v>
      </c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  <c r="AD94" s="81"/>
      <c r="AE94" s="81"/>
      <c r="AF94" s="81"/>
      <c r="AG94" s="81"/>
      <c r="AH94" s="81"/>
      <c r="AI94" s="81"/>
      <c r="AJ94" s="81"/>
      <c r="AK94" s="81"/>
      <c r="AL94" s="81"/>
      <c r="AM94" s="81"/>
      <c r="AN94" s="81"/>
    </row>
    <row r="95" spans="1:40" ht="14.25" customHeight="1">
      <c r="A95" s="82">
        <v>21301</v>
      </c>
      <c r="B95" s="83" t="s">
        <v>15</v>
      </c>
      <c r="C95" s="83" t="s">
        <v>133</v>
      </c>
      <c r="D95" s="83" t="s">
        <v>134</v>
      </c>
      <c r="E95" s="103">
        <v>31</v>
      </c>
      <c r="F95" s="104">
        <v>2036</v>
      </c>
      <c r="G95" s="84">
        <f t="shared" si="17"/>
        <v>1.3548951048951048E-2</v>
      </c>
      <c r="H95" s="85">
        <f t="shared" si="9"/>
        <v>0.35322115384615382</v>
      </c>
      <c r="I95" s="84">
        <f t="shared" si="18"/>
        <v>1.1620142341036338E-2</v>
      </c>
      <c r="J95" s="86">
        <f t="shared" si="11"/>
        <v>20.195807388721157</v>
      </c>
      <c r="K95" s="86">
        <f t="shared" si="14"/>
        <v>17.489825836000932</v>
      </c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  <c r="AD95" s="81"/>
      <c r="AE95" s="81"/>
      <c r="AF95" s="81"/>
      <c r="AG95" s="81"/>
      <c r="AH95" s="81"/>
      <c r="AI95" s="81"/>
      <c r="AJ95" s="81"/>
      <c r="AK95" s="81"/>
      <c r="AL95" s="81"/>
      <c r="AM95" s="81"/>
      <c r="AN95" s="81"/>
    </row>
    <row r="96" spans="1:40" ht="14.25" customHeight="1">
      <c r="A96" s="82">
        <v>21302</v>
      </c>
      <c r="B96" s="83" t="s">
        <v>15</v>
      </c>
      <c r="C96" s="83" t="s">
        <v>133</v>
      </c>
      <c r="D96" s="83" t="s">
        <v>135</v>
      </c>
      <c r="E96" s="103">
        <v>5</v>
      </c>
      <c r="F96" s="104">
        <v>437</v>
      </c>
      <c r="G96" s="84">
        <f>E96/$R$3</f>
        <v>2.1853146853146855E-3</v>
      </c>
      <c r="H96" s="85">
        <f>$S$18*G96</f>
        <v>5.6971153846153852E-2</v>
      </c>
      <c r="I96" s="84">
        <f>F96/$S$3</f>
        <v>2.4941071724130059E-3</v>
      </c>
      <c r="J96" s="86">
        <f>I96*$U$18</f>
        <v>4.3347582656538046</v>
      </c>
      <c r="K96" s="86">
        <f t="shared" si="14"/>
        <v>13.142867572930502</v>
      </c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  <c r="AD96" s="81"/>
      <c r="AE96" s="81"/>
      <c r="AF96" s="81"/>
      <c r="AG96" s="81"/>
      <c r="AH96" s="81"/>
      <c r="AI96" s="81"/>
      <c r="AJ96" s="81"/>
      <c r="AK96" s="81"/>
      <c r="AL96" s="81"/>
      <c r="AM96" s="81"/>
      <c r="AN96" s="81"/>
    </row>
    <row r="97" spans="1:40" ht="14.25" customHeight="1">
      <c r="A97" s="82">
        <v>21303</v>
      </c>
      <c r="B97" s="83" t="s">
        <v>15</v>
      </c>
      <c r="C97" s="83" t="s">
        <v>133</v>
      </c>
      <c r="D97" s="83" t="s">
        <v>136</v>
      </c>
      <c r="E97" s="103">
        <v>20</v>
      </c>
      <c r="F97" s="104">
        <v>660</v>
      </c>
      <c r="G97" s="84">
        <f t="shared" ref="G97:G109" si="19">E97/$R$3</f>
        <v>8.7412587412587419E-3</v>
      </c>
      <c r="H97" s="85">
        <f t="shared" ref="H97:H109" si="20">$S$18*G97</f>
        <v>0.22788461538461541</v>
      </c>
      <c r="I97" s="84">
        <f t="shared" ref="I97:I109" si="21">F97/$S$3</f>
        <v>3.7668437844223888E-3</v>
      </c>
      <c r="J97" s="86">
        <f t="shared" ref="J97:J109" si="22">I97*$U$18</f>
        <v>6.5467744973261119</v>
      </c>
      <c r="K97" s="86">
        <f t="shared" si="14"/>
        <v>34.80868563254927</v>
      </c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  <c r="AD97" s="81"/>
      <c r="AE97" s="81"/>
      <c r="AF97" s="81"/>
      <c r="AG97" s="81"/>
      <c r="AH97" s="81"/>
      <c r="AI97" s="81"/>
      <c r="AJ97" s="81"/>
      <c r="AK97" s="81"/>
      <c r="AL97" s="81"/>
      <c r="AM97" s="81"/>
      <c r="AN97" s="81"/>
    </row>
    <row r="98" spans="1:40" ht="14.25" customHeight="1">
      <c r="A98" s="82">
        <v>21304</v>
      </c>
      <c r="B98" s="83" t="s">
        <v>15</v>
      </c>
      <c r="C98" s="83" t="s">
        <v>133</v>
      </c>
      <c r="D98" s="83" t="s">
        <v>137</v>
      </c>
      <c r="E98" s="103">
        <v>7</v>
      </c>
      <c r="F98" s="104">
        <v>914</v>
      </c>
      <c r="G98" s="84">
        <f t="shared" si="19"/>
        <v>3.0594405594405595E-3</v>
      </c>
      <c r="H98" s="85">
        <f t="shared" si="20"/>
        <v>7.9759615384615387E-2</v>
      </c>
      <c r="I98" s="84">
        <f t="shared" si="21"/>
        <v>5.216507907518278E-3</v>
      </c>
      <c r="J98" s="86">
        <f t="shared" si="22"/>
        <v>9.0662907432667676</v>
      </c>
      <c r="K98" s="86">
        <f t="shared" si="14"/>
        <v>8.7973811609615762</v>
      </c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  <c r="AD98" s="81"/>
      <c r="AE98" s="81"/>
      <c r="AF98" s="81"/>
      <c r="AG98" s="81"/>
      <c r="AH98" s="81"/>
      <c r="AI98" s="81"/>
      <c r="AJ98" s="81"/>
      <c r="AK98" s="81"/>
      <c r="AL98" s="81"/>
      <c r="AM98" s="81"/>
      <c r="AN98" s="81"/>
    </row>
    <row r="99" spans="1:40" ht="14.25" customHeight="1">
      <c r="A99" s="82">
        <v>21305</v>
      </c>
      <c r="B99" s="83" t="s">
        <v>15</v>
      </c>
      <c r="C99" s="83" t="s">
        <v>133</v>
      </c>
      <c r="D99" s="83" t="s">
        <v>138</v>
      </c>
      <c r="E99" s="103">
        <v>30</v>
      </c>
      <c r="F99" s="104">
        <v>1687</v>
      </c>
      <c r="G99" s="84">
        <f t="shared" si="19"/>
        <v>1.3111888111888112E-2</v>
      </c>
      <c r="H99" s="85">
        <f t="shared" si="20"/>
        <v>0.34182692307692308</v>
      </c>
      <c r="I99" s="84">
        <f t="shared" si="21"/>
        <v>9.628281006546318E-3</v>
      </c>
      <c r="J99" s="86">
        <f t="shared" si="22"/>
        <v>16.7339523893775</v>
      </c>
      <c r="K99" s="86">
        <f t="shared" si="14"/>
        <v>20.427148059409472</v>
      </c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  <c r="AD99" s="81"/>
      <c r="AE99" s="81"/>
      <c r="AF99" s="81"/>
      <c r="AG99" s="81"/>
      <c r="AH99" s="81"/>
      <c r="AI99" s="81"/>
      <c r="AJ99" s="81"/>
      <c r="AK99" s="81"/>
      <c r="AL99" s="81"/>
      <c r="AM99" s="81"/>
      <c r="AN99" s="81"/>
    </row>
    <row r="100" spans="1:40" ht="14.25" customHeight="1">
      <c r="A100" s="82">
        <v>21306</v>
      </c>
      <c r="B100" s="83" t="s">
        <v>15</v>
      </c>
      <c r="C100" s="83" t="s">
        <v>133</v>
      </c>
      <c r="D100" s="83" t="s">
        <v>139</v>
      </c>
      <c r="E100" s="103">
        <v>16</v>
      </c>
      <c r="F100" s="104">
        <v>839</v>
      </c>
      <c r="G100" s="84">
        <f t="shared" si="19"/>
        <v>6.993006993006993E-3</v>
      </c>
      <c r="H100" s="85">
        <f t="shared" si="20"/>
        <v>0.18230769230769231</v>
      </c>
      <c r="I100" s="84">
        <f t="shared" si="21"/>
        <v>4.7884574774702789E-3</v>
      </c>
      <c r="J100" s="86">
        <f t="shared" si="22"/>
        <v>8.3223390958433452</v>
      </c>
      <c r="K100" s="86">
        <f t="shared" si="14"/>
        <v>21.905823616193103</v>
      </c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  <c r="AI100" s="81"/>
      <c r="AJ100" s="81"/>
      <c r="AK100" s="81"/>
      <c r="AL100" s="81"/>
      <c r="AM100" s="81"/>
      <c r="AN100" s="81"/>
    </row>
    <row r="101" spans="1:40" ht="14.25" customHeight="1">
      <c r="A101" s="82">
        <v>21307</v>
      </c>
      <c r="B101" s="83" t="s">
        <v>15</v>
      </c>
      <c r="C101" s="83" t="s">
        <v>133</v>
      </c>
      <c r="D101" s="83" t="s">
        <v>140</v>
      </c>
      <c r="E101" s="103">
        <v>5</v>
      </c>
      <c r="F101" s="104">
        <v>283</v>
      </c>
      <c r="G101" s="84">
        <f t="shared" si="19"/>
        <v>2.1853146853146855E-3</v>
      </c>
      <c r="H101" s="85">
        <f t="shared" si="20"/>
        <v>5.6971153846153852E-2</v>
      </c>
      <c r="I101" s="84">
        <f t="shared" si="21"/>
        <v>1.6151769560477818E-3</v>
      </c>
      <c r="J101" s="86">
        <f t="shared" si="22"/>
        <v>2.8071775496110449</v>
      </c>
      <c r="K101" s="86">
        <f t="shared" si="14"/>
        <v>20.294816711556997</v>
      </c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81"/>
      <c r="AK101" s="81"/>
      <c r="AL101" s="81"/>
      <c r="AM101" s="81"/>
      <c r="AN101" s="81"/>
    </row>
    <row r="102" spans="1:40" ht="14.25" customHeight="1">
      <c r="A102" s="82">
        <v>21401</v>
      </c>
      <c r="B102" s="83" t="s">
        <v>15</v>
      </c>
      <c r="C102" s="83" t="s">
        <v>141</v>
      </c>
      <c r="D102" s="83" t="s">
        <v>142</v>
      </c>
      <c r="E102" s="103">
        <v>20</v>
      </c>
      <c r="F102" s="104">
        <v>1623</v>
      </c>
      <c r="G102" s="84">
        <f t="shared" si="19"/>
        <v>8.7412587412587419E-3</v>
      </c>
      <c r="H102" s="85">
        <f t="shared" si="20"/>
        <v>0.22788461538461541</v>
      </c>
      <c r="I102" s="84">
        <f t="shared" si="21"/>
        <v>9.2630113062386922E-3</v>
      </c>
      <c r="J102" s="86">
        <f t="shared" si="22"/>
        <v>16.099113650242845</v>
      </c>
      <c r="K102" s="86">
        <f t="shared" si="14"/>
        <v>14.155103214715048</v>
      </c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  <c r="AI102" s="81"/>
      <c r="AJ102" s="81"/>
      <c r="AK102" s="81"/>
      <c r="AL102" s="81"/>
      <c r="AM102" s="81"/>
      <c r="AN102" s="81"/>
    </row>
    <row r="103" spans="1:40" ht="14.25" customHeight="1">
      <c r="A103" s="82">
        <v>21402</v>
      </c>
      <c r="B103" s="83" t="s">
        <v>15</v>
      </c>
      <c r="C103" s="83" t="s">
        <v>141</v>
      </c>
      <c r="D103" s="83" t="s">
        <v>143</v>
      </c>
      <c r="E103" s="103">
        <v>16</v>
      </c>
      <c r="F103" s="104">
        <v>1538</v>
      </c>
      <c r="G103" s="84">
        <f t="shared" si="19"/>
        <v>6.993006993006993E-3</v>
      </c>
      <c r="H103" s="85">
        <f t="shared" si="20"/>
        <v>0.18230769230769231</v>
      </c>
      <c r="I103" s="84">
        <f t="shared" si="21"/>
        <v>8.7778874855176277E-3</v>
      </c>
      <c r="J103" s="86">
        <f t="shared" si="22"/>
        <v>15.255968449829638</v>
      </c>
      <c r="K103" s="86">
        <f t="shared" si="14"/>
        <v>11.949925886856965</v>
      </c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  <c r="AI103" s="81"/>
      <c r="AJ103" s="81"/>
      <c r="AK103" s="81"/>
      <c r="AL103" s="81"/>
      <c r="AM103" s="81"/>
      <c r="AN103" s="81"/>
    </row>
    <row r="104" spans="1:40" ht="14.25" customHeight="1">
      <c r="A104" s="82">
        <v>21501</v>
      </c>
      <c r="B104" s="83" t="s">
        <v>15</v>
      </c>
      <c r="C104" s="83" t="s">
        <v>144</v>
      </c>
      <c r="D104" s="83" t="s">
        <v>145</v>
      </c>
      <c r="E104" s="103">
        <v>15</v>
      </c>
      <c r="F104" s="104">
        <v>962</v>
      </c>
      <c r="G104" s="84">
        <f t="shared" si="19"/>
        <v>6.555944055944056E-3</v>
      </c>
      <c r="H104" s="85">
        <f t="shared" si="20"/>
        <v>0.17091346153846154</v>
      </c>
      <c r="I104" s="84">
        <f t="shared" si="21"/>
        <v>5.4904601827489973E-3</v>
      </c>
      <c r="J104" s="86">
        <f t="shared" si="22"/>
        <v>9.5424197976177574</v>
      </c>
      <c r="K104" s="86">
        <f t="shared" si="14"/>
        <v>17.910914124856433</v>
      </c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  <c r="AI104" s="81"/>
      <c r="AJ104" s="81"/>
      <c r="AK104" s="81"/>
      <c r="AL104" s="81"/>
      <c r="AM104" s="81"/>
      <c r="AN104" s="81"/>
    </row>
    <row r="105" spans="1:40" ht="14.25" customHeight="1">
      <c r="A105" s="82">
        <v>21502</v>
      </c>
      <c r="B105" s="83" t="s">
        <v>15</v>
      </c>
      <c r="C105" s="83" t="s">
        <v>144</v>
      </c>
      <c r="D105" s="83" t="s">
        <v>146</v>
      </c>
      <c r="E105" s="103">
        <v>18</v>
      </c>
      <c r="F105" s="104">
        <v>800</v>
      </c>
      <c r="G105" s="84">
        <f t="shared" si="19"/>
        <v>7.8671328671328679E-3</v>
      </c>
      <c r="H105" s="85">
        <f t="shared" si="20"/>
        <v>0.20509615384615387</v>
      </c>
      <c r="I105" s="84">
        <f t="shared" si="21"/>
        <v>4.5658712538453198E-3</v>
      </c>
      <c r="J105" s="86">
        <f t="shared" si="22"/>
        <v>7.9354842391831655</v>
      </c>
      <c r="K105" s="86">
        <f t="shared" si="14"/>
        <v>25.845449082167836</v>
      </c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1"/>
      <c r="AJ105" s="81"/>
      <c r="AK105" s="81"/>
      <c r="AL105" s="81"/>
      <c r="AM105" s="81"/>
      <c r="AN105" s="81"/>
    </row>
    <row r="106" spans="1:40" ht="14.25" customHeight="1">
      <c r="A106" s="82">
        <v>21601</v>
      </c>
      <c r="B106" s="83" t="s">
        <v>15</v>
      </c>
      <c r="C106" s="83" t="s">
        <v>147</v>
      </c>
      <c r="D106" s="83" t="s">
        <v>148</v>
      </c>
      <c r="E106" s="103">
        <v>10</v>
      </c>
      <c r="F106" s="104">
        <v>970</v>
      </c>
      <c r="G106" s="84">
        <f t="shared" si="19"/>
        <v>4.370629370629371E-3</v>
      </c>
      <c r="H106" s="85">
        <f t="shared" si="20"/>
        <v>0.1139423076923077</v>
      </c>
      <c r="I106" s="84">
        <f t="shared" si="21"/>
        <v>5.5361188952874505E-3</v>
      </c>
      <c r="J106" s="86">
        <f t="shared" si="22"/>
        <v>9.6217746400095887</v>
      </c>
      <c r="K106" s="86">
        <f t="shared" si="14"/>
        <v>11.842130163650783</v>
      </c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  <c r="AI106" s="81"/>
      <c r="AJ106" s="81"/>
      <c r="AK106" s="81"/>
      <c r="AL106" s="81"/>
      <c r="AM106" s="81"/>
      <c r="AN106" s="81"/>
    </row>
    <row r="107" spans="1:40" ht="14.25" customHeight="1">
      <c r="A107" s="82">
        <v>21602</v>
      </c>
      <c r="B107" s="83" t="s">
        <v>15</v>
      </c>
      <c r="C107" s="83" t="s">
        <v>147</v>
      </c>
      <c r="D107" s="83" t="s">
        <v>149</v>
      </c>
      <c r="E107" s="103">
        <v>4</v>
      </c>
      <c r="F107" s="104">
        <v>385</v>
      </c>
      <c r="G107" s="84">
        <f t="shared" si="19"/>
        <v>1.7482517482517483E-3</v>
      </c>
      <c r="H107" s="85">
        <f t="shared" si="20"/>
        <v>4.5576923076923077E-2</v>
      </c>
      <c r="I107" s="84">
        <f t="shared" si="21"/>
        <v>2.19732554091306E-3</v>
      </c>
      <c r="J107" s="86">
        <f t="shared" si="22"/>
        <v>3.8189517901068983</v>
      </c>
      <c r="K107" s="86">
        <f t="shared" si="14"/>
        <v>11.934406502588322</v>
      </c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81"/>
      <c r="AK107" s="81"/>
      <c r="AL107" s="81"/>
      <c r="AM107" s="81"/>
      <c r="AN107" s="81"/>
    </row>
    <row r="108" spans="1:40" ht="14.25" customHeight="1">
      <c r="A108" s="82">
        <v>21701</v>
      </c>
      <c r="B108" s="83" t="s">
        <v>15</v>
      </c>
      <c r="C108" s="83" t="s">
        <v>150</v>
      </c>
      <c r="D108" s="83" t="s">
        <v>151</v>
      </c>
      <c r="E108" s="103">
        <v>8</v>
      </c>
      <c r="F108" s="104">
        <v>890</v>
      </c>
      <c r="G108" s="84">
        <f t="shared" si="19"/>
        <v>3.4965034965034965E-3</v>
      </c>
      <c r="H108" s="85">
        <f t="shared" si="20"/>
        <v>9.1153846153846155E-2</v>
      </c>
      <c r="I108" s="84">
        <f t="shared" si="21"/>
        <v>5.0795317699029183E-3</v>
      </c>
      <c r="J108" s="86">
        <f t="shared" si="22"/>
        <v>8.8282262160912719</v>
      </c>
      <c r="K108" s="86">
        <f t="shared" si="14"/>
        <v>10.325273041565177</v>
      </c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  <c r="AI108" s="81"/>
      <c r="AJ108" s="81"/>
      <c r="AK108" s="81"/>
      <c r="AL108" s="81"/>
      <c r="AM108" s="81"/>
      <c r="AN108" s="81"/>
    </row>
    <row r="109" spans="1:40" ht="14.25" customHeight="1">
      <c r="A109" s="82">
        <v>21702</v>
      </c>
      <c r="B109" s="83" t="s">
        <v>15</v>
      </c>
      <c r="C109" s="83" t="s">
        <v>150</v>
      </c>
      <c r="D109" s="83" t="s">
        <v>152</v>
      </c>
      <c r="E109" s="103">
        <v>10</v>
      </c>
      <c r="F109" s="104">
        <v>395</v>
      </c>
      <c r="G109" s="84">
        <f t="shared" si="19"/>
        <v>4.370629370629371E-3</v>
      </c>
      <c r="H109" s="85">
        <f t="shared" si="20"/>
        <v>0.1139423076923077</v>
      </c>
      <c r="I109" s="84">
        <f t="shared" si="21"/>
        <v>2.2543989315861267E-3</v>
      </c>
      <c r="J109" s="86">
        <f t="shared" si="22"/>
        <v>3.9181453430966884</v>
      </c>
      <c r="K109" s="86">
        <f t="shared" si="14"/>
        <v>29.080674072762683</v>
      </c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  <c r="AI109" s="81"/>
      <c r="AJ109" s="81"/>
      <c r="AK109" s="81"/>
      <c r="AL109" s="81"/>
      <c r="AM109" s="81"/>
      <c r="AN109" s="81"/>
    </row>
    <row r="110" spans="1:40" ht="14.25" customHeight="1">
      <c r="A110" s="82">
        <v>21703</v>
      </c>
      <c r="B110" s="83" t="s">
        <v>15</v>
      </c>
      <c r="C110" s="83" t="s">
        <v>150</v>
      </c>
      <c r="D110" s="83" t="s">
        <v>153</v>
      </c>
      <c r="E110" s="103">
        <v>0</v>
      </c>
      <c r="F110" s="104">
        <v>188</v>
      </c>
      <c r="G110" s="84">
        <f>E110/$R$3</f>
        <v>0</v>
      </c>
      <c r="H110" s="85">
        <f>$S$18*G110</f>
        <v>0</v>
      </c>
      <c r="I110" s="84">
        <f>F110/$S$3</f>
        <v>1.0729797446536501E-3</v>
      </c>
      <c r="J110" s="86">
        <f>I110*$U$18</f>
        <v>1.8648387962080439</v>
      </c>
      <c r="K110" s="86">
        <f t="shared" si="14"/>
        <v>0</v>
      </c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  <c r="AI110" s="81"/>
      <c r="AJ110" s="81"/>
      <c r="AK110" s="81"/>
      <c r="AL110" s="81"/>
      <c r="AM110" s="81"/>
      <c r="AN110" s="81"/>
    </row>
    <row r="111" spans="1:40" ht="14.25" customHeight="1">
      <c r="A111" s="82">
        <v>21801</v>
      </c>
      <c r="B111" s="83" t="s">
        <v>15</v>
      </c>
      <c r="C111" s="83" t="s">
        <v>154</v>
      </c>
      <c r="D111" s="83" t="s">
        <v>155</v>
      </c>
      <c r="E111" s="103">
        <v>7</v>
      </c>
      <c r="F111" s="104">
        <v>451</v>
      </c>
      <c r="G111" s="84">
        <f t="shared" ref="G111:G117" si="23">E111/$R$3</f>
        <v>3.0594405594405595E-3</v>
      </c>
      <c r="H111" s="85">
        <f t="shared" ref="H111:H117" si="24">$S$18*G111</f>
        <v>7.9759615384615387E-2</v>
      </c>
      <c r="I111" s="84">
        <f t="shared" ref="I111:I117" si="25">F111/$S$3</f>
        <v>2.5740099193552989E-3</v>
      </c>
      <c r="J111" s="86">
        <f t="shared" ref="J111:J117" si="26">I111*$U$18</f>
        <v>4.473629239839509</v>
      </c>
      <c r="K111" s="86">
        <f t="shared" si="14"/>
        <v>17.828838982525237</v>
      </c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  <c r="AI111" s="81"/>
      <c r="AJ111" s="81"/>
      <c r="AK111" s="81"/>
      <c r="AL111" s="81"/>
      <c r="AM111" s="81"/>
      <c r="AN111" s="81"/>
    </row>
    <row r="112" spans="1:40" ht="14.25" customHeight="1">
      <c r="A112" s="82">
        <v>21802</v>
      </c>
      <c r="B112" s="83" t="s">
        <v>15</v>
      </c>
      <c r="C112" s="83" t="s">
        <v>156</v>
      </c>
      <c r="D112" s="83" t="s">
        <v>157</v>
      </c>
      <c r="E112" s="103">
        <v>5</v>
      </c>
      <c r="F112" s="104">
        <v>344</v>
      </c>
      <c r="G112" s="84">
        <f t="shared" si="23"/>
        <v>2.1853146853146855E-3</v>
      </c>
      <c r="H112" s="85">
        <f t="shared" si="24"/>
        <v>5.6971153846153852E-2</v>
      </c>
      <c r="I112" s="84">
        <f t="shared" si="25"/>
        <v>1.9633246391534873E-3</v>
      </c>
      <c r="J112" s="86">
        <f t="shared" si="26"/>
        <v>3.4122582228487608</v>
      </c>
      <c r="K112" s="86">
        <f t="shared" si="14"/>
        <v>16.696026538868114</v>
      </c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  <c r="AI112" s="81"/>
      <c r="AJ112" s="81"/>
      <c r="AK112" s="81"/>
      <c r="AL112" s="81"/>
      <c r="AM112" s="81"/>
      <c r="AN112" s="81"/>
    </row>
    <row r="113" spans="1:40" ht="14.25" customHeight="1">
      <c r="A113" s="82">
        <v>21803</v>
      </c>
      <c r="B113" s="83" t="s">
        <v>15</v>
      </c>
      <c r="C113" s="83" t="s">
        <v>156</v>
      </c>
      <c r="D113" s="83" t="s">
        <v>158</v>
      </c>
      <c r="E113" s="103">
        <v>0</v>
      </c>
      <c r="F113" s="104">
        <v>120</v>
      </c>
      <c r="G113" s="84">
        <f t="shared" si="23"/>
        <v>0</v>
      </c>
      <c r="H113" s="85">
        <f t="shared" si="24"/>
        <v>0</v>
      </c>
      <c r="I113" s="84">
        <f t="shared" si="25"/>
        <v>6.8488068807679792E-4</v>
      </c>
      <c r="J113" s="86">
        <f t="shared" si="26"/>
        <v>1.1903226358774748</v>
      </c>
      <c r="K113" s="86">
        <f t="shared" si="14"/>
        <v>0</v>
      </c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  <c r="AI113" s="81"/>
      <c r="AJ113" s="81"/>
      <c r="AK113" s="81"/>
      <c r="AL113" s="81"/>
      <c r="AM113" s="81"/>
      <c r="AN113" s="81"/>
    </row>
    <row r="114" spans="1:40" ht="14.25" customHeight="1">
      <c r="A114" s="82">
        <v>21901</v>
      </c>
      <c r="B114" s="83" t="s">
        <v>15</v>
      </c>
      <c r="C114" s="83" t="s">
        <v>159</v>
      </c>
      <c r="D114" s="83" t="s">
        <v>160</v>
      </c>
      <c r="E114" s="103">
        <v>11</v>
      </c>
      <c r="F114" s="104">
        <v>327</v>
      </c>
      <c r="G114" s="84">
        <f t="shared" si="23"/>
        <v>4.807692307692308E-3</v>
      </c>
      <c r="H114" s="85">
        <f t="shared" si="24"/>
        <v>0.12533653846153847</v>
      </c>
      <c r="I114" s="84">
        <f t="shared" si="25"/>
        <v>1.8662998750092743E-3</v>
      </c>
      <c r="J114" s="86">
        <f t="shared" si="26"/>
        <v>3.2436291827661186</v>
      </c>
      <c r="K114" s="86">
        <f t="shared" si="14"/>
        <v>38.640834509527174</v>
      </c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  <c r="AI114" s="81"/>
      <c r="AJ114" s="81"/>
      <c r="AK114" s="81"/>
      <c r="AL114" s="81"/>
      <c r="AM114" s="81"/>
      <c r="AN114" s="81"/>
    </row>
    <row r="115" spans="1:40" ht="14.25" customHeight="1">
      <c r="A115" s="82">
        <v>21902</v>
      </c>
      <c r="B115" s="83" t="s">
        <v>15</v>
      </c>
      <c r="C115" s="83" t="s">
        <v>159</v>
      </c>
      <c r="D115" s="83" t="s">
        <v>161</v>
      </c>
      <c r="E115" s="103">
        <v>1</v>
      </c>
      <c r="F115" s="104">
        <v>326</v>
      </c>
      <c r="G115" s="84">
        <f t="shared" si="23"/>
        <v>4.3706293706293706E-4</v>
      </c>
      <c r="H115" s="85">
        <f t="shared" si="24"/>
        <v>1.1394230769230769E-2</v>
      </c>
      <c r="I115" s="84">
        <f t="shared" si="25"/>
        <v>1.8605925359419678E-3</v>
      </c>
      <c r="J115" s="86">
        <f t="shared" si="26"/>
        <v>3.2337098274671399</v>
      </c>
      <c r="K115" s="86">
        <f t="shared" si="14"/>
        <v>3.5235786069758466</v>
      </c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  <c r="AI115" s="81"/>
      <c r="AJ115" s="81"/>
      <c r="AK115" s="81"/>
      <c r="AL115" s="81"/>
      <c r="AM115" s="81"/>
      <c r="AN115" s="81"/>
    </row>
    <row r="116" spans="1:40" ht="14.25" customHeight="1">
      <c r="A116" s="82">
        <v>22001</v>
      </c>
      <c r="B116" s="83" t="s">
        <v>15</v>
      </c>
      <c r="C116" s="83" t="s">
        <v>162</v>
      </c>
      <c r="D116" s="83" t="s">
        <v>162</v>
      </c>
      <c r="E116" s="103">
        <v>40</v>
      </c>
      <c r="F116" s="104">
        <v>3769</v>
      </c>
      <c r="G116" s="84">
        <f t="shared" si="23"/>
        <v>1.7482517482517484E-2</v>
      </c>
      <c r="H116" s="85">
        <f t="shared" si="24"/>
        <v>0.45576923076923082</v>
      </c>
      <c r="I116" s="84">
        <f t="shared" si="25"/>
        <v>2.1510960944678761E-2</v>
      </c>
      <c r="J116" s="86">
        <f t="shared" si="26"/>
        <v>37.386050121851689</v>
      </c>
      <c r="K116" s="86">
        <f t="shared" si="14"/>
        <v>12.190890165817203</v>
      </c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  <c r="AI116" s="81"/>
      <c r="AJ116" s="81"/>
      <c r="AK116" s="81"/>
      <c r="AL116" s="81"/>
      <c r="AM116" s="81"/>
      <c r="AN116" s="81"/>
    </row>
    <row r="117" spans="1:40" ht="14.25" customHeight="1">
      <c r="A117" s="82">
        <v>22002</v>
      </c>
      <c r="B117" s="83" t="s">
        <v>15</v>
      </c>
      <c r="C117" s="83" t="s">
        <v>162</v>
      </c>
      <c r="D117" s="83" t="s">
        <v>163</v>
      </c>
      <c r="E117" s="103">
        <v>12</v>
      </c>
      <c r="F117" s="104">
        <v>684</v>
      </c>
      <c r="G117" s="84">
        <f t="shared" si="23"/>
        <v>5.244755244755245E-3</v>
      </c>
      <c r="H117" s="85">
        <f t="shared" si="24"/>
        <v>0.13673076923076924</v>
      </c>
      <c r="I117" s="84">
        <f t="shared" si="25"/>
        <v>3.9038199220377484E-3</v>
      </c>
      <c r="J117" s="86">
        <f t="shared" si="26"/>
        <v>6.7848390245016068</v>
      </c>
      <c r="K117" s="86">
        <f t="shared" si="14"/>
        <v>20.152396945160103</v>
      </c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  <c r="AI117" s="81"/>
      <c r="AJ117" s="81"/>
      <c r="AK117" s="81"/>
      <c r="AL117" s="81"/>
      <c r="AM117" s="81"/>
      <c r="AN117" s="81"/>
    </row>
    <row r="118" spans="1:40" ht="14.25" customHeight="1">
      <c r="A118" s="82">
        <v>30101</v>
      </c>
      <c r="B118" s="83" t="s">
        <v>17</v>
      </c>
      <c r="C118" s="83" t="s">
        <v>164</v>
      </c>
      <c r="D118" s="83" t="s">
        <v>17</v>
      </c>
      <c r="E118" s="103">
        <v>299</v>
      </c>
      <c r="F118" s="104">
        <v>37662</v>
      </c>
      <c r="G118" s="84">
        <f>E118/$R$4</f>
        <v>0.2270311313591496</v>
      </c>
      <c r="H118" s="85">
        <f>$S$19*G118</f>
        <v>1.7122687927107063</v>
      </c>
      <c r="I118" s="84">
        <f>F118/$S$4</f>
        <v>0.29269316256586414</v>
      </c>
      <c r="J118" s="86">
        <f>I118*$U$19</f>
        <v>367.91530534529124</v>
      </c>
      <c r="K118" s="86">
        <f t="shared" si="14"/>
        <v>4.6539754335681396</v>
      </c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  <c r="AI118" s="81"/>
      <c r="AJ118" s="81"/>
      <c r="AK118" s="81"/>
      <c r="AL118" s="81"/>
      <c r="AM118" s="81"/>
      <c r="AN118" s="81"/>
    </row>
    <row r="119" spans="1:40" ht="14.25" customHeight="1">
      <c r="A119" s="82">
        <v>30201</v>
      </c>
      <c r="B119" s="83" t="s">
        <v>17</v>
      </c>
      <c r="C119" s="83" t="s">
        <v>165</v>
      </c>
      <c r="D119" s="83" t="s">
        <v>166</v>
      </c>
      <c r="E119" s="103">
        <v>7</v>
      </c>
      <c r="F119" s="104">
        <v>1388</v>
      </c>
      <c r="G119" s="84">
        <f t="shared" ref="G119:G146" si="27">E119/$R$4</f>
        <v>5.3151100987091872E-3</v>
      </c>
      <c r="H119" s="85">
        <f t="shared" ref="H119:H165" si="28">$S$19*G119</f>
        <v>4.0086560364464688E-2</v>
      </c>
      <c r="I119" s="84">
        <f t="shared" ref="I119:I146" si="29">F119/$S$4</f>
        <v>1.0786949966582216E-2</v>
      </c>
      <c r="J119" s="86">
        <f t="shared" ref="J119:J165" si="30">I119*$U$19</f>
        <v>13.559196107993845</v>
      </c>
      <c r="K119" s="86">
        <f t="shared" si="14"/>
        <v>2.9564112831756741</v>
      </c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  <c r="AI119" s="81"/>
      <c r="AJ119" s="81"/>
      <c r="AK119" s="81"/>
      <c r="AL119" s="81"/>
      <c r="AM119" s="81"/>
      <c r="AN119" s="81"/>
    </row>
    <row r="120" spans="1:40" ht="14.25" customHeight="1">
      <c r="A120" s="82">
        <v>30202</v>
      </c>
      <c r="B120" s="83" t="s">
        <v>17</v>
      </c>
      <c r="C120" s="83" t="s">
        <v>165</v>
      </c>
      <c r="D120" s="83" t="s">
        <v>167</v>
      </c>
      <c r="E120" s="103">
        <v>1</v>
      </c>
      <c r="F120" s="104">
        <v>318</v>
      </c>
      <c r="G120" s="84">
        <f t="shared" si="27"/>
        <v>7.5930144267274111E-4</v>
      </c>
      <c r="H120" s="85">
        <f t="shared" si="28"/>
        <v>5.7266514806378135E-3</v>
      </c>
      <c r="I120" s="84">
        <f t="shared" si="29"/>
        <v>2.4713617358596142E-3</v>
      </c>
      <c r="J120" s="86">
        <f t="shared" si="30"/>
        <v>3.1065017019755352</v>
      </c>
      <c r="K120" s="86">
        <f t="shared" si="14"/>
        <v>1.8434406383862696</v>
      </c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  <c r="AI120" s="81"/>
      <c r="AJ120" s="81"/>
      <c r="AK120" s="81"/>
      <c r="AL120" s="81"/>
      <c r="AM120" s="81"/>
      <c r="AN120" s="81"/>
    </row>
    <row r="121" spans="1:40" ht="14.25" customHeight="1">
      <c r="A121" s="82">
        <v>30203</v>
      </c>
      <c r="B121" s="83" t="s">
        <v>17</v>
      </c>
      <c r="C121" s="83" t="s">
        <v>165</v>
      </c>
      <c r="D121" s="83" t="s">
        <v>168</v>
      </c>
      <c r="E121" s="103">
        <v>1</v>
      </c>
      <c r="F121" s="104">
        <v>465</v>
      </c>
      <c r="G121" s="84">
        <f t="shared" si="27"/>
        <v>7.5930144267274111E-4</v>
      </c>
      <c r="H121" s="85">
        <f t="shared" si="28"/>
        <v>5.7266514806378135E-3</v>
      </c>
      <c r="I121" s="84">
        <f t="shared" si="29"/>
        <v>3.6137836703607567E-3</v>
      </c>
      <c r="J121" s="86">
        <f t="shared" si="30"/>
        <v>4.5425260736434714</v>
      </c>
      <c r="K121" s="86">
        <f t="shared" si="14"/>
        <v>1.2606755333480295</v>
      </c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  <c r="AI121" s="81"/>
      <c r="AJ121" s="81"/>
      <c r="AK121" s="81"/>
      <c r="AL121" s="81"/>
      <c r="AM121" s="81"/>
      <c r="AN121" s="81"/>
    </row>
    <row r="122" spans="1:40" ht="14.25" customHeight="1">
      <c r="A122" s="82">
        <v>30301</v>
      </c>
      <c r="B122" s="83" t="s">
        <v>17</v>
      </c>
      <c r="C122" s="83" t="s">
        <v>169</v>
      </c>
      <c r="D122" s="83" t="s">
        <v>170</v>
      </c>
      <c r="E122" s="103">
        <v>26</v>
      </c>
      <c r="F122" s="104">
        <v>1506</v>
      </c>
      <c r="G122" s="84">
        <f t="shared" si="27"/>
        <v>1.9741837509491267E-2</v>
      </c>
      <c r="H122" s="85">
        <f t="shared" si="28"/>
        <v>0.14889293849658314</v>
      </c>
      <c r="I122" s="84">
        <f t="shared" si="29"/>
        <v>1.1703996145297418E-2</v>
      </c>
      <c r="J122" s="86">
        <f t="shared" si="30"/>
        <v>14.711923154638853</v>
      </c>
      <c r="K122" s="86">
        <f t="shared" si="14"/>
        <v>10.120562548590755</v>
      </c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  <c r="AI122" s="81"/>
      <c r="AJ122" s="81"/>
      <c r="AK122" s="81"/>
      <c r="AL122" s="81"/>
      <c r="AM122" s="81"/>
      <c r="AN122" s="81"/>
    </row>
    <row r="123" spans="1:40" ht="14.25" customHeight="1">
      <c r="A123" s="82">
        <v>30302</v>
      </c>
      <c r="B123" s="83" t="s">
        <v>17</v>
      </c>
      <c r="C123" s="83" t="s">
        <v>169</v>
      </c>
      <c r="D123" s="83" t="s">
        <v>171</v>
      </c>
      <c r="E123" s="103">
        <v>12</v>
      </c>
      <c r="F123" s="104">
        <v>918</v>
      </c>
      <c r="G123" s="84">
        <f t="shared" si="27"/>
        <v>9.1116173120728925E-3</v>
      </c>
      <c r="H123" s="85">
        <f t="shared" si="28"/>
        <v>6.8719817767653749E-2</v>
      </c>
      <c r="I123" s="84">
        <f t="shared" si="29"/>
        <v>7.1343084072928485E-3</v>
      </c>
      <c r="J123" s="86">
        <f t="shared" si="30"/>
        <v>8.9678256679671104</v>
      </c>
      <c r="K123" s="86">
        <f t="shared" si="14"/>
        <v>7.6629297125076299</v>
      </c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  <c r="AI123" s="81"/>
      <c r="AJ123" s="81"/>
      <c r="AK123" s="81"/>
      <c r="AL123" s="81"/>
      <c r="AM123" s="81"/>
      <c r="AN123" s="81"/>
    </row>
    <row r="124" spans="1:40" ht="14.25" customHeight="1">
      <c r="A124" s="82">
        <v>30303</v>
      </c>
      <c r="B124" s="83" t="s">
        <v>17</v>
      </c>
      <c r="C124" s="83" t="s">
        <v>169</v>
      </c>
      <c r="D124" s="83" t="s">
        <v>172</v>
      </c>
      <c r="E124" s="103">
        <v>41</v>
      </c>
      <c r="F124" s="104">
        <v>1526</v>
      </c>
      <c r="G124" s="84">
        <f t="shared" si="27"/>
        <v>3.1131359149582385E-2</v>
      </c>
      <c r="H124" s="85">
        <f t="shared" si="28"/>
        <v>0.23479271070615035</v>
      </c>
      <c r="I124" s="84">
        <f t="shared" si="29"/>
        <v>1.185942770101186E-2</v>
      </c>
      <c r="J124" s="86">
        <f t="shared" si="30"/>
        <v>14.907300620171908</v>
      </c>
      <c r="K124" s="86">
        <f t="shared" si="14"/>
        <v>15.750182859292387</v>
      </c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  <c r="AI124" s="81"/>
      <c r="AJ124" s="81"/>
      <c r="AK124" s="81"/>
      <c r="AL124" s="81"/>
      <c r="AM124" s="81"/>
      <c r="AN124" s="81"/>
    </row>
    <row r="125" spans="1:40" ht="14.25" customHeight="1">
      <c r="A125" s="82">
        <v>30401</v>
      </c>
      <c r="B125" s="83" t="s">
        <v>17</v>
      </c>
      <c r="C125" s="83" t="s">
        <v>173</v>
      </c>
      <c r="D125" s="83" t="s">
        <v>174</v>
      </c>
      <c r="E125" s="103">
        <v>11</v>
      </c>
      <c r="F125" s="104">
        <v>692</v>
      </c>
      <c r="G125" s="84">
        <f t="shared" si="27"/>
        <v>8.3523158694001516E-3</v>
      </c>
      <c r="H125" s="85">
        <f t="shared" si="28"/>
        <v>6.2993166287015942E-2</v>
      </c>
      <c r="I125" s="84">
        <f t="shared" si="29"/>
        <v>5.3779318277196635E-3</v>
      </c>
      <c r="J125" s="86">
        <f t="shared" si="30"/>
        <v>6.7600603074436174</v>
      </c>
      <c r="K125" s="86">
        <f t="shared" si="14"/>
        <v>9.3184325911490902</v>
      </c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  <c r="AI125" s="81"/>
      <c r="AJ125" s="81"/>
      <c r="AK125" s="81"/>
      <c r="AL125" s="81"/>
      <c r="AM125" s="81"/>
      <c r="AN125" s="81"/>
    </row>
    <row r="126" spans="1:40" ht="14.25" customHeight="1">
      <c r="A126" s="82">
        <v>30402</v>
      </c>
      <c r="B126" s="83" t="s">
        <v>17</v>
      </c>
      <c r="C126" s="83" t="s">
        <v>173</v>
      </c>
      <c r="D126" s="83" t="s">
        <v>175</v>
      </c>
      <c r="E126" s="103">
        <v>8</v>
      </c>
      <c r="F126" s="104">
        <v>400</v>
      </c>
      <c r="G126" s="84">
        <f t="shared" si="27"/>
        <v>6.0744115413819289E-3</v>
      </c>
      <c r="H126" s="85">
        <f t="shared" si="28"/>
        <v>4.5813211845102508E-2</v>
      </c>
      <c r="I126" s="84">
        <f t="shared" si="29"/>
        <v>3.1086311142888229E-3</v>
      </c>
      <c r="J126" s="86">
        <f t="shared" si="30"/>
        <v>3.9075493106610506</v>
      </c>
      <c r="K126" s="86">
        <f t="shared" si="14"/>
        <v>11.724282460136674</v>
      </c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  <c r="AI126" s="81"/>
      <c r="AJ126" s="81"/>
      <c r="AK126" s="81"/>
      <c r="AL126" s="81"/>
      <c r="AM126" s="81"/>
      <c r="AN126" s="81"/>
    </row>
    <row r="127" spans="1:40" ht="14.25" customHeight="1">
      <c r="A127" s="82">
        <v>30403</v>
      </c>
      <c r="B127" s="83" t="s">
        <v>17</v>
      </c>
      <c r="C127" s="83" t="s">
        <v>173</v>
      </c>
      <c r="D127" s="83" t="s">
        <v>176</v>
      </c>
      <c r="E127" s="103">
        <v>22</v>
      </c>
      <c r="F127" s="104">
        <v>2327</v>
      </c>
      <c r="G127" s="84">
        <f t="shared" si="27"/>
        <v>1.6704631738800303E-2</v>
      </c>
      <c r="H127" s="85">
        <f t="shared" si="28"/>
        <v>0.12598633257403188</v>
      </c>
      <c r="I127" s="84">
        <f t="shared" si="29"/>
        <v>1.8084461507375228E-2</v>
      </c>
      <c r="J127" s="86">
        <f t="shared" si="30"/>
        <v>22.732168114770662</v>
      </c>
      <c r="K127" s="86">
        <f t="shared" si="14"/>
        <v>5.5422048586808508</v>
      </c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  <c r="AI127" s="81"/>
      <c r="AJ127" s="81"/>
      <c r="AK127" s="81"/>
      <c r="AL127" s="81"/>
      <c r="AM127" s="81"/>
      <c r="AN127" s="81"/>
    </row>
    <row r="128" spans="1:40" ht="14.25" customHeight="1">
      <c r="A128" s="82">
        <v>30404</v>
      </c>
      <c r="B128" s="83" t="s">
        <v>17</v>
      </c>
      <c r="C128" s="83" t="s">
        <v>173</v>
      </c>
      <c r="D128" s="83" t="s">
        <v>177</v>
      </c>
      <c r="E128" s="103">
        <v>7</v>
      </c>
      <c r="F128" s="104">
        <v>282</v>
      </c>
      <c r="G128" s="84">
        <f t="shared" si="27"/>
        <v>5.3151100987091872E-3</v>
      </c>
      <c r="H128" s="85">
        <f t="shared" si="28"/>
        <v>4.0086560364464688E-2</v>
      </c>
      <c r="I128" s="84">
        <f t="shared" si="29"/>
        <v>2.1915849355736202E-3</v>
      </c>
      <c r="J128" s="86">
        <f t="shared" si="30"/>
        <v>2.7548222640160405</v>
      </c>
      <c r="K128" s="86">
        <f t="shared" si="14"/>
        <v>14.55141440087885</v>
      </c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  <c r="AI128" s="81"/>
      <c r="AJ128" s="81"/>
      <c r="AK128" s="81"/>
      <c r="AL128" s="81"/>
      <c r="AM128" s="81"/>
      <c r="AN128" s="81"/>
    </row>
    <row r="129" spans="1:40" ht="14.25" customHeight="1">
      <c r="A129" s="82">
        <v>30501</v>
      </c>
      <c r="B129" s="83" t="s">
        <v>17</v>
      </c>
      <c r="C129" s="83" t="s">
        <v>178</v>
      </c>
      <c r="D129" s="83" t="s">
        <v>178</v>
      </c>
      <c r="E129" s="103">
        <v>10</v>
      </c>
      <c r="F129" s="104">
        <v>623</v>
      </c>
      <c r="G129" s="84">
        <f t="shared" si="27"/>
        <v>7.5930144267274107E-3</v>
      </c>
      <c r="H129" s="85">
        <f t="shared" si="28"/>
        <v>5.7266514806378128E-2</v>
      </c>
      <c r="I129" s="84">
        <f t="shared" si="29"/>
        <v>4.8416929605048413E-3</v>
      </c>
      <c r="J129" s="86">
        <f t="shared" si="30"/>
        <v>6.0860080513545851</v>
      </c>
      <c r="K129" s="86">
        <f t="shared" si="14"/>
        <v>9.4095364848608938</v>
      </c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  <c r="AI129" s="81"/>
      <c r="AJ129" s="81"/>
      <c r="AK129" s="81"/>
      <c r="AL129" s="81"/>
      <c r="AM129" s="81"/>
      <c r="AN129" s="81"/>
    </row>
    <row r="130" spans="1:40" ht="14.25" customHeight="1">
      <c r="A130" s="82">
        <v>30502</v>
      </c>
      <c r="B130" s="83" t="s">
        <v>17</v>
      </c>
      <c r="C130" s="83" t="s">
        <v>178</v>
      </c>
      <c r="D130" s="83" t="s">
        <v>179</v>
      </c>
      <c r="E130" s="103">
        <v>8</v>
      </c>
      <c r="F130" s="104">
        <v>436</v>
      </c>
      <c r="G130" s="84">
        <f t="shared" si="27"/>
        <v>6.0744115413819289E-3</v>
      </c>
      <c r="H130" s="85">
        <f t="shared" si="28"/>
        <v>4.5813211845102508E-2</v>
      </c>
      <c r="I130" s="84">
        <f t="shared" si="29"/>
        <v>3.3884079145748169E-3</v>
      </c>
      <c r="J130" s="86">
        <f t="shared" si="30"/>
        <v>4.2592287486205445</v>
      </c>
      <c r="K130" s="86">
        <f t="shared" si="14"/>
        <v>10.756222440492364</v>
      </c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  <c r="AI130" s="81"/>
      <c r="AJ130" s="81"/>
      <c r="AK130" s="81"/>
      <c r="AL130" s="81"/>
      <c r="AM130" s="81"/>
      <c r="AN130" s="81"/>
    </row>
    <row r="131" spans="1:40" ht="14.25" customHeight="1">
      <c r="A131" s="82">
        <v>30601</v>
      </c>
      <c r="B131" s="83" t="s">
        <v>17</v>
      </c>
      <c r="C131" s="83" t="s">
        <v>180</v>
      </c>
      <c r="D131" s="83" t="s">
        <v>180</v>
      </c>
      <c r="E131" s="103">
        <v>19</v>
      </c>
      <c r="F131" s="104">
        <v>736</v>
      </c>
      <c r="G131" s="84">
        <f t="shared" si="27"/>
        <v>1.4426727410782081E-2</v>
      </c>
      <c r="H131" s="85">
        <f t="shared" si="28"/>
        <v>0.10880637813211845</v>
      </c>
      <c r="I131" s="84">
        <f t="shared" si="29"/>
        <v>5.7198812502914339E-3</v>
      </c>
      <c r="J131" s="86">
        <f t="shared" si="30"/>
        <v>7.1898907316163321</v>
      </c>
      <c r="K131" s="86">
        <f t="shared" ref="K131:K165" si="31">1000*H131/J131</f>
        <v>15.133245023274242</v>
      </c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  <c r="AI131" s="81"/>
      <c r="AJ131" s="81"/>
      <c r="AK131" s="81"/>
      <c r="AL131" s="81"/>
      <c r="AM131" s="81"/>
      <c r="AN131" s="81"/>
    </row>
    <row r="132" spans="1:40" ht="14.25" customHeight="1">
      <c r="A132" s="82">
        <v>30602</v>
      </c>
      <c r="B132" s="83" t="s">
        <v>17</v>
      </c>
      <c r="C132" s="83" t="s">
        <v>180</v>
      </c>
      <c r="D132" s="83" t="s">
        <v>181</v>
      </c>
      <c r="E132" s="103">
        <v>11</v>
      </c>
      <c r="F132" s="104">
        <v>538</v>
      </c>
      <c r="G132" s="84">
        <f t="shared" si="27"/>
        <v>8.3523158694001516E-3</v>
      </c>
      <c r="H132" s="85">
        <f t="shared" si="28"/>
        <v>6.2993166287015942E-2</v>
      </c>
      <c r="I132" s="84">
        <f t="shared" si="29"/>
        <v>4.1811088487184673E-3</v>
      </c>
      <c r="J132" s="86">
        <f t="shared" si="30"/>
        <v>5.255653822839113</v>
      </c>
      <c r="K132" s="86">
        <f t="shared" si="31"/>
        <v>11.985790619098829</v>
      </c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  <c r="AI132" s="81"/>
      <c r="AJ132" s="81"/>
      <c r="AK132" s="81"/>
      <c r="AL132" s="81"/>
      <c r="AM132" s="81"/>
      <c r="AN132" s="81"/>
    </row>
    <row r="133" spans="1:40" ht="14.25" customHeight="1">
      <c r="A133" s="82">
        <v>30701</v>
      </c>
      <c r="B133" s="83" t="s">
        <v>17</v>
      </c>
      <c r="C133" s="83" t="s">
        <v>182</v>
      </c>
      <c r="D133" s="83" t="s">
        <v>182</v>
      </c>
      <c r="E133" s="103">
        <v>19</v>
      </c>
      <c r="F133" s="104">
        <v>1329</v>
      </c>
      <c r="G133" s="84">
        <f t="shared" si="27"/>
        <v>1.4426727410782081E-2</v>
      </c>
      <c r="H133" s="85">
        <f t="shared" si="28"/>
        <v>0.10880637813211845</v>
      </c>
      <c r="I133" s="84">
        <f t="shared" si="29"/>
        <v>1.0328426877224614E-2</v>
      </c>
      <c r="J133" s="86">
        <f t="shared" si="30"/>
        <v>12.982832584671339</v>
      </c>
      <c r="K133" s="86">
        <f t="shared" si="31"/>
        <v>8.3807888165010098</v>
      </c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  <c r="AI133" s="81"/>
      <c r="AJ133" s="81"/>
      <c r="AK133" s="81"/>
      <c r="AL133" s="81"/>
      <c r="AM133" s="81"/>
      <c r="AN133" s="81"/>
    </row>
    <row r="134" spans="1:40" ht="14.25" customHeight="1">
      <c r="A134" s="82">
        <v>30702</v>
      </c>
      <c r="B134" s="83" t="s">
        <v>17</v>
      </c>
      <c r="C134" s="83" t="s">
        <v>182</v>
      </c>
      <c r="D134" s="83" t="s">
        <v>183</v>
      </c>
      <c r="E134" s="103">
        <v>4</v>
      </c>
      <c r="F134" s="104">
        <v>498</v>
      </c>
      <c r="G134" s="84">
        <f t="shared" si="27"/>
        <v>3.0372057706909645E-3</v>
      </c>
      <c r="H134" s="85">
        <f t="shared" si="28"/>
        <v>2.2906605922551254E-2</v>
      </c>
      <c r="I134" s="84">
        <f t="shared" si="29"/>
        <v>3.8702457372895844E-3</v>
      </c>
      <c r="J134" s="86">
        <f t="shared" si="30"/>
        <v>4.8648988917730076</v>
      </c>
      <c r="K134" s="86">
        <f t="shared" si="31"/>
        <v>4.7085471727456527</v>
      </c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  <c r="AI134" s="81"/>
      <c r="AJ134" s="81"/>
      <c r="AK134" s="81"/>
      <c r="AL134" s="81"/>
      <c r="AM134" s="81"/>
      <c r="AN134" s="81"/>
    </row>
    <row r="135" spans="1:40" ht="14.25" customHeight="1">
      <c r="A135" s="82">
        <v>30703</v>
      </c>
      <c r="B135" s="83" t="s">
        <v>17</v>
      </c>
      <c r="C135" s="83" t="s">
        <v>182</v>
      </c>
      <c r="D135" s="83" t="s">
        <v>184</v>
      </c>
      <c r="E135" s="103">
        <v>0</v>
      </c>
      <c r="F135" s="104">
        <v>288</v>
      </c>
      <c r="G135" s="84">
        <f t="shared" si="27"/>
        <v>0</v>
      </c>
      <c r="H135" s="85">
        <f t="shared" si="28"/>
        <v>0</v>
      </c>
      <c r="I135" s="84">
        <f t="shared" si="29"/>
        <v>2.2382144022879526E-3</v>
      </c>
      <c r="J135" s="86">
        <f t="shared" si="30"/>
        <v>2.8134355036759566</v>
      </c>
      <c r="K135" s="86">
        <f t="shared" si="31"/>
        <v>0</v>
      </c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  <c r="AI135" s="81"/>
      <c r="AJ135" s="81"/>
      <c r="AK135" s="81"/>
      <c r="AL135" s="81"/>
      <c r="AM135" s="81"/>
      <c r="AN135" s="81"/>
    </row>
    <row r="136" spans="1:40" ht="14.25" customHeight="1">
      <c r="A136" s="82">
        <v>30801</v>
      </c>
      <c r="B136" s="83" t="s">
        <v>17</v>
      </c>
      <c r="C136" s="83" t="s">
        <v>185</v>
      </c>
      <c r="D136" s="83" t="s">
        <v>186</v>
      </c>
      <c r="E136" s="103">
        <v>6</v>
      </c>
      <c r="F136" s="104">
        <v>1232</v>
      </c>
      <c r="G136" s="84">
        <f t="shared" si="27"/>
        <v>4.5558086560364463E-3</v>
      </c>
      <c r="H136" s="85">
        <f t="shared" si="28"/>
        <v>3.4359908883826874E-2</v>
      </c>
      <c r="I136" s="84">
        <f t="shared" si="29"/>
        <v>9.5745838320095752E-3</v>
      </c>
      <c r="J136" s="86">
        <f t="shared" si="30"/>
        <v>12.035251876836035</v>
      </c>
      <c r="K136" s="86">
        <f t="shared" si="31"/>
        <v>2.8549389107475664</v>
      </c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1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  <c r="AI136" s="81"/>
      <c r="AJ136" s="81"/>
      <c r="AK136" s="81"/>
      <c r="AL136" s="81"/>
      <c r="AM136" s="81"/>
      <c r="AN136" s="81"/>
    </row>
    <row r="137" spans="1:40" ht="14.25" customHeight="1">
      <c r="A137" s="82">
        <v>30802</v>
      </c>
      <c r="B137" s="83" t="s">
        <v>17</v>
      </c>
      <c r="C137" s="83" t="s">
        <v>185</v>
      </c>
      <c r="D137" s="83" t="s">
        <v>187</v>
      </c>
      <c r="E137" s="103">
        <v>7</v>
      </c>
      <c r="F137" s="104">
        <v>387</v>
      </c>
      <c r="G137" s="84">
        <f t="shared" si="27"/>
        <v>5.3151100987091872E-3</v>
      </c>
      <c r="H137" s="85">
        <f t="shared" si="28"/>
        <v>4.0086560364464688E-2</v>
      </c>
      <c r="I137" s="84">
        <f t="shared" si="29"/>
        <v>3.0076006030744363E-3</v>
      </c>
      <c r="J137" s="86">
        <f t="shared" si="30"/>
        <v>3.7805539580645666</v>
      </c>
      <c r="K137" s="86">
        <f t="shared" si="31"/>
        <v>10.603356230097765</v>
      </c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1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  <c r="AI137" s="81"/>
      <c r="AJ137" s="81"/>
      <c r="AK137" s="81"/>
      <c r="AL137" s="81"/>
      <c r="AM137" s="81"/>
      <c r="AN137" s="81"/>
    </row>
    <row r="138" spans="1:40" ht="14.25" customHeight="1">
      <c r="A138" s="82">
        <v>30803</v>
      </c>
      <c r="B138" s="83" t="s">
        <v>17</v>
      </c>
      <c r="C138" s="83" t="s">
        <v>185</v>
      </c>
      <c r="D138" s="83" t="s">
        <v>188</v>
      </c>
      <c r="E138" s="103">
        <v>10</v>
      </c>
      <c r="F138" s="104">
        <v>529</v>
      </c>
      <c r="G138" s="84">
        <f t="shared" si="27"/>
        <v>7.5930144267274107E-3</v>
      </c>
      <c r="H138" s="85">
        <f t="shared" si="28"/>
        <v>5.7266514806378128E-2</v>
      </c>
      <c r="I138" s="84">
        <f t="shared" si="29"/>
        <v>4.1111646486469682E-3</v>
      </c>
      <c r="J138" s="86">
        <f t="shared" si="30"/>
        <v>5.1677339633492387</v>
      </c>
      <c r="K138" s="86">
        <f t="shared" si="31"/>
        <v>11.081552419788917</v>
      </c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  <c r="AI138" s="81"/>
      <c r="AJ138" s="81"/>
      <c r="AK138" s="81"/>
      <c r="AL138" s="81"/>
      <c r="AM138" s="81"/>
      <c r="AN138" s="81"/>
    </row>
    <row r="139" spans="1:40" ht="14.25" customHeight="1">
      <c r="A139" s="82">
        <v>30901</v>
      </c>
      <c r="B139" s="83" t="s">
        <v>17</v>
      </c>
      <c r="C139" s="83" t="s">
        <v>189</v>
      </c>
      <c r="D139" s="83" t="s">
        <v>189</v>
      </c>
      <c r="E139" s="103">
        <v>72</v>
      </c>
      <c r="F139" s="104">
        <v>10618</v>
      </c>
      <c r="G139" s="84">
        <f t="shared" si="27"/>
        <v>5.4669703872437359E-2</v>
      </c>
      <c r="H139" s="85">
        <f t="shared" si="28"/>
        <v>0.41231890660592257</v>
      </c>
      <c r="I139" s="84">
        <f t="shared" si="29"/>
        <v>8.2518612928796808E-2</v>
      </c>
      <c r="J139" s="86">
        <f t="shared" si="30"/>
        <v>103.72589645149759</v>
      </c>
      <c r="K139" s="86">
        <f t="shared" si="31"/>
        <v>3.9750816402799045</v>
      </c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  <c r="AI139" s="81"/>
      <c r="AJ139" s="81"/>
      <c r="AK139" s="81"/>
      <c r="AL139" s="81"/>
      <c r="AM139" s="81"/>
      <c r="AN139" s="81"/>
    </row>
    <row r="140" spans="1:40" ht="14.25" customHeight="1">
      <c r="A140" s="82">
        <v>30902</v>
      </c>
      <c r="B140" s="83" t="s">
        <v>17</v>
      </c>
      <c r="C140" s="83" t="s">
        <v>189</v>
      </c>
      <c r="D140" s="83" t="s">
        <v>190</v>
      </c>
      <c r="E140" s="103">
        <v>46</v>
      </c>
      <c r="F140" s="104">
        <v>4316</v>
      </c>
      <c r="G140" s="84">
        <f t="shared" si="27"/>
        <v>3.4927866362946092E-2</v>
      </c>
      <c r="H140" s="85">
        <f t="shared" si="28"/>
        <v>0.26342596810933944</v>
      </c>
      <c r="I140" s="84">
        <f t="shared" si="29"/>
        <v>3.3542129723176398E-2</v>
      </c>
      <c r="J140" s="86">
        <f t="shared" si="30"/>
        <v>42.162457062032729</v>
      </c>
      <c r="K140" s="86">
        <f t="shared" si="31"/>
        <v>6.2478799022971172</v>
      </c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  <c r="AI140" s="81"/>
      <c r="AJ140" s="81"/>
      <c r="AK140" s="81"/>
      <c r="AL140" s="81"/>
      <c r="AM140" s="81"/>
      <c r="AN140" s="81"/>
    </row>
    <row r="141" spans="1:40" ht="14.25" customHeight="1">
      <c r="A141" s="82">
        <v>30903</v>
      </c>
      <c r="B141" s="83" t="s">
        <v>17</v>
      </c>
      <c r="C141" s="83" t="s">
        <v>189</v>
      </c>
      <c r="D141" s="83" t="s">
        <v>191</v>
      </c>
      <c r="E141" s="103">
        <v>29</v>
      </c>
      <c r="F141" s="104">
        <v>3685</v>
      </c>
      <c r="G141" s="84">
        <f t="shared" si="27"/>
        <v>2.2019741837509491E-2</v>
      </c>
      <c r="H141" s="85">
        <f t="shared" si="28"/>
        <v>0.16607289293849659</v>
      </c>
      <c r="I141" s="84">
        <f t="shared" si="29"/>
        <v>2.8638264140385779E-2</v>
      </c>
      <c r="J141" s="86">
        <f t="shared" si="30"/>
        <v>35.998298024464923</v>
      </c>
      <c r="K141" s="86">
        <f t="shared" si="31"/>
        <v>4.613354020949302</v>
      </c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  <c r="AI141" s="81"/>
      <c r="AJ141" s="81"/>
      <c r="AK141" s="81"/>
      <c r="AL141" s="81"/>
      <c r="AM141" s="81"/>
      <c r="AN141" s="81"/>
    </row>
    <row r="142" spans="1:40" ht="14.25" customHeight="1">
      <c r="A142" s="82">
        <v>30904</v>
      </c>
      <c r="B142" s="83" t="s">
        <v>17</v>
      </c>
      <c r="C142" s="83" t="s">
        <v>189</v>
      </c>
      <c r="D142" s="83" t="s">
        <v>192</v>
      </c>
      <c r="E142" s="103">
        <v>26</v>
      </c>
      <c r="F142" s="104">
        <v>3851</v>
      </c>
      <c r="G142" s="84">
        <f t="shared" si="27"/>
        <v>1.9741837509491267E-2</v>
      </c>
      <c r="H142" s="85">
        <f t="shared" si="28"/>
        <v>0.14889293849658314</v>
      </c>
      <c r="I142" s="84">
        <f t="shared" si="29"/>
        <v>2.9928346052815642E-2</v>
      </c>
      <c r="J142" s="86">
        <f t="shared" si="30"/>
        <v>37.619930988389264</v>
      </c>
      <c r="K142" s="86">
        <f t="shared" si="31"/>
        <v>3.9578206175480846</v>
      </c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  <c r="AI142" s="81"/>
      <c r="AJ142" s="81"/>
      <c r="AK142" s="81"/>
      <c r="AL142" s="81"/>
      <c r="AM142" s="81"/>
      <c r="AN142" s="81"/>
    </row>
    <row r="143" spans="1:40" ht="14.25" customHeight="1">
      <c r="A143" s="82">
        <v>30905</v>
      </c>
      <c r="B143" s="83" t="s">
        <v>17</v>
      </c>
      <c r="C143" s="83" t="s">
        <v>189</v>
      </c>
      <c r="D143" s="83" t="s">
        <v>193</v>
      </c>
      <c r="E143" s="103">
        <v>25</v>
      </c>
      <c r="F143" s="104">
        <v>3735</v>
      </c>
      <c r="G143" s="84">
        <f t="shared" si="27"/>
        <v>1.8982536066818528E-2</v>
      </c>
      <c r="H143" s="85">
        <f t="shared" si="28"/>
        <v>0.14316628701594533</v>
      </c>
      <c r="I143" s="84">
        <f t="shared" si="29"/>
        <v>2.9026843029671883E-2</v>
      </c>
      <c r="J143" s="86">
        <f t="shared" si="30"/>
        <v>36.486741688297556</v>
      </c>
      <c r="K143" s="86">
        <f t="shared" si="31"/>
        <v>3.9237893106213773</v>
      </c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  <c r="AI143" s="81"/>
      <c r="AJ143" s="81"/>
      <c r="AK143" s="81"/>
      <c r="AL143" s="81"/>
      <c r="AM143" s="81"/>
      <c r="AN143" s="81"/>
    </row>
    <row r="144" spans="1:40" ht="14.25" customHeight="1">
      <c r="A144" s="82">
        <v>31001</v>
      </c>
      <c r="B144" s="83" t="s">
        <v>17</v>
      </c>
      <c r="C144" s="83" t="s">
        <v>194</v>
      </c>
      <c r="D144" s="83" t="s">
        <v>195</v>
      </c>
      <c r="E144" s="103">
        <v>108</v>
      </c>
      <c r="F144" s="104">
        <v>13602</v>
      </c>
      <c r="G144" s="84">
        <f t="shared" si="27"/>
        <v>8.2004555808656038E-2</v>
      </c>
      <c r="H144" s="85">
        <f t="shared" si="28"/>
        <v>0.61847835990888378</v>
      </c>
      <c r="I144" s="84">
        <f t="shared" si="29"/>
        <v>0.10570900104139143</v>
      </c>
      <c r="J144" s="86">
        <f t="shared" si="30"/>
        <v>132.87621430902902</v>
      </c>
      <c r="K144" s="86">
        <f t="shared" si="31"/>
        <v>4.6545453083912687</v>
      </c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1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  <c r="AI144" s="81"/>
      <c r="AJ144" s="81"/>
      <c r="AK144" s="81"/>
      <c r="AL144" s="81"/>
      <c r="AM144" s="81"/>
      <c r="AN144" s="81"/>
    </row>
    <row r="145" spans="1:40" ht="14.25" customHeight="1">
      <c r="A145" s="82">
        <v>31002</v>
      </c>
      <c r="B145" s="83" t="s">
        <v>17</v>
      </c>
      <c r="C145" s="83" t="s">
        <v>194</v>
      </c>
      <c r="D145" s="83" t="s">
        <v>196</v>
      </c>
      <c r="E145" s="103">
        <v>24</v>
      </c>
      <c r="F145" s="104">
        <v>1623</v>
      </c>
      <c r="G145" s="84">
        <f t="shared" si="27"/>
        <v>1.8223234624145785E-2</v>
      </c>
      <c r="H145" s="85">
        <f t="shared" si="28"/>
        <v>0.1374396355353075</v>
      </c>
      <c r="I145" s="84">
        <f t="shared" si="29"/>
        <v>1.2613270746226899E-2</v>
      </c>
      <c r="J145" s="86">
        <f t="shared" si="30"/>
        <v>15.854881328007211</v>
      </c>
      <c r="K145" s="86">
        <f t="shared" si="31"/>
        <v>8.668600709897726</v>
      </c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  <c r="AI145" s="81"/>
      <c r="AJ145" s="81"/>
      <c r="AK145" s="81"/>
      <c r="AL145" s="81"/>
      <c r="AM145" s="81"/>
      <c r="AN145" s="81"/>
    </row>
    <row r="146" spans="1:40" ht="14.25" customHeight="1">
      <c r="A146" s="82">
        <v>31003</v>
      </c>
      <c r="B146" s="83" t="s">
        <v>17</v>
      </c>
      <c r="C146" s="83" t="s">
        <v>194</v>
      </c>
      <c r="D146" s="83" t="s">
        <v>197</v>
      </c>
      <c r="E146" s="103">
        <v>117</v>
      </c>
      <c r="F146" s="104">
        <v>7538</v>
      </c>
      <c r="G146" s="84">
        <f t="shared" si="27"/>
        <v>8.8838268792710701E-2</v>
      </c>
      <c r="H146" s="85">
        <f t="shared" si="28"/>
        <v>0.67001822323462412</v>
      </c>
      <c r="I146" s="84">
        <f t="shared" si="29"/>
        <v>5.858215334877287E-2</v>
      </c>
      <c r="J146" s="86">
        <f t="shared" si="30"/>
        <v>73.637766759407498</v>
      </c>
      <c r="K146" s="86">
        <f t="shared" si="31"/>
        <v>9.0988395319447513</v>
      </c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1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  <c r="AI146" s="81"/>
      <c r="AJ146" s="81"/>
      <c r="AK146" s="81"/>
      <c r="AL146" s="81"/>
      <c r="AM146" s="81"/>
      <c r="AN146" s="81"/>
    </row>
    <row r="147" spans="1:40" ht="14.25" customHeight="1">
      <c r="A147" s="82">
        <v>31101</v>
      </c>
      <c r="B147" s="83" t="s">
        <v>17</v>
      </c>
      <c r="C147" s="83" t="s">
        <v>198</v>
      </c>
      <c r="D147" s="83" t="s">
        <v>198</v>
      </c>
      <c r="E147" s="103">
        <v>45</v>
      </c>
      <c r="F147" s="104">
        <v>1538</v>
      </c>
      <c r="G147" s="84">
        <f>E147/$R$4</f>
        <v>3.4168564920273349E-2</v>
      </c>
      <c r="H147" s="85">
        <f>$S$19*G147</f>
        <v>0.2576993166287016</v>
      </c>
      <c r="I147" s="84">
        <f>F147/$S$4</f>
        <v>1.1952686634440525E-2</v>
      </c>
      <c r="J147" s="86">
        <f>I147*$U$19</f>
        <v>15.02452709949174</v>
      </c>
      <c r="K147" s="86">
        <f t="shared" si="31"/>
        <v>17.151908670551048</v>
      </c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  <c r="AI147" s="81"/>
      <c r="AJ147" s="81"/>
      <c r="AK147" s="81"/>
      <c r="AL147" s="81"/>
      <c r="AM147" s="81"/>
      <c r="AN147" s="81"/>
    </row>
    <row r="148" spans="1:40" ht="14.25" customHeight="1">
      <c r="A148" s="82">
        <v>31201</v>
      </c>
      <c r="B148" s="83" t="s">
        <v>17</v>
      </c>
      <c r="C148" s="83" t="s">
        <v>199</v>
      </c>
      <c r="D148" s="83" t="s">
        <v>200</v>
      </c>
      <c r="E148" s="103">
        <v>15</v>
      </c>
      <c r="F148" s="104">
        <v>1255</v>
      </c>
      <c r="G148" s="84">
        <f t="shared" ref="G148:G155" si="32">E148/$R$4</f>
        <v>1.1389521640091117E-2</v>
      </c>
      <c r="H148" s="85">
        <f t="shared" si="28"/>
        <v>8.5899772209567196E-2</v>
      </c>
      <c r="I148" s="84">
        <f t="shared" ref="I148:I155" si="33">F148/$S$4</f>
        <v>9.7533301210811826E-3</v>
      </c>
      <c r="J148" s="86">
        <f t="shared" si="30"/>
        <v>12.259935962199046</v>
      </c>
      <c r="K148" s="86">
        <f t="shared" si="31"/>
        <v>7.0065433028705222</v>
      </c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1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  <c r="AI148" s="81"/>
      <c r="AJ148" s="81"/>
      <c r="AK148" s="81"/>
      <c r="AL148" s="81"/>
      <c r="AM148" s="81"/>
      <c r="AN148" s="81"/>
    </row>
    <row r="149" spans="1:40" ht="14.25" customHeight="1">
      <c r="A149" s="82">
        <v>31202</v>
      </c>
      <c r="B149" s="83" t="s">
        <v>17</v>
      </c>
      <c r="C149" s="83" t="s">
        <v>199</v>
      </c>
      <c r="D149" s="83" t="s">
        <v>201</v>
      </c>
      <c r="E149" s="103">
        <v>8</v>
      </c>
      <c r="F149" s="104">
        <v>907</v>
      </c>
      <c r="G149" s="84">
        <f t="shared" si="32"/>
        <v>6.0744115413819289E-3</v>
      </c>
      <c r="H149" s="85">
        <f t="shared" si="28"/>
        <v>4.5813211845102508E-2</v>
      </c>
      <c r="I149" s="84">
        <f t="shared" si="33"/>
        <v>7.048821051649906E-3</v>
      </c>
      <c r="J149" s="86">
        <f t="shared" si="30"/>
        <v>8.860368061923932</v>
      </c>
      <c r="K149" s="86">
        <f t="shared" si="31"/>
        <v>5.1705766086600553</v>
      </c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  <c r="AI149" s="81"/>
      <c r="AJ149" s="81"/>
      <c r="AK149" s="81"/>
      <c r="AL149" s="81"/>
      <c r="AM149" s="81"/>
      <c r="AN149" s="81"/>
    </row>
    <row r="150" spans="1:40" ht="14.25" customHeight="1">
      <c r="A150" s="82">
        <v>31203</v>
      </c>
      <c r="B150" s="83" t="s">
        <v>17</v>
      </c>
      <c r="C150" s="83" t="s">
        <v>199</v>
      </c>
      <c r="D150" s="83" t="s">
        <v>202</v>
      </c>
      <c r="E150" s="103">
        <v>10</v>
      </c>
      <c r="F150" s="104">
        <v>769</v>
      </c>
      <c r="G150" s="84">
        <f t="shared" si="32"/>
        <v>7.5930144267274107E-3</v>
      </c>
      <c r="H150" s="85">
        <f t="shared" si="28"/>
        <v>5.7266514806378128E-2</v>
      </c>
      <c r="I150" s="84">
        <f t="shared" si="33"/>
        <v>5.9763433172202625E-3</v>
      </c>
      <c r="J150" s="86">
        <f t="shared" si="30"/>
        <v>7.5122635497458701</v>
      </c>
      <c r="K150" s="86">
        <f t="shared" si="31"/>
        <v>7.6230705202449105</v>
      </c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  <c r="AI150" s="81"/>
      <c r="AJ150" s="81"/>
      <c r="AK150" s="81"/>
      <c r="AL150" s="81"/>
      <c r="AM150" s="81"/>
      <c r="AN150" s="81"/>
    </row>
    <row r="151" spans="1:40" ht="14.25" customHeight="1">
      <c r="A151" s="82">
        <v>31204</v>
      </c>
      <c r="B151" s="83" t="s">
        <v>17</v>
      </c>
      <c r="C151" s="83" t="s">
        <v>199</v>
      </c>
      <c r="D151" s="83" t="s">
        <v>203</v>
      </c>
      <c r="E151" s="103">
        <v>31</v>
      </c>
      <c r="F151" s="104">
        <v>2163</v>
      </c>
      <c r="G151" s="84">
        <f t="shared" si="32"/>
        <v>2.3538344722854973E-2</v>
      </c>
      <c r="H151" s="85">
        <f t="shared" si="28"/>
        <v>0.1775261958997722</v>
      </c>
      <c r="I151" s="84">
        <f t="shared" si="33"/>
        <v>1.680992275051681E-2</v>
      </c>
      <c r="J151" s="86">
        <f t="shared" si="30"/>
        <v>21.130072897399629</v>
      </c>
      <c r="K151" s="86">
        <f t="shared" si="31"/>
        <v>8.4015893727285462</v>
      </c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  <c r="AI151" s="81"/>
      <c r="AJ151" s="81"/>
      <c r="AK151" s="81"/>
      <c r="AL151" s="81"/>
      <c r="AM151" s="81"/>
      <c r="AN151" s="81"/>
    </row>
    <row r="152" spans="1:40" ht="14.25" customHeight="1">
      <c r="A152" s="82">
        <v>31205</v>
      </c>
      <c r="B152" s="83" t="s">
        <v>17</v>
      </c>
      <c r="C152" s="83" t="s">
        <v>199</v>
      </c>
      <c r="D152" s="83" t="s">
        <v>204</v>
      </c>
      <c r="E152" s="103">
        <v>58</v>
      </c>
      <c r="F152" s="104">
        <v>5355</v>
      </c>
      <c r="G152" s="84">
        <f t="shared" si="32"/>
        <v>4.4039483675018982E-2</v>
      </c>
      <c r="H152" s="85">
        <f t="shared" si="28"/>
        <v>0.33214578587699317</v>
      </c>
      <c r="I152" s="84">
        <f t="shared" si="33"/>
        <v>4.1616799042541619E-2</v>
      </c>
      <c r="J152" s="86">
        <f t="shared" si="30"/>
        <v>52.312316396474813</v>
      </c>
      <c r="K152" s="86">
        <f t="shared" si="31"/>
        <v>6.3492846189348935</v>
      </c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1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  <c r="AI152" s="81"/>
      <c r="AJ152" s="81"/>
      <c r="AK152" s="81"/>
      <c r="AL152" s="81"/>
      <c r="AM152" s="81"/>
      <c r="AN152" s="81"/>
    </row>
    <row r="153" spans="1:40" ht="14.25" customHeight="1">
      <c r="A153" s="82">
        <v>31206</v>
      </c>
      <c r="B153" s="83" t="s">
        <v>17</v>
      </c>
      <c r="C153" s="83" t="s">
        <v>199</v>
      </c>
      <c r="D153" s="83" t="s">
        <v>205</v>
      </c>
      <c r="E153" s="103">
        <v>37</v>
      </c>
      <c r="F153" s="104">
        <v>3718</v>
      </c>
      <c r="G153" s="84">
        <f t="shared" si="32"/>
        <v>2.8094153378891418E-2</v>
      </c>
      <c r="H153" s="85">
        <f t="shared" si="28"/>
        <v>0.21188610478359907</v>
      </c>
      <c r="I153" s="84">
        <f t="shared" si="33"/>
        <v>2.8894726207314609E-2</v>
      </c>
      <c r="J153" s="86">
        <f t="shared" si="30"/>
        <v>36.320670842594467</v>
      </c>
      <c r="K153" s="86">
        <f t="shared" si="31"/>
        <v>5.8337607722573548</v>
      </c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  <c r="AI153" s="81"/>
      <c r="AJ153" s="81"/>
      <c r="AK153" s="81"/>
      <c r="AL153" s="81"/>
      <c r="AM153" s="81"/>
      <c r="AN153" s="81"/>
    </row>
    <row r="154" spans="1:40" ht="14.25" customHeight="1">
      <c r="A154" s="82">
        <v>31301</v>
      </c>
      <c r="B154" s="83" t="s">
        <v>17</v>
      </c>
      <c r="C154" s="83" t="s">
        <v>206</v>
      </c>
      <c r="D154" s="83" t="s">
        <v>206</v>
      </c>
      <c r="E154" s="103">
        <v>13</v>
      </c>
      <c r="F154" s="104">
        <v>1387</v>
      </c>
      <c r="G154" s="84">
        <f t="shared" si="32"/>
        <v>9.8709187547456334E-3</v>
      </c>
      <c r="H154" s="85">
        <f t="shared" si="28"/>
        <v>7.4446469248291569E-2</v>
      </c>
      <c r="I154" s="84">
        <f t="shared" si="33"/>
        <v>1.0779178388796494E-2</v>
      </c>
      <c r="J154" s="86">
        <f t="shared" si="30"/>
        <v>13.549427234717193</v>
      </c>
      <c r="K154" s="86">
        <f t="shared" si="31"/>
        <v>5.4944366251541723</v>
      </c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1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  <c r="AI154" s="81"/>
      <c r="AJ154" s="81"/>
      <c r="AK154" s="81"/>
      <c r="AL154" s="81"/>
      <c r="AM154" s="81"/>
      <c r="AN154" s="81"/>
    </row>
    <row r="155" spans="1:40" ht="14.25" customHeight="1">
      <c r="A155" s="82">
        <v>31302</v>
      </c>
      <c r="B155" s="83" t="s">
        <v>17</v>
      </c>
      <c r="C155" s="83" t="s">
        <v>206</v>
      </c>
      <c r="D155" s="83" t="s">
        <v>207</v>
      </c>
      <c r="E155" s="103">
        <v>8</v>
      </c>
      <c r="F155" s="104">
        <v>345</v>
      </c>
      <c r="G155" s="84">
        <f t="shared" si="32"/>
        <v>6.0744115413819289E-3</v>
      </c>
      <c r="H155" s="85">
        <f t="shared" si="28"/>
        <v>4.5813211845102508E-2</v>
      </c>
      <c r="I155" s="84">
        <f t="shared" si="33"/>
        <v>2.68119433607411E-3</v>
      </c>
      <c r="J155" s="86">
        <f t="shared" si="30"/>
        <v>3.3702612804451562</v>
      </c>
      <c r="K155" s="86">
        <f t="shared" si="31"/>
        <v>13.593370968274405</v>
      </c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1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  <c r="AI155" s="81"/>
      <c r="AJ155" s="81"/>
      <c r="AK155" s="81"/>
      <c r="AL155" s="81"/>
      <c r="AM155" s="81"/>
      <c r="AN155" s="81"/>
    </row>
    <row r="156" spans="1:40" ht="14.25" customHeight="1">
      <c r="A156" s="82">
        <v>31303</v>
      </c>
      <c r="B156" s="83" t="s">
        <v>17</v>
      </c>
      <c r="C156" s="83" t="s">
        <v>206</v>
      </c>
      <c r="D156" s="83" t="s">
        <v>208</v>
      </c>
      <c r="E156" s="103">
        <v>0</v>
      </c>
      <c r="F156" s="104">
        <v>206</v>
      </c>
      <c r="G156" s="84">
        <f>E156/$R$4</f>
        <v>0</v>
      </c>
      <c r="H156" s="85">
        <f>$S$19*G156</f>
        <v>0</v>
      </c>
      <c r="I156" s="84">
        <f>F156/$S$4</f>
        <v>1.6009450238587439E-3</v>
      </c>
      <c r="J156" s="86">
        <f>I156*$U$19</f>
        <v>2.0123878949904412</v>
      </c>
      <c r="K156" s="86">
        <f t="shared" si="31"/>
        <v>0</v>
      </c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1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  <c r="AI156" s="81"/>
      <c r="AJ156" s="81"/>
      <c r="AK156" s="81"/>
      <c r="AL156" s="81"/>
      <c r="AM156" s="81"/>
      <c r="AN156" s="81"/>
    </row>
    <row r="157" spans="1:40" ht="14.25" customHeight="1">
      <c r="A157" s="98">
        <v>31304</v>
      </c>
      <c r="B157" s="83" t="s">
        <v>17</v>
      </c>
      <c r="C157" s="83" t="s">
        <v>206</v>
      </c>
      <c r="D157" s="83" t="s">
        <v>209</v>
      </c>
      <c r="E157" s="103">
        <v>18</v>
      </c>
      <c r="F157" s="104">
        <v>525</v>
      </c>
      <c r="G157" s="84">
        <f t="shared" ref="G157:G165" si="34">E157/$R$4</f>
        <v>1.366742596810934E-2</v>
      </c>
      <c r="H157" s="85">
        <f t="shared" si="28"/>
        <v>0.10307972665148064</v>
      </c>
      <c r="I157" s="84">
        <f t="shared" ref="I157:I165" si="35">F157/$S$4</f>
        <v>4.0800783375040802E-3</v>
      </c>
      <c r="J157" s="86">
        <f t="shared" si="30"/>
        <v>5.1286584702426286</v>
      </c>
      <c r="K157" s="86">
        <f t="shared" si="31"/>
        <v>20.098769931662872</v>
      </c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  <c r="AI157" s="81"/>
      <c r="AJ157" s="81"/>
      <c r="AK157" s="81"/>
      <c r="AL157" s="81"/>
      <c r="AM157" s="81"/>
      <c r="AN157" s="81"/>
    </row>
    <row r="158" spans="1:40" ht="14.25" customHeight="1">
      <c r="A158" s="82">
        <v>31401</v>
      </c>
      <c r="B158" s="83" t="s">
        <v>17</v>
      </c>
      <c r="C158" s="83" t="s">
        <v>210</v>
      </c>
      <c r="D158" s="83" t="s">
        <v>210</v>
      </c>
      <c r="E158" s="103">
        <v>22</v>
      </c>
      <c r="F158" s="104">
        <v>2153</v>
      </c>
      <c r="G158" s="84">
        <f t="shared" si="34"/>
        <v>1.6704631738800303E-2</v>
      </c>
      <c r="H158" s="85">
        <f t="shared" si="28"/>
        <v>0.12598633257403188</v>
      </c>
      <c r="I158" s="84">
        <f t="shared" si="35"/>
        <v>1.6732206972659588E-2</v>
      </c>
      <c r="J158" s="86">
        <f t="shared" si="30"/>
        <v>21.0323841646331</v>
      </c>
      <c r="K158" s="86">
        <f t="shared" si="31"/>
        <v>5.9901118003485099</v>
      </c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  <c r="AI158" s="81"/>
      <c r="AJ158" s="81"/>
      <c r="AK158" s="81"/>
      <c r="AL158" s="81"/>
      <c r="AM158" s="81"/>
      <c r="AN158" s="81"/>
    </row>
    <row r="159" spans="1:40" ht="14.25" customHeight="1">
      <c r="A159" s="82">
        <v>31402</v>
      </c>
      <c r="B159" s="83" t="s">
        <v>17</v>
      </c>
      <c r="C159" s="83" t="s">
        <v>210</v>
      </c>
      <c r="D159" s="83" t="s">
        <v>211</v>
      </c>
      <c r="E159" s="103">
        <v>5</v>
      </c>
      <c r="F159" s="104">
        <v>546</v>
      </c>
      <c r="G159" s="84">
        <f t="shared" si="34"/>
        <v>3.7965072133637054E-3</v>
      </c>
      <c r="H159" s="85">
        <f t="shared" si="28"/>
        <v>2.8633257403189064E-2</v>
      </c>
      <c r="I159" s="84">
        <f t="shared" si="35"/>
        <v>4.2432814710042432E-3</v>
      </c>
      <c r="J159" s="86">
        <f t="shared" si="30"/>
        <v>5.3338048090523333</v>
      </c>
      <c r="K159" s="86">
        <f t="shared" si="31"/>
        <v>5.3682611996962795</v>
      </c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  <c r="AI159" s="81"/>
      <c r="AJ159" s="81"/>
      <c r="AK159" s="81"/>
      <c r="AL159" s="81"/>
      <c r="AM159" s="81"/>
      <c r="AN159" s="81"/>
    </row>
    <row r="160" spans="1:40" ht="14.25" customHeight="1">
      <c r="A160" s="82">
        <v>31403</v>
      </c>
      <c r="B160" s="83" t="s">
        <v>17</v>
      </c>
      <c r="C160" s="83" t="s">
        <v>210</v>
      </c>
      <c r="D160" s="83" t="s">
        <v>212</v>
      </c>
      <c r="E160" s="103">
        <v>9</v>
      </c>
      <c r="F160" s="104">
        <v>792</v>
      </c>
      <c r="G160" s="84">
        <f t="shared" si="34"/>
        <v>6.8337129840546698E-3</v>
      </c>
      <c r="H160" s="85">
        <f t="shared" si="28"/>
        <v>5.1539863325740322E-2</v>
      </c>
      <c r="I160" s="84">
        <f t="shared" si="35"/>
        <v>6.155089606291869E-3</v>
      </c>
      <c r="J160" s="86">
        <f t="shared" si="30"/>
        <v>7.7369476351088791</v>
      </c>
      <c r="K160" s="86">
        <f t="shared" si="31"/>
        <v>6.6615241250776567</v>
      </c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1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  <c r="AI160" s="81"/>
      <c r="AJ160" s="81"/>
      <c r="AK160" s="81"/>
      <c r="AL160" s="81"/>
      <c r="AM160" s="81"/>
      <c r="AN160" s="81"/>
    </row>
    <row r="161" spans="1:40" ht="14.25" customHeight="1">
      <c r="A161" s="82">
        <v>31404</v>
      </c>
      <c r="B161" s="83" t="s">
        <v>17</v>
      </c>
      <c r="C161" s="83" t="s">
        <v>210</v>
      </c>
      <c r="D161" s="83" t="s">
        <v>213</v>
      </c>
      <c r="E161" s="103">
        <v>1</v>
      </c>
      <c r="F161" s="104">
        <v>69</v>
      </c>
      <c r="G161" s="84">
        <f t="shared" si="34"/>
        <v>7.5930144267274111E-4</v>
      </c>
      <c r="H161" s="85">
        <f t="shared" si="28"/>
        <v>5.7266514806378135E-3</v>
      </c>
      <c r="I161" s="84">
        <f t="shared" si="35"/>
        <v>5.3623886721482195E-4</v>
      </c>
      <c r="J161" s="86">
        <f t="shared" si="30"/>
        <v>0.67405225608903119</v>
      </c>
      <c r="K161" s="86">
        <f t="shared" si="31"/>
        <v>8.4958568551715032</v>
      </c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  <c r="AI161" s="81"/>
      <c r="AJ161" s="81"/>
      <c r="AK161" s="81"/>
      <c r="AL161" s="81"/>
      <c r="AM161" s="81"/>
      <c r="AN161" s="81"/>
    </row>
    <row r="162" spans="1:40" ht="14.25" customHeight="1">
      <c r="A162" s="82">
        <v>31405</v>
      </c>
      <c r="B162" s="83" t="s">
        <v>17</v>
      </c>
      <c r="C162" s="83" t="s">
        <v>210</v>
      </c>
      <c r="D162" s="83" t="s">
        <v>214</v>
      </c>
      <c r="E162" s="103">
        <v>0</v>
      </c>
      <c r="F162" s="104">
        <v>187</v>
      </c>
      <c r="G162" s="84">
        <f t="shared" si="34"/>
        <v>0</v>
      </c>
      <c r="H162" s="85">
        <f t="shared" si="28"/>
        <v>0</v>
      </c>
      <c r="I162" s="84">
        <f t="shared" si="35"/>
        <v>1.4532850459300247E-3</v>
      </c>
      <c r="J162" s="86">
        <f t="shared" si="30"/>
        <v>1.8267793027340411</v>
      </c>
      <c r="K162" s="86">
        <f t="shared" si="31"/>
        <v>0</v>
      </c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1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  <c r="AI162" s="81"/>
      <c r="AJ162" s="81"/>
      <c r="AK162" s="81"/>
      <c r="AL162" s="81"/>
      <c r="AM162" s="81"/>
      <c r="AN162" s="81"/>
    </row>
    <row r="163" spans="1:40" ht="14.25" customHeight="1">
      <c r="A163" s="82">
        <v>31501</v>
      </c>
      <c r="B163" s="83" t="s">
        <v>17</v>
      </c>
      <c r="C163" s="83" t="s">
        <v>215</v>
      </c>
      <c r="D163" s="83" t="s">
        <v>215</v>
      </c>
      <c r="E163" s="103">
        <v>24</v>
      </c>
      <c r="F163" s="104">
        <v>456</v>
      </c>
      <c r="G163" s="84">
        <f t="shared" si="34"/>
        <v>1.8223234624145785E-2</v>
      </c>
      <c r="H163" s="85">
        <f t="shared" si="28"/>
        <v>0.1374396355353075</v>
      </c>
      <c r="I163" s="84">
        <f t="shared" si="35"/>
        <v>3.5438394702892581E-3</v>
      </c>
      <c r="J163" s="86">
        <f t="shared" si="30"/>
        <v>4.4546062141535971</v>
      </c>
      <c r="K163" s="86">
        <f t="shared" si="31"/>
        <v>30.853374895096511</v>
      </c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  <c r="AI163" s="81"/>
      <c r="AJ163" s="81"/>
      <c r="AK163" s="81"/>
      <c r="AL163" s="81"/>
      <c r="AM163" s="81"/>
      <c r="AN163" s="81"/>
    </row>
    <row r="164" spans="1:40" ht="14.25" customHeight="1">
      <c r="A164" s="82">
        <v>31601</v>
      </c>
      <c r="B164" s="83" t="s">
        <v>17</v>
      </c>
      <c r="C164" s="83" t="s">
        <v>216</v>
      </c>
      <c r="D164" s="83" t="s">
        <v>216</v>
      </c>
      <c r="E164" s="103">
        <v>13</v>
      </c>
      <c r="F164" s="104">
        <v>1164</v>
      </c>
      <c r="G164" s="84">
        <f t="shared" si="34"/>
        <v>9.8709187547456334E-3</v>
      </c>
      <c r="H164" s="85">
        <f t="shared" si="28"/>
        <v>7.4446469248291569E-2</v>
      </c>
      <c r="I164" s="84">
        <f t="shared" si="35"/>
        <v>9.0461165425804752E-3</v>
      </c>
      <c r="J164" s="86">
        <f t="shared" si="30"/>
        <v>11.370968494023657</v>
      </c>
      <c r="K164" s="86">
        <f t="shared" si="31"/>
        <v>6.5470649476708225</v>
      </c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1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  <c r="AI164" s="81"/>
      <c r="AJ164" s="81"/>
      <c r="AK164" s="81"/>
      <c r="AL164" s="81"/>
      <c r="AM164" s="81"/>
      <c r="AN164" s="81"/>
    </row>
    <row r="165" spans="1:40" ht="14.25" customHeight="1">
      <c r="A165" s="82">
        <v>31602</v>
      </c>
      <c r="B165" s="83" t="s">
        <v>17</v>
      </c>
      <c r="C165" s="83" t="s">
        <v>216</v>
      </c>
      <c r="D165" s="83" t="s">
        <v>217</v>
      </c>
      <c r="E165" s="103">
        <v>24</v>
      </c>
      <c r="F165" s="104">
        <v>2091</v>
      </c>
      <c r="G165" s="84">
        <f t="shared" si="34"/>
        <v>1.8223234624145785E-2</v>
      </c>
      <c r="H165" s="85">
        <f t="shared" si="28"/>
        <v>0.1374396355353075</v>
      </c>
      <c r="I165" s="84">
        <f t="shared" si="35"/>
        <v>1.6250369149944821E-2</v>
      </c>
      <c r="J165" s="86">
        <f t="shared" si="30"/>
        <v>20.426714021480642</v>
      </c>
      <c r="K165" s="86">
        <f t="shared" si="31"/>
        <v>6.728426089031089</v>
      </c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  <c r="AI165" s="81"/>
      <c r="AJ165" s="81"/>
      <c r="AK165" s="81"/>
      <c r="AL165" s="81"/>
      <c r="AM165" s="81"/>
      <c r="AN165" s="81"/>
    </row>
    <row r="166" spans="1:40" ht="14.25" customHeight="1">
      <c r="A166" s="82">
        <v>40101</v>
      </c>
      <c r="B166" s="83" t="s">
        <v>20</v>
      </c>
      <c r="C166" s="83" t="s">
        <v>164</v>
      </c>
      <c r="D166" s="83" t="s">
        <v>20</v>
      </c>
      <c r="E166" s="103">
        <v>246</v>
      </c>
      <c r="F166" s="104">
        <v>19429</v>
      </c>
      <c r="G166" s="84">
        <f>E166/$R$5</f>
        <v>0.54065934065934063</v>
      </c>
      <c r="H166" s="85">
        <f>$S$20*G166</f>
        <v>4.5626241758241752</v>
      </c>
      <c r="I166" s="84">
        <f>F166/$S$5</f>
        <v>0.55473389675650986</v>
      </c>
      <c r="J166" s="86">
        <f>I166*$U$20</f>
        <v>161.42756395614438</v>
      </c>
      <c r="K166" s="86">
        <f>1000*H166/J166</f>
        <v>28.264219963473646</v>
      </c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  <c r="AI166" s="81"/>
      <c r="AJ166" s="81"/>
      <c r="AK166" s="81"/>
      <c r="AL166" s="81"/>
      <c r="AM166" s="81"/>
      <c r="AN166" s="81"/>
    </row>
    <row r="167" spans="1:40" ht="14.25" customHeight="1">
      <c r="A167" s="82">
        <v>40102</v>
      </c>
      <c r="B167" s="83" t="s">
        <v>20</v>
      </c>
      <c r="C167" s="83" t="s">
        <v>164</v>
      </c>
      <c r="D167" s="83" t="s">
        <v>218</v>
      </c>
      <c r="E167" s="103">
        <v>28</v>
      </c>
      <c r="F167" s="104">
        <v>1427</v>
      </c>
      <c r="G167" s="84">
        <f t="shared" ref="G167:G186" si="36">E167/$R$5</f>
        <v>6.1538461538461542E-2</v>
      </c>
      <c r="H167" s="85">
        <f t="shared" ref="H167:H200" si="37">$S$20*G167</f>
        <v>0.519323076923077</v>
      </c>
      <c r="I167" s="84">
        <f t="shared" ref="I167:I186" si="38">F167/$S$5</f>
        <v>4.0743490178163547E-2</v>
      </c>
      <c r="J167" s="86">
        <f t="shared" ref="J167:J200" si="39">I167*$U$20</f>
        <v>11.856355641845592</v>
      </c>
      <c r="K167" s="86">
        <f t="shared" ref="K167:K186" si="40">1000*H167/J167</f>
        <v>43.801239825346343</v>
      </c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  <c r="AI167" s="81"/>
      <c r="AJ167" s="81"/>
      <c r="AK167" s="81"/>
      <c r="AL167" s="81"/>
      <c r="AM167" s="81"/>
      <c r="AN167" s="81"/>
    </row>
    <row r="168" spans="1:40" ht="14.25" customHeight="1">
      <c r="A168" s="82">
        <v>40103</v>
      </c>
      <c r="B168" s="83" t="s">
        <v>20</v>
      </c>
      <c r="C168" s="83" t="s">
        <v>164</v>
      </c>
      <c r="D168" s="83" t="s">
        <v>219</v>
      </c>
      <c r="E168" s="103">
        <v>3</v>
      </c>
      <c r="F168" s="104">
        <v>395</v>
      </c>
      <c r="G168" s="84">
        <f t="shared" si="36"/>
        <v>6.5934065934065934E-3</v>
      </c>
      <c r="H168" s="85">
        <f t="shared" si="37"/>
        <v>5.5641758241758245E-2</v>
      </c>
      <c r="I168" s="84">
        <f t="shared" si="38"/>
        <v>1.1277980813156693E-2</v>
      </c>
      <c r="J168" s="86">
        <f t="shared" si="39"/>
        <v>3.2818924166285979</v>
      </c>
      <c r="K168" s="86">
        <f t="shared" si="40"/>
        <v>16.954168869105576</v>
      </c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1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  <c r="AI168" s="81"/>
      <c r="AJ168" s="81"/>
      <c r="AK168" s="81"/>
      <c r="AL168" s="81"/>
      <c r="AM168" s="81"/>
      <c r="AN168" s="81"/>
    </row>
    <row r="169" spans="1:40" ht="14.25" customHeight="1">
      <c r="A169" s="82">
        <v>40104</v>
      </c>
      <c r="B169" s="83" t="s">
        <v>20</v>
      </c>
      <c r="C169" s="83" t="s">
        <v>164</v>
      </c>
      <c r="D169" s="83" t="s">
        <v>220</v>
      </c>
      <c r="E169" s="103">
        <v>11</v>
      </c>
      <c r="F169" s="104">
        <v>1046</v>
      </c>
      <c r="G169" s="84">
        <f t="shared" si="36"/>
        <v>2.4175824175824177E-2</v>
      </c>
      <c r="H169" s="85">
        <f t="shared" si="37"/>
        <v>0.20401978021978023</v>
      </c>
      <c r="I169" s="84">
        <f t="shared" si="38"/>
        <v>2.9865235267245317E-2</v>
      </c>
      <c r="J169" s="86">
        <f t="shared" si="39"/>
        <v>8.6907834627683869</v>
      </c>
      <c r="K169" s="86">
        <f t="shared" si="40"/>
        <v>23.475418654003743</v>
      </c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  <c r="AI169" s="81"/>
      <c r="AJ169" s="81"/>
      <c r="AK169" s="81"/>
      <c r="AL169" s="81"/>
      <c r="AM169" s="81"/>
      <c r="AN169" s="81"/>
    </row>
    <row r="170" spans="1:40" ht="14.25" customHeight="1">
      <c r="A170" s="82">
        <v>40201</v>
      </c>
      <c r="B170" s="83" t="s">
        <v>20</v>
      </c>
      <c r="C170" s="83" t="s">
        <v>221</v>
      </c>
      <c r="D170" s="83" t="s">
        <v>222</v>
      </c>
      <c r="E170" s="103">
        <v>31</v>
      </c>
      <c r="F170" s="104">
        <v>2387</v>
      </c>
      <c r="G170" s="84">
        <f t="shared" si="36"/>
        <v>6.8131868131868126E-2</v>
      </c>
      <c r="H170" s="85">
        <f t="shared" si="37"/>
        <v>0.5749648351648351</v>
      </c>
      <c r="I170" s="84">
        <f t="shared" si="38"/>
        <v>6.8153266331658288E-2</v>
      </c>
      <c r="J170" s="86">
        <f t="shared" si="39"/>
        <v>19.832600502512562</v>
      </c>
      <c r="K170" s="86">
        <f t="shared" si="40"/>
        <v>28.990894819466245</v>
      </c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1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  <c r="AI170" s="81"/>
      <c r="AJ170" s="81"/>
      <c r="AK170" s="81"/>
      <c r="AL170" s="81"/>
      <c r="AM170" s="81"/>
      <c r="AN170" s="81"/>
    </row>
    <row r="171" spans="1:40" ht="14.25" customHeight="1">
      <c r="A171" s="82">
        <v>40202</v>
      </c>
      <c r="B171" s="83" t="s">
        <v>20</v>
      </c>
      <c r="C171" s="83" t="s">
        <v>221</v>
      </c>
      <c r="D171" s="83" t="s">
        <v>223</v>
      </c>
      <c r="E171" s="103">
        <v>5</v>
      </c>
      <c r="F171" s="104">
        <v>239</v>
      </c>
      <c r="G171" s="84">
        <f t="shared" si="36"/>
        <v>1.098901098901099E-2</v>
      </c>
      <c r="H171" s="85">
        <f t="shared" si="37"/>
        <v>9.2736263736263744E-2</v>
      </c>
      <c r="I171" s="84">
        <f t="shared" si="38"/>
        <v>6.8238921882137959E-3</v>
      </c>
      <c r="J171" s="86">
        <f t="shared" si="39"/>
        <v>1.9857526267702146</v>
      </c>
      <c r="K171" s="86">
        <f t="shared" si="40"/>
        <v>46.70081383052095</v>
      </c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  <c r="AI171" s="81"/>
      <c r="AJ171" s="81"/>
      <c r="AK171" s="81"/>
      <c r="AL171" s="81"/>
      <c r="AM171" s="81"/>
      <c r="AN171" s="81"/>
    </row>
    <row r="172" spans="1:40" ht="14.25" customHeight="1">
      <c r="A172" s="82">
        <v>40301</v>
      </c>
      <c r="B172" s="83" t="s">
        <v>20</v>
      </c>
      <c r="C172" s="83" t="s">
        <v>224</v>
      </c>
      <c r="D172" s="83" t="s">
        <v>225</v>
      </c>
      <c r="E172" s="103">
        <v>10</v>
      </c>
      <c r="F172" s="104">
        <v>854</v>
      </c>
      <c r="G172" s="84">
        <f t="shared" si="36"/>
        <v>2.197802197802198E-2</v>
      </c>
      <c r="H172" s="85">
        <f t="shared" si="37"/>
        <v>0.18547252747252749</v>
      </c>
      <c r="I172" s="84">
        <f t="shared" si="38"/>
        <v>2.4383280036546367E-2</v>
      </c>
      <c r="J172" s="86">
        <f t="shared" si="39"/>
        <v>7.0955344906349929</v>
      </c>
      <c r="K172" s="86">
        <f t="shared" si="40"/>
        <v>26.139331394600717</v>
      </c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1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  <c r="AI172" s="81"/>
      <c r="AJ172" s="81"/>
      <c r="AK172" s="81"/>
      <c r="AL172" s="81"/>
      <c r="AM172" s="81"/>
      <c r="AN172" s="81"/>
    </row>
    <row r="173" spans="1:40" ht="14.25" customHeight="1">
      <c r="A173" s="82">
        <v>40302</v>
      </c>
      <c r="B173" s="83" t="s">
        <v>20</v>
      </c>
      <c r="C173" s="83" t="s">
        <v>224</v>
      </c>
      <c r="D173" s="83" t="s">
        <v>226</v>
      </c>
      <c r="E173" s="103">
        <v>1</v>
      </c>
      <c r="F173" s="104">
        <v>122</v>
      </c>
      <c r="G173" s="84">
        <f t="shared" si="36"/>
        <v>2.1978021978021978E-3</v>
      </c>
      <c r="H173" s="85">
        <f t="shared" si="37"/>
        <v>1.8547252747252746E-2</v>
      </c>
      <c r="I173" s="84">
        <f t="shared" si="38"/>
        <v>3.4833257195066242E-3</v>
      </c>
      <c r="J173" s="86">
        <f t="shared" si="39"/>
        <v>1.0136477843764276</v>
      </c>
      <c r="K173" s="86">
        <f t="shared" si="40"/>
        <v>18.297531976220501</v>
      </c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  <c r="AI173" s="81"/>
      <c r="AJ173" s="81"/>
      <c r="AK173" s="81"/>
      <c r="AL173" s="81"/>
      <c r="AM173" s="81"/>
      <c r="AN173" s="81"/>
    </row>
    <row r="174" spans="1:40" ht="14.25" customHeight="1">
      <c r="A174" s="82">
        <v>40401</v>
      </c>
      <c r="B174" s="83" t="s">
        <v>20</v>
      </c>
      <c r="C174" s="83" t="s">
        <v>227</v>
      </c>
      <c r="D174" s="83" t="s">
        <v>228</v>
      </c>
      <c r="E174" s="103">
        <v>9</v>
      </c>
      <c r="F174" s="104">
        <v>351</v>
      </c>
      <c r="G174" s="84">
        <f t="shared" si="36"/>
        <v>1.9780219780219779E-2</v>
      </c>
      <c r="H174" s="85">
        <f t="shared" si="37"/>
        <v>0.16692527472527471</v>
      </c>
      <c r="I174" s="84">
        <f t="shared" si="38"/>
        <v>1.0021699406121517E-2</v>
      </c>
      <c r="J174" s="86">
        <f t="shared" si="39"/>
        <v>2.9163145271813615</v>
      </c>
      <c r="K174" s="86">
        <f t="shared" si="40"/>
        <v>57.238433361510275</v>
      </c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  <c r="AI174" s="81"/>
      <c r="AJ174" s="81"/>
      <c r="AK174" s="81"/>
      <c r="AL174" s="81"/>
      <c r="AM174" s="81"/>
      <c r="AN174" s="81"/>
    </row>
    <row r="175" spans="1:40" ht="14.25" customHeight="1">
      <c r="A175" s="82">
        <v>40402</v>
      </c>
      <c r="B175" s="83" t="s">
        <v>20</v>
      </c>
      <c r="C175" s="83" t="s">
        <v>227</v>
      </c>
      <c r="D175" s="83" t="s">
        <v>229</v>
      </c>
      <c r="E175" s="103">
        <v>2</v>
      </c>
      <c r="F175" s="104">
        <v>305</v>
      </c>
      <c r="G175" s="84">
        <f t="shared" si="36"/>
        <v>4.3956043956043956E-3</v>
      </c>
      <c r="H175" s="85">
        <f t="shared" si="37"/>
        <v>3.7094505494505492E-2</v>
      </c>
      <c r="I175" s="84">
        <f t="shared" si="38"/>
        <v>8.7083142987665601E-3</v>
      </c>
      <c r="J175" s="86">
        <f t="shared" si="39"/>
        <v>2.5341194609410689</v>
      </c>
      <c r="K175" s="86">
        <f t="shared" si="40"/>
        <v>14.6380255809764</v>
      </c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  <c r="AI175" s="81"/>
      <c r="AJ175" s="81"/>
      <c r="AK175" s="81"/>
      <c r="AL175" s="81"/>
      <c r="AM175" s="81"/>
      <c r="AN175" s="81"/>
    </row>
    <row r="176" spans="1:40" ht="14.25" customHeight="1">
      <c r="A176" s="82">
        <v>40501</v>
      </c>
      <c r="B176" s="83" t="s">
        <v>20</v>
      </c>
      <c r="C176" s="83" t="s">
        <v>230</v>
      </c>
      <c r="D176" s="83" t="s">
        <v>231</v>
      </c>
      <c r="E176" s="103">
        <v>1</v>
      </c>
      <c r="F176" s="104">
        <v>224</v>
      </c>
      <c r="G176" s="84">
        <f t="shared" si="36"/>
        <v>2.1978021978021978E-3</v>
      </c>
      <c r="H176" s="85">
        <f t="shared" si="37"/>
        <v>1.8547252747252746E-2</v>
      </c>
      <c r="I176" s="84">
        <f t="shared" si="38"/>
        <v>6.395614435815441E-3</v>
      </c>
      <c r="J176" s="86">
        <f t="shared" si="39"/>
        <v>1.8611238008222932</v>
      </c>
      <c r="K176" s="86">
        <f t="shared" si="40"/>
        <v>9.9656200941915216</v>
      </c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1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  <c r="AI176" s="81"/>
      <c r="AJ176" s="81"/>
      <c r="AK176" s="81"/>
      <c r="AL176" s="81"/>
      <c r="AM176" s="81"/>
      <c r="AN176" s="81"/>
    </row>
    <row r="177" spans="1:40" ht="14.25" customHeight="1">
      <c r="A177" s="82">
        <v>40502</v>
      </c>
      <c r="B177" s="83" t="s">
        <v>20</v>
      </c>
      <c r="C177" s="83" t="s">
        <v>230</v>
      </c>
      <c r="D177" s="83" t="s">
        <v>232</v>
      </c>
      <c r="E177" s="103">
        <v>1</v>
      </c>
      <c r="F177" s="104">
        <v>218</v>
      </c>
      <c r="G177" s="84">
        <f t="shared" si="36"/>
        <v>2.1978021978021978E-3</v>
      </c>
      <c r="H177" s="85">
        <f t="shared" si="37"/>
        <v>1.8547252747252746E-2</v>
      </c>
      <c r="I177" s="84">
        <f t="shared" si="38"/>
        <v>6.2243033348560991E-3</v>
      </c>
      <c r="J177" s="86">
        <f t="shared" si="39"/>
        <v>1.8112722704431248</v>
      </c>
      <c r="K177" s="86">
        <f t="shared" si="40"/>
        <v>10.239903216050003</v>
      </c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1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  <c r="AI177" s="81"/>
      <c r="AJ177" s="81"/>
      <c r="AK177" s="81"/>
      <c r="AL177" s="81"/>
      <c r="AM177" s="81"/>
      <c r="AN177" s="81"/>
    </row>
    <row r="178" spans="1:40" ht="14.25" customHeight="1">
      <c r="A178" s="82">
        <v>40503</v>
      </c>
      <c r="B178" s="83" t="s">
        <v>20</v>
      </c>
      <c r="C178" s="83" t="s">
        <v>230</v>
      </c>
      <c r="D178" s="83" t="s">
        <v>233</v>
      </c>
      <c r="E178" s="103">
        <v>0</v>
      </c>
      <c r="F178" s="104">
        <v>81</v>
      </c>
      <c r="G178" s="84">
        <f t="shared" si="36"/>
        <v>0</v>
      </c>
      <c r="H178" s="85">
        <f t="shared" si="37"/>
        <v>0</v>
      </c>
      <c r="I178" s="84">
        <f t="shared" si="38"/>
        <v>2.3126998629511191E-3</v>
      </c>
      <c r="J178" s="86">
        <f t="shared" si="39"/>
        <v>0.67299566011877565</v>
      </c>
      <c r="K178" s="86">
        <f t="shared" si="40"/>
        <v>0</v>
      </c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1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  <c r="AI178" s="81"/>
      <c r="AJ178" s="81"/>
      <c r="AK178" s="81"/>
      <c r="AL178" s="81"/>
      <c r="AM178" s="81"/>
      <c r="AN178" s="81"/>
    </row>
    <row r="179" spans="1:40" ht="14.25" customHeight="1">
      <c r="A179" s="82">
        <v>40504</v>
      </c>
      <c r="B179" s="83" t="s">
        <v>20</v>
      </c>
      <c r="C179" s="83" t="s">
        <v>230</v>
      </c>
      <c r="D179" s="83" t="s">
        <v>234</v>
      </c>
      <c r="E179" s="103">
        <v>0</v>
      </c>
      <c r="F179" s="104">
        <v>49</v>
      </c>
      <c r="G179" s="84">
        <f t="shared" si="36"/>
        <v>0</v>
      </c>
      <c r="H179" s="85">
        <f t="shared" si="37"/>
        <v>0</v>
      </c>
      <c r="I179" s="84">
        <f t="shared" si="38"/>
        <v>1.3990406578346277E-3</v>
      </c>
      <c r="J179" s="86">
        <f t="shared" si="39"/>
        <v>0.40712083142987665</v>
      </c>
      <c r="K179" s="86">
        <f t="shared" si="40"/>
        <v>0</v>
      </c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  <c r="AI179" s="81"/>
      <c r="AJ179" s="81"/>
      <c r="AK179" s="81"/>
      <c r="AL179" s="81"/>
      <c r="AM179" s="81"/>
      <c r="AN179" s="81"/>
    </row>
    <row r="180" spans="1:40" ht="14.25" customHeight="1">
      <c r="A180" s="82">
        <v>40505</v>
      </c>
      <c r="B180" s="83" t="s">
        <v>20</v>
      </c>
      <c r="C180" s="83" t="s">
        <v>230</v>
      </c>
      <c r="D180" s="83" t="s">
        <v>235</v>
      </c>
      <c r="E180" s="103">
        <v>2</v>
      </c>
      <c r="F180" s="104">
        <v>215</v>
      </c>
      <c r="G180" s="84">
        <f t="shared" si="36"/>
        <v>4.3956043956043956E-3</v>
      </c>
      <c r="H180" s="85">
        <f t="shared" si="37"/>
        <v>3.7094505494505492E-2</v>
      </c>
      <c r="I180" s="84">
        <f t="shared" si="38"/>
        <v>6.1386477843764272E-3</v>
      </c>
      <c r="J180" s="86">
        <f t="shared" si="39"/>
        <v>1.7863465052535403</v>
      </c>
      <c r="K180" s="86">
        <f t="shared" si="40"/>
        <v>20.765571173013033</v>
      </c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1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  <c r="AI180" s="81"/>
      <c r="AJ180" s="81"/>
      <c r="AK180" s="81"/>
      <c r="AL180" s="81"/>
      <c r="AM180" s="81"/>
      <c r="AN180" s="81"/>
    </row>
    <row r="181" spans="1:40" ht="14.25" customHeight="1">
      <c r="A181" s="82">
        <v>40601</v>
      </c>
      <c r="B181" s="83" t="s">
        <v>20</v>
      </c>
      <c r="C181" s="83" t="s">
        <v>236</v>
      </c>
      <c r="D181" s="83" t="s">
        <v>236</v>
      </c>
      <c r="E181" s="103">
        <v>8</v>
      </c>
      <c r="F181" s="104">
        <v>589</v>
      </c>
      <c r="G181" s="84">
        <f t="shared" si="36"/>
        <v>1.7582417582417582E-2</v>
      </c>
      <c r="H181" s="85">
        <f t="shared" si="37"/>
        <v>0.14837802197802197</v>
      </c>
      <c r="I181" s="84">
        <f t="shared" si="38"/>
        <v>1.6817039744175422E-2</v>
      </c>
      <c r="J181" s="86">
        <f t="shared" si="39"/>
        <v>4.8937585655550473</v>
      </c>
      <c r="K181" s="86">
        <f t="shared" si="40"/>
        <v>30.31984925091886</v>
      </c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  <c r="AI181" s="81"/>
      <c r="AJ181" s="81"/>
      <c r="AK181" s="81"/>
      <c r="AL181" s="81"/>
      <c r="AM181" s="81"/>
      <c r="AN181" s="81"/>
    </row>
    <row r="182" spans="1:40" ht="14.25" customHeight="1">
      <c r="A182" s="82">
        <v>40602</v>
      </c>
      <c r="B182" s="83" t="s">
        <v>20</v>
      </c>
      <c r="C182" s="83" t="s">
        <v>236</v>
      </c>
      <c r="D182" s="83" t="s">
        <v>237</v>
      </c>
      <c r="E182" s="103">
        <v>1</v>
      </c>
      <c r="F182" s="104">
        <v>210</v>
      </c>
      <c r="G182" s="84">
        <f t="shared" si="36"/>
        <v>2.1978021978021978E-3</v>
      </c>
      <c r="H182" s="85">
        <f t="shared" si="37"/>
        <v>1.8547252747252746E-2</v>
      </c>
      <c r="I182" s="84">
        <f t="shared" si="38"/>
        <v>5.9958885335769756E-3</v>
      </c>
      <c r="J182" s="86">
        <f t="shared" si="39"/>
        <v>1.7448035632708998</v>
      </c>
      <c r="K182" s="86">
        <f t="shared" si="40"/>
        <v>10.629994767137624</v>
      </c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  <c r="AI182" s="81"/>
      <c r="AJ182" s="81"/>
      <c r="AK182" s="81"/>
      <c r="AL182" s="81"/>
      <c r="AM182" s="81"/>
      <c r="AN182" s="81"/>
    </row>
    <row r="183" spans="1:40" ht="14.25" customHeight="1">
      <c r="A183" s="82">
        <v>40603</v>
      </c>
      <c r="B183" s="83" t="s">
        <v>20</v>
      </c>
      <c r="C183" s="83" t="s">
        <v>236</v>
      </c>
      <c r="D183" s="83" t="s">
        <v>238</v>
      </c>
      <c r="E183" s="103">
        <v>1</v>
      </c>
      <c r="F183" s="104">
        <v>225</v>
      </c>
      <c r="G183" s="84">
        <f t="shared" si="36"/>
        <v>2.1978021978021978E-3</v>
      </c>
      <c r="H183" s="85">
        <f t="shared" si="37"/>
        <v>1.8547252747252746E-2</v>
      </c>
      <c r="I183" s="84">
        <f t="shared" si="38"/>
        <v>6.4241662859753313E-3</v>
      </c>
      <c r="J183" s="86">
        <f t="shared" si="39"/>
        <v>1.8694323892188214</v>
      </c>
      <c r="K183" s="86">
        <f t="shared" si="40"/>
        <v>9.921328449328449</v>
      </c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  <c r="AI183" s="81"/>
      <c r="AJ183" s="81"/>
      <c r="AK183" s="81"/>
      <c r="AL183" s="81"/>
      <c r="AM183" s="81"/>
      <c r="AN183" s="81"/>
    </row>
    <row r="184" spans="1:40" ht="14.25" customHeight="1">
      <c r="A184" s="82">
        <v>40701</v>
      </c>
      <c r="B184" s="83" t="s">
        <v>20</v>
      </c>
      <c r="C184" s="83" t="s">
        <v>239</v>
      </c>
      <c r="D184" s="83" t="s">
        <v>240</v>
      </c>
      <c r="E184" s="103">
        <v>21</v>
      </c>
      <c r="F184" s="104">
        <v>1185</v>
      </c>
      <c r="G184" s="84">
        <f t="shared" si="36"/>
        <v>4.6153846153846156E-2</v>
      </c>
      <c r="H184" s="85">
        <f t="shared" si="37"/>
        <v>0.38949230769230769</v>
      </c>
      <c r="I184" s="84">
        <f t="shared" si="38"/>
        <v>3.3833942439470077E-2</v>
      </c>
      <c r="J184" s="86">
        <f t="shared" si="39"/>
        <v>9.8456772498857923</v>
      </c>
      <c r="K184" s="86">
        <f t="shared" si="40"/>
        <v>39.559727361246352</v>
      </c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1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  <c r="AI184" s="81"/>
      <c r="AJ184" s="81"/>
      <c r="AK184" s="81"/>
      <c r="AL184" s="81"/>
      <c r="AM184" s="81"/>
      <c r="AN184" s="81"/>
    </row>
    <row r="185" spans="1:40" ht="14.25" customHeight="1">
      <c r="A185" s="82">
        <v>40702</v>
      </c>
      <c r="B185" s="83" t="s">
        <v>20</v>
      </c>
      <c r="C185" s="83" t="s">
        <v>239</v>
      </c>
      <c r="D185" s="83" t="s">
        <v>241</v>
      </c>
      <c r="E185" s="103">
        <v>6</v>
      </c>
      <c r="F185" s="104">
        <v>357</v>
      </c>
      <c r="G185" s="84">
        <f t="shared" si="36"/>
        <v>1.3186813186813187E-2</v>
      </c>
      <c r="H185" s="85">
        <f t="shared" si="37"/>
        <v>0.11128351648351649</v>
      </c>
      <c r="I185" s="84">
        <f t="shared" si="38"/>
        <v>1.0193010507080859E-2</v>
      </c>
      <c r="J185" s="86">
        <f t="shared" si="39"/>
        <v>2.96616605756053</v>
      </c>
      <c r="K185" s="86">
        <f t="shared" si="40"/>
        <v>37.517628589897498</v>
      </c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  <c r="AI185" s="81"/>
      <c r="AJ185" s="81"/>
      <c r="AK185" s="81"/>
      <c r="AL185" s="81"/>
      <c r="AM185" s="81"/>
      <c r="AN185" s="81"/>
    </row>
    <row r="186" spans="1:40" ht="14.25" customHeight="1">
      <c r="A186" s="82">
        <v>40801</v>
      </c>
      <c r="B186" s="83" t="s">
        <v>20</v>
      </c>
      <c r="C186" s="83" t="s">
        <v>242</v>
      </c>
      <c r="D186" s="83" t="s">
        <v>243</v>
      </c>
      <c r="E186" s="103">
        <v>14</v>
      </c>
      <c r="F186" s="104">
        <v>923</v>
      </c>
      <c r="G186" s="84">
        <f t="shared" si="36"/>
        <v>3.0769230769230771E-2</v>
      </c>
      <c r="H186" s="85">
        <f t="shared" si="37"/>
        <v>0.2596615384615385</v>
      </c>
      <c r="I186" s="84">
        <f t="shared" si="38"/>
        <v>2.6353357697578805E-2</v>
      </c>
      <c r="J186" s="86">
        <f t="shared" si="39"/>
        <v>7.6688270899954318</v>
      </c>
      <c r="K186" s="86">
        <f t="shared" si="40"/>
        <v>33.859354946245524</v>
      </c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1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  <c r="AI186" s="81"/>
      <c r="AJ186" s="81"/>
      <c r="AK186" s="81"/>
      <c r="AL186" s="81"/>
      <c r="AM186" s="81"/>
      <c r="AN186" s="81"/>
    </row>
    <row r="187" spans="1:40" ht="14.25" customHeight="1">
      <c r="A187" s="82">
        <v>40802</v>
      </c>
      <c r="B187" s="83" t="s">
        <v>20</v>
      </c>
      <c r="C187" s="83" t="s">
        <v>242</v>
      </c>
      <c r="D187" s="83" t="s">
        <v>244</v>
      </c>
      <c r="E187" s="103">
        <v>1</v>
      </c>
      <c r="F187" s="104">
        <v>183</v>
      </c>
      <c r="G187" s="84">
        <f>E187/$R$5</f>
        <v>2.1978021978021978E-3</v>
      </c>
      <c r="H187" s="85">
        <f>$S$20*G187</f>
        <v>1.8547252747252746E-2</v>
      </c>
      <c r="I187" s="84">
        <f>F187/$S$5</f>
        <v>5.2249885792599359E-3</v>
      </c>
      <c r="J187" s="86">
        <f>I187*$U$20</f>
        <v>1.5204716765646413</v>
      </c>
      <c r="K187" s="86">
        <f>1000*H187/J187</f>
        <v>12.198354650813666</v>
      </c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  <c r="AI187" s="81"/>
      <c r="AJ187" s="81"/>
      <c r="AK187" s="81"/>
      <c r="AL187" s="81"/>
      <c r="AM187" s="81"/>
      <c r="AN187" s="81"/>
    </row>
    <row r="188" spans="1:40" ht="14.25" customHeight="1">
      <c r="A188" s="82">
        <v>40901</v>
      </c>
      <c r="B188" s="83" t="s">
        <v>20</v>
      </c>
      <c r="C188" s="83" t="s">
        <v>245</v>
      </c>
      <c r="D188" s="83" t="s">
        <v>245</v>
      </c>
      <c r="E188" s="103">
        <v>8</v>
      </c>
      <c r="F188" s="104">
        <v>1040</v>
      </c>
      <c r="G188" s="84">
        <f t="shared" ref="G188:G200" si="41">E188/$R$5</f>
        <v>1.7582417582417582E-2</v>
      </c>
      <c r="H188" s="85">
        <f t="shared" si="37"/>
        <v>0.14837802197802197</v>
      </c>
      <c r="I188" s="84">
        <f t="shared" ref="I188:I200" si="42">F188/$S$5</f>
        <v>2.9693924166285975E-2</v>
      </c>
      <c r="J188" s="86">
        <f t="shared" si="39"/>
        <v>8.6409319323892184</v>
      </c>
      <c r="K188" s="86">
        <f t="shared" ref="K188:K242" si="43">1000*H188/J188</f>
        <v>17.171530008453086</v>
      </c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  <c r="AI188" s="81"/>
      <c r="AJ188" s="81"/>
      <c r="AK188" s="81"/>
      <c r="AL188" s="81"/>
      <c r="AM188" s="81"/>
      <c r="AN188" s="81"/>
    </row>
    <row r="189" spans="1:40" ht="14.25" customHeight="1">
      <c r="A189" s="82">
        <v>40902</v>
      </c>
      <c r="B189" s="83" t="s">
        <v>20</v>
      </c>
      <c r="C189" s="83" t="s">
        <v>245</v>
      </c>
      <c r="D189" s="83" t="s">
        <v>246</v>
      </c>
      <c r="E189" s="103">
        <v>1</v>
      </c>
      <c r="F189" s="104">
        <v>118</v>
      </c>
      <c r="G189" s="84">
        <f t="shared" si="41"/>
        <v>2.1978021978021978E-3</v>
      </c>
      <c r="H189" s="85">
        <f t="shared" si="37"/>
        <v>1.8547252747252746E-2</v>
      </c>
      <c r="I189" s="84">
        <f t="shared" si="42"/>
        <v>3.3691183188670625E-3</v>
      </c>
      <c r="J189" s="86">
        <f t="shared" si="39"/>
        <v>0.98041343079031518</v>
      </c>
      <c r="K189" s="86">
        <f t="shared" si="43"/>
        <v>18.917787297448314</v>
      </c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  <c r="AI189" s="81"/>
      <c r="AJ189" s="81"/>
      <c r="AK189" s="81"/>
      <c r="AL189" s="81"/>
      <c r="AM189" s="81"/>
      <c r="AN189" s="81"/>
    </row>
    <row r="190" spans="1:40" ht="14.25" customHeight="1">
      <c r="A190" s="82">
        <v>40903</v>
      </c>
      <c r="B190" s="83" t="s">
        <v>20</v>
      </c>
      <c r="C190" s="83" t="s">
        <v>245</v>
      </c>
      <c r="D190" s="83" t="s">
        <v>247</v>
      </c>
      <c r="E190" s="103">
        <v>3</v>
      </c>
      <c r="F190" s="104">
        <v>166</v>
      </c>
      <c r="G190" s="84">
        <f t="shared" si="41"/>
        <v>6.5934065934065934E-3</v>
      </c>
      <c r="H190" s="85">
        <f t="shared" si="37"/>
        <v>5.5641758241758245E-2</v>
      </c>
      <c r="I190" s="84">
        <f t="shared" si="42"/>
        <v>4.7396071265418003E-3</v>
      </c>
      <c r="J190" s="86">
        <f t="shared" si="39"/>
        <v>1.3792256738236639</v>
      </c>
      <c r="K190" s="86">
        <f t="shared" si="43"/>
        <v>40.342751224678935</v>
      </c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  <c r="AI190" s="81"/>
      <c r="AJ190" s="81"/>
      <c r="AK190" s="81"/>
      <c r="AL190" s="81"/>
      <c r="AM190" s="81"/>
      <c r="AN190" s="81"/>
    </row>
    <row r="191" spans="1:40" ht="14.25" customHeight="1">
      <c r="A191" s="82">
        <v>41001</v>
      </c>
      <c r="B191" s="83" t="s">
        <v>20</v>
      </c>
      <c r="C191" s="83" t="s">
        <v>248</v>
      </c>
      <c r="D191" s="83" t="s">
        <v>249</v>
      </c>
      <c r="E191" s="103">
        <v>9</v>
      </c>
      <c r="F191" s="104">
        <v>534</v>
      </c>
      <c r="G191" s="84">
        <f t="shared" si="41"/>
        <v>1.9780219780219779E-2</v>
      </c>
      <c r="H191" s="85">
        <f t="shared" si="37"/>
        <v>0.16692527472527471</v>
      </c>
      <c r="I191" s="84">
        <f t="shared" si="42"/>
        <v>1.5246687985381452E-2</v>
      </c>
      <c r="J191" s="86">
        <f t="shared" si="39"/>
        <v>4.4367862037460029</v>
      </c>
      <c r="K191" s="86">
        <f t="shared" si="43"/>
        <v>37.623015187060126</v>
      </c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  <c r="AI191" s="81"/>
      <c r="AJ191" s="81"/>
      <c r="AK191" s="81"/>
      <c r="AL191" s="81"/>
      <c r="AM191" s="81"/>
      <c r="AN191" s="81"/>
    </row>
    <row r="192" spans="1:40" ht="14.25" customHeight="1">
      <c r="A192" s="82">
        <v>41101</v>
      </c>
      <c r="B192" s="83" t="s">
        <v>20</v>
      </c>
      <c r="C192" s="83" t="s">
        <v>250</v>
      </c>
      <c r="D192" s="83" t="s">
        <v>251</v>
      </c>
      <c r="E192" s="103">
        <v>8</v>
      </c>
      <c r="F192" s="104">
        <v>320</v>
      </c>
      <c r="G192" s="84">
        <f t="shared" si="41"/>
        <v>1.7582417582417582E-2</v>
      </c>
      <c r="H192" s="85">
        <f t="shared" si="37"/>
        <v>0.14837802197802197</v>
      </c>
      <c r="I192" s="84">
        <f t="shared" si="42"/>
        <v>9.136592051164915E-3</v>
      </c>
      <c r="J192" s="86">
        <f t="shared" si="39"/>
        <v>2.6587482868889905</v>
      </c>
      <c r="K192" s="86">
        <f t="shared" si="43"/>
        <v>55.80747252747252</v>
      </c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  <c r="AI192" s="81"/>
      <c r="AJ192" s="81"/>
      <c r="AK192" s="81"/>
      <c r="AL192" s="81"/>
      <c r="AM192" s="81"/>
      <c r="AN192" s="81"/>
    </row>
    <row r="193" spans="1:40" ht="14.25" customHeight="1">
      <c r="A193" s="82">
        <v>41201</v>
      </c>
      <c r="B193" s="83" t="s">
        <v>20</v>
      </c>
      <c r="C193" s="83" t="s">
        <v>252</v>
      </c>
      <c r="D193" s="83" t="s">
        <v>253</v>
      </c>
      <c r="E193" s="103">
        <v>2</v>
      </c>
      <c r="F193" s="104">
        <v>254</v>
      </c>
      <c r="G193" s="84">
        <f t="shared" si="41"/>
        <v>4.3956043956043956E-3</v>
      </c>
      <c r="H193" s="85">
        <f t="shared" si="37"/>
        <v>3.7094505494505492E-2</v>
      </c>
      <c r="I193" s="84">
        <f t="shared" si="42"/>
        <v>7.2521699406121517E-3</v>
      </c>
      <c r="J193" s="86">
        <f t="shared" si="39"/>
        <v>2.1103814527181362</v>
      </c>
      <c r="K193" s="86">
        <f t="shared" si="43"/>
        <v>17.57715670156615</v>
      </c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  <c r="AI193" s="81"/>
      <c r="AJ193" s="81"/>
      <c r="AK193" s="81"/>
      <c r="AL193" s="81"/>
      <c r="AM193" s="81"/>
      <c r="AN193" s="81"/>
    </row>
    <row r="194" spans="1:40" ht="14.25" customHeight="1">
      <c r="A194" s="82">
        <v>41202</v>
      </c>
      <c r="B194" s="83" t="s">
        <v>20</v>
      </c>
      <c r="C194" s="83" t="s">
        <v>252</v>
      </c>
      <c r="D194" s="83" t="s">
        <v>254</v>
      </c>
      <c r="E194" s="103">
        <v>3</v>
      </c>
      <c r="F194" s="104">
        <v>156</v>
      </c>
      <c r="G194" s="84">
        <f t="shared" si="41"/>
        <v>6.5934065934065934E-3</v>
      </c>
      <c r="H194" s="85">
        <f t="shared" si="37"/>
        <v>5.5641758241758245E-2</v>
      </c>
      <c r="I194" s="84">
        <f t="shared" si="42"/>
        <v>4.4540886249428962E-3</v>
      </c>
      <c r="J194" s="86">
        <f t="shared" si="39"/>
        <v>1.2961397898583829</v>
      </c>
      <c r="K194" s="86">
        <f t="shared" si="43"/>
        <v>42.928825021132717</v>
      </c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1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  <c r="AI194" s="81"/>
      <c r="AJ194" s="81"/>
      <c r="AK194" s="81"/>
      <c r="AL194" s="81"/>
      <c r="AM194" s="81"/>
      <c r="AN194" s="81"/>
    </row>
    <row r="195" spans="1:40" ht="14.25" customHeight="1">
      <c r="A195" s="82">
        <v>41301</v>
      </c>
      <c r="B195" s="83" t="s">
        <v>20</v>
      </c>
      <c r="C195" s="83" t="s">
        <v>255</v>
      </c>
      <c r="D195" s="83" t="s">
        <v>255</v>
      </c>
      <c r="E195" s="103">
        <v>6</v>
      </c>
      <c r="F195" s="104">
        <v>337</v>
      </c>
      <c r="G195" s="84">
        <f t="shared" si="41"/>
        <v>1.3186813186813187E-2</v>
      </c>
      <c r="H195" s="85">
        <f t="shared" si="37"/>
        <v>0.11128351648351649</v>
      </c>
      <c r="I195" s="84">
        <f t="shared" si="42"/>
        <v>9.6219735038830523E-3</v>
      </c>
      <c r="J195" s="86">
        <f t="shared" si="39"/>
        <v>2.7999942896299683</v>
      </c>
      <c r="K195" s="86">
        <f t="shared" si="43"/>
        <v>39.744194084846903</v>
      </c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  <c r="AI195" s="81"/>
      <c r="AJ195" s="81"/>
      <c r="AK195" s="81"/>
      <c r="AL195" s="81"/>
      <c r="AM195" s="81"/>
      <c r="AN195" s="81"/>
    </row>
    <row r="196" spans="1:40" ht="14.25" customHeight="1">
      <c r="A196" s="82">
        <v>41401</v>
      </c>
      <c r="B196" s="83" t="s">
        <v>20</v>
      </c>
      <c r="C196" s="83" t="s">
        <v>256</v>
      </c>
      <c r="D196" s="83" t="s">
        <v>257</v>
      </c>
      <c r="E196" s="103">
        <v>6</v>
      </c>
      <c r="F196" s="104">
        <v>610</v>
      </c>
      <c r="G196" s="84">
        <f t="shared" si="41"/>
        <v>1.3186813186813187E-2</v>
      </c>
      <c r="H196" s="85">
        <f t="shared" si="37"/>
        <v>0.11128351648351649</v>
      </c>
      <c r="I196" s="84">
        <f t="shared" si="42"/>
        <v>1.741662859753312E-2</v>
      </c>
      <c r="J196" s="86">
        <f t="shared" si="39"/>
        <v>5.0682389218821378</v>
      </c>
      <c r="K196" s="86">
        <f t="shared" si="43"/>
        <v>21.957038371464602</v>
      </c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1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  <c r="AI196" s="81"/>
      <c r="AJ196" s="81"/>
      <c r="AK196" s="81"/>
      <c r="AL196" s="81"/>
      <c r="AM196" s="81"/>
      <c r="AN196" s="81"/>
    </row>
    <row r="197" spans="1:40" ht="14.25" customHeight="1">
      <c r="A197" s="82">
        <v>41501</v>
      </c>
      <c r="B197" s="83" t="s">
        <v>20</v>
      </c>
      <c r="C197" s="83" t="s">
        <v>258</v>
      </c>
      <c r="D197" s="83" t="s">
        <v>259</v>
      </c>
      <c r="E197" s="103">
        <v>0</v>
      </c>
      <c r="F197" s="104">
        <v>87</v>
      </c>
      <c r="G197" s="84">
        <f t="shared" si="41"/>
        <v>0</v>
      </c>
      <c r="H197" s="85">
        <f t="shared" si="37"/>
        <v>0</v>
      </c>
      <c r="I197" s="84">
        <f t="shared" si="42"/>
        <v>2.4840109639104615E-3</v>
      </c>
      <c r="J197" s="86">
        <f t="shared" si="39"/>
        <v>0.72284719049794433</v>
      </c>
      <c r="K197" s="86">
        <f t="shared" si="43"/>
        <v>0</v>
      </c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  <c r="AI197" s="81"/>
      <c r="AJ197" s="81"/>
      <c r="AK197" s="81"/>
      <c r="AL197" s="81"/>
      <c r="AM197" s="81"/>
      <c r="AN197" s="81"/>
    </row>
    <row r="198" spans="1:40" ht="14.25" customHeight="1">
      <c r="A198" s="82">
        <v>41502</v>
      </c>
      <c r="B198" s="83" t="s">
        <v>20</v>
      </c>
      <c r="C198" s="83" t="s">
        <v>258</v>
      </c>
      <c r="D198" s="83" t="s">
        <v>260</v>
      </c>
      <c r="E198" s="103">
        <v>1</v>
      </c>
      <c r="F198" s="104">
        <v>78</v>
      </c>
      <c r="G198" s="84">
        <f t="shared" si="41"/>
        <v>2.1978021978021978E-3</v>
      </c>
      <c r="H198" s="85">
        <f t="shared" si="37"/>
        <v>1.8547252747252746E-2</v>
      </c>
      <c r="I198" s="84">
        <f t="shared" si="42"/>
        <v>2.2270443124714481E-3</v>
      </c>
      <c r="J198" s="86">
        <f t="shared" si="39"/>
        <v>0.64806989492919143</v>
      </c>
      <c r="K198" s="86">
        <f t="shared" si="43"/>
        <v>28.619216680755137</v>
      </c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1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  <c r="AI198" s="81"/>
      <c r="AJ198" s="81"/>
      <c r="AK198" s="81"/>
      <c r="AL198" s="81"/>
      <c r="AM198" s="81"/>
      <c r="AN198" s="81"/>
    </row>
    <row r="199" spans="1:40" ht="14.25" customHeight="1">
      <c r="A199" s="82">
        <v>41503</v>
      </c>
      <c r="B199" s="83" t="s">
        <v>20</v>
      </c>
      <c r="C199" s="83" t="s">
        <v>258</v>
      </c>
      <c r="D199" s="83" t="s">
        <v>224</v>
      </c>
      <c r="E199" s="103">
        <v>0</v>
      </c>
      <c r="F199" s="104">
        <v>64</v>
      </c>
      <c r="G199" s="84">
        <f t="shared" si="41"/>
        <v>0</v>
      </c>
      <c r="H199" s="85">
        <f t="shared" si="37"/>
        <v>0</v>
      </c>
      <c r="I199" s="84">
        <f t="shared" si="42"/>
        <v>1.8273184102329831E-3</v>
      </c>
      <c r="J199" s="86">
        <f t="shared" si="39"/>
        <v>0.53174965737779811</v>
      </c>
      <c r="K199" s="86">
        <f t="shared" si="43"/>
        <v>0</v>
      </c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1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  <c r="AI199" s="81"/>
      <c r="AJ199" s="81"/>
      <c r="AK199" s="81"/>
      <c r="AL199" s="81"/>
      <c r="AM199" s="81"/>
      <c r="AN199" s="81"/>
    </row>
    <row r="200" spans="1:40" ht="14.25" customHeight="1">
      <c r="A200" s="82">
        <v>41601</v>
      </c>
      <c r="B200" s="83" t="s">
        <v>20</v>
      </c>
      <c r="C200" s="83" t="s">
        <v>261</v>
      </c>
      <c r="D200" s="83" t="s">
        <v>262</v>
      </c>
      <c r="E200" s="103">
        <v>6</v>
      </c>
      <c r="F200" s="104">
        <v>246</v>
      </c>
      <c r="G200" s="84">
        <f t="shared" si="41"/>
        <v>1.3186813186813187E-2</v>
      </c>
      <c r="H200" s="85">
        <f t="shared" si="37"/>
        <v>0.11128351648351649</v>
      </c>
      <c r="I200" s="84">
        <f t="shared" si="42"/>
        <v>7.0237551393330291E-3</v>
      </c>
      <c r="J200" s="86">
        <f t="shared" si="39"/>
        <v>2.0439127455459114</v>
      </c>
      <c r="K200" s="86">
        <f t="shared" si="43"/>
        <v>54.446314660948808</v>
      </c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1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  <c r="AI200" s="81"/>
      <c r="AJ200" s="81"/>
      <c r="AK200" s="81"/>
      <c r="AL200" s="81"/>
      <c r="AM200" s="81"/>
      <c r="AN200" s="81"/>
    </row>
    <row r="201" spans="1:40" ht="14.25" customHeight="1">
      <c r="A201" s="82">
        <v>50101</v>
      </c>
      <c r="B201" s="83" t="s">
        <v>263</v>
      </c>
      <c r="C201" s="83" t="s">
        <v>264</v>
      </c>
      <c r="D201" s="83" t="s">
        <v>263</v>
      </c>
      <c r="E201" s="103">
        <v>191</v>
      </c>
      <c r="F201" s="104">
        <v>16092</v>
      </c>
      <c r="G201" s="84">
        <f>E201/$R$6</f>
        <v>0.19509703779366699</v>
      </c>
      <c r="H201" s="85">
        <f>$S$21*G201</f>
        <v>2.0853922369765066</v>
      </c>
      <c r="I201" s="84">
        <f>F201/$S$6</f>
        <v>0.28216233276639019</v>
      </c>
      <c r="J201" s="86">
        <f>I201*$U$21</f>
        <v>143.62062737809259</v>
      </c>
      <c r="K201" s="86">
        <f t="shared" si="43"/>
        <v>14.520144320819233</v>
      </c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1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  <c r="AI201" s="81"/>
      <c r="AJ201" s="81"/>
      <c r="AK201" s="81"/>
      <c r="AL201" s="81"/>
      <c r="AM201" s="81"/>
      <c r="AN201" s="81"/>
    </row>
    <row r="202" spans="1:40" ht="14.25" customHeight="1">
      <c r="A202" s="82">
        <v>50102</v>
      </c>
      <c r="B202" s="83" t="s">
        <v>263</v>
      </c>
      <c r="C202" s="83" t="s">
        <v>264</v>
      </c>
      <c r="D202" s="83" t="s">
        <v>265</v>
      </c>
      <c r="E202" s="103">
        <v>54</v>
      </c>
      <c r="F202" s="104">
        <v>1914</v>
      </c>
      <c r="G202" s="84">
        <f t="shared" ref="G202:G223" si="44">E202/$R$6</f>
        <v>5.515832482124617E-2</v>
      </c>
      <c r="H202" s="85">
        <f t="shared" ref="H202:H242" si="45">$S$21*G202</f>
        <v>0.5895873340143003</v>
      </c>
      <c r="I202" s="84">
        <f t="shared" ref="I202:I223" si="46">F202/$S$6</f>
        <v>3.356069506058109E-2</v>
      </c>
      <c r="J202" s="86">
        <f t="shared" ref="J202:J242" si="47">I202*$U$21</f>
        <v>17.082393785835777</v>
      </c>
      <c r="K202" s="86">
        <f t="shared" si="43"/>
        <v>34.514327523767129</v>
      </c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1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  <c r="AI202" s="81"/>
      <c r="AJ202" s="81"/>
      <c r="AK202" s="81"/>
      <c r="AL202" s="81"/>
      <c r="AM202" s="81"/>
      <c r="AN202" s="81"/>
    </row>
    <row r="203" spans="1:40" ht="14.25" customHeight="1">
      <c r="A203" s="82">
        <v>50103</v>
      </c>
      <c r="B203" s="83" t="s">
        <v>263</v>
      </c>
      <c r="C203" s="83" t="s">
        <v>264</v>
      </c>
      <c r="D203" s="83" t="s">
        <v>266</v>
      </c>
      <c r="E203" s="103">
        <v>12</v>
      </c>
      <c r="F203" s="104">
        <v>718</v>
      </c>
      <c r="G203" s="84">
        <f t="shared" si="44"/>
        <v>1.2257405515832482E-2</v>
      </c>
      <c r="H203" s="85">
        <f t="shared" si="45"/>
        <v>0.1310194075587334</v>
      </c>
      <c r="I203" s="84">
        <f t="shared" si="46"/>
        <v>1.258964422857744E-2</v>
      </c>
      <c r="J203" s="86">
        <f t="shared" si="47"/>
        <v>6.4081289123459175</v>
      </c>
      <c r="K203" s="86">
        <f t="shared" si="43"/>
        <v>20.445813333485081</v>
      </c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1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  <c r="AI203" s="81"/>
      <c r="AJ203" s="81"/>
      <c r="AK203" s="81"/>
      <c r="AL203" s="81"/>
      <c r="AM203" s="81"/>
      <c r="AN203" s="81"/>
    </row>
    <row r="204" spans="1:40" ht="14.25" customHeight="1">
      <c r="A204" s="82">
        <v>50104</v>
      </c>
      <c r="B204" s="83" t="s">
        <v>263</v>
      </c>
      <c r="C204" s="83" t="s">
        <v>264</v>
      </c>
      <c r="D204" s="83" t="s">
        <v>267</v>
      </c>
      <c r="E204" s="103">
        <v>1</v>
      </c>
      <c r="F204" s="104">
        <v>147</v>
      </c>
      <c r="G204" s="84">
        <f t="shared" si="44"/>
        <v>1.0214504596527069E-3</v>
      </c>
      <c r="H204" s="85">
        <f t="shared" si="45"/>
        <v>1.0918283963227783E-2</v>
      </c>
      <c r="I204" s="84">
        <f t="shared" si="46"/>
        <v>2.5775455454051304E-3</v>
      </c>
      <c r="J204" s="86">
        <f t="shared" si="47"/>
        <v>1.3119706826112114</v>
      </c>
      <c r="K204" s="86">
        <f t="shared" si="43"/>
        <v>8.3220487377790739</v>
      </c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1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  <c r="AI204" s="81"/>
      <c r="AJ204" s="81"/>
      <c r="AK204" s="81"/>
      <c r="AL204" s="81"/>
      <c r="AM204" s="81"/>
      <c r="AN204" s="81"/>
    </row>
    <row r="205" spans="1:40" ht="14.25" customHeight="1">
      <c r="A205" s="82">
        <v>50201</v>
      </c>
      <c r="B205" s="83" t="s">
        <v>263</v>
      </c>
      <c r="C205" s="83" t="s">
        <v>268</v>
      </c>
      <c r="D205" s="83" t="s">
        <v>269</v>
      </c>
      <c r="E205" s="103">
        <v>37</v>
      </c>
      <c r="F205" s="104">
        <v>1465</v>
      </c>
      <c r="G205" s="84">
        <f t="shared" si="44"/>
        <v>3.7793667007150152E-2</v>
      </c>
      <c r="H205" s="85">
        <f t="shared" si="45"/>
        <v>0.40397650663942797</v>
      </c>
      <c r="I205" s="84">
        <f t="shared" si="46"/>
        <v>2.5687783836860656E-2</v>
      </c>
      <c r="J205" s="86">
        <f t="shared" si="47"/>
        <v>13.075081972962074</v>
      </c>
      <c r="K205" s="86">
        <f t="shared" si="43"/>
        <v>30.89667104763166</v>
      </c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1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  <c r="AI205" s="81"/>
      <c r="AJ205" s="81"/>
      <c r="AK205" s="81"/>
      <c r="AL205" s="81"/>
      <c r="AM205" s="81"/>
      <c r="AN205" s="81"/>
    </row>
    <row r="206" spans="1:40" ht="14.25" customHeight="1">
      <c r="A206" s="82">
        <v>50202</v>
      </c>
      <c r="B206" s="83" t="s">
        <v>263</v>
      </c>
      <c r="C206" s="83" t="s">
        <v>268</v>
      </c>
      <c r="D206" s="83" t="s">
        <v>270</v>
      </c>
      <c r="E206" s="103">
        <v>34</v>
      </c>
      <c r="F206" s="104">
        <v>1011</v>
      </c>
      <c r="G206" s="84">
        <f t="shared" si="44"/>
        <v>3.472931562819203E-2</v>
      </c>
      <c r="H206" s="85">
        <f t="shared" si="45"/>
        <v>0.37122165474974461</v>
      </c>
      <c r="I206" s="84">
        <f t="shared" si="46"/>
        <v>1.7727200995949571E-2</v>
      </c>
      <c r="J206" s="86">
        <f t="shared" si="47"/>
        <v>9.0231453069383321</v>
      </c>
      <c r="K206" s="86">
        <f t="shared" si="43"/>
        <v>41.141048062729787</v>
      </c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1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  <c r="AI206" s="81"/>
      <c r="AJ206" s="81"/>
      <c r="AK206" s="81"/>
      <c r="AL206" s="81"/>
      <c r="AM206" s="81"/>
      <c r="AN206" s="81"/>
    </row>
    <row r="207" spans="1:40" ht="14.25" customHeight="1">
      <c r="A207" s="82">
        <v>50203</v>
      </c>
      <c r="B207" s="83" t="s">
        <v>263</v>
      </c>
      <c r="C207" s="83" t="s">
        <v>268</v>
      </c>
      <c r="D207" s="83" t="s">
        <v>271</v>
      </c>
      <c r="E207" s="103">
        <v>43</v>
      </c>
      <c r="F207" s="104">
        <v>2810</v>
      </c>
      <c r="G207" s="84">
        <f t="shared" si="44"/>
        <v>4.3922369765066395E-2</v>
      </c>
      <c r="H207" s="85">
        <f t="shared" si="45"/>
        <v>0.46948621041879468</v>
      </c>
      <c r="I207" s="84">
        <f t="shared" si="46"/>
        <v>4.9271448861145692E-2</v>
      </c>
      <c r="J207" s="86">
        <f t="shared" si="47"/>
        <v>25.079167470323156</v>
      </c>
      <c r="K207" s="86">
        <f t="shared" si="43"/>
        <v>18.720167285231863</v>
      </c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  <c r="AI207" s="81"/>
      <c r="AJ207" s="81"/>
      <c r="AK207" s="81"/>
      <c r="AL207" s="81"/>
      <c r="AM207" s="81"/>
      <c r="AN207" s="81"/>
    </row>
    <row r="208" spans="1:40" ht="14.25" customHeight="1">
      <c r="A208" s="82">
        <v>50204</v>
      </c>
      <c r="B208" s="83" t="s">
        <v>263</v>
      </c>
      <c r="C208" s="83" t="s">
        <v>268</v>
      </c>
      <c r="D208" s="83" t="s">
        <v>272</v>
      </c>
      <c r="E208" s="103">
        <v>14</v>
      </c>
      <c r="F208" s="104">
        <v>570</v>
      </c>
      <c r="G208" s="84">
        <f t="shared" si="44"/>
        <v>1.4300306435137897E-2</v>
      </c>
      <c r="H208" s="85">
        <f t="shared" si="45"/>
        <v>0.15285597548518898</v>
      </c>
      <c r="I208" s="84">
        <f t="shared" si="46"/>
        <v>9.9945643597341791E-3</v>
      </c>
      <c r="J208" s="86">
        <f t="shared" si="47"/>
        <v>5.0872332591046971</v>
      </c>
      <c r="K208" s="86">
        <f t="shared" si="43"/>
        <v>30.046975969033923</v>
      </c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1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  <c r="AI208" s="81"/>
      <c r="AJ208" s="81"/>
      <c r="AK208" s="81"/>
      <c r="AL208" s="81"/>
      <c r="AM208" s="81"/>
      <c r="AN208" s="81"/>
    </row>
    <row r="209" spans="1:40" ht="14.25" customHeight="1">
      <c r="A209" s="82">
        <v>50301</v>
      </c>
      <c r="B209" s="83" t="s">
        <v>263</v>
      </c>
      <c r="C209" s="83" t="s">
        <v>273</v>
      </c>
      <c r="D209" s="83" t="s">
        <v>274</v>
      </c>
      <c r="E209" s="103">
        <v>38</v>
      </c>
      <c r="F209" s="104">
        <v>2050</v>
      </c>
      <c r="G209" s="84">
        <f t="shared" si="44"/>
        <v>3.8815117466802863E-2</v>
      </c>
      <c r="H209" s="85">
        <f t="shared" si="45"/>
        <v>0.41489479060265583</v>
      </c>
      <c r="I209" s="84">
        <f t="shared" si="46"/>
        <v>3.5945363048166784E-2</v>
      </c>
      <c r="J209" s="86">
        <f t="shared" si="47"/>
        <v>18.296189791516895</v>
      </c>
      <c r="K209" s="86">
        <f t="shared" si="43"/>
        <v>22.676567926455569</v>
      </c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  <c r="AI209" s="81"/>
      <c r="AJ209" s="81"/>
      <c r="AK209" s="81"/>
      <c r="AL209" s="81"/>
      <c r="AM209" s="81"/>
      <c r="AN209" s="81"/>
    </row>
    <row r="210" spans="1:40" ht="14.25" customHeight="1">
      <c r="A210" s="82">
        <v>50302</v>
      </c>
      <c r="B210" s="83" t="s">
        <v>263</v>
      </c>
      <c r="C210" s="83" t="s">
        <v>273</v>
      </c>
      <c r="D210" s="83" t="s">
        <v>275</v>
      </c>
      <c r="E210" s="103">
        <v>8</v>
      </c>
      <c r="F210" s="104">
        <v>556</v>
      </c>
      <c r="G210" s="84">
        <f t="shared" si="44"/>
        <v>8.171603677221655E-3</v>
      </c>
      <c r="H210" s="85">
        <f t="shared" si="45"/>
        <v>8.7346271705822265E-2</v>
      </c>
      <c r="I210" s="84">
        <f t="shared" si="46"/>
        <v>9.7490838316003584E-3</v>
      </c>
      <c r="J210" s="86">
        <f t="shared" si="47"/>
        <v>4.9622836702845827</v>
      </c>
      <c r="K210" s="86">
        <f t="shared" si="43"/>
        <v>17.60203114321617</v>
      </c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1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  <c r="AI210" s="81"/>
      <c r="AJ210" s="81"/>
      <c r="AK210" s="81"/>
      <c r="AL210" s="81"/>
      <c r="AM210" s="81"/>
      <c r="AN210" s="81"/>
    </row>
    <row r="211" spans="1:40" ht="14.25" customHeight="1">
      <c r="A211" s="82">
        <v>50303</v>
      </c>
      <c r="B211" s="83" t="s">
        <v>263</v>
      </c>
      <c r="C211" s="83" t="s">
        <v>273</v>
      </c>
      <c r="D211" s="83" t="s">
        <v>276</v>
      </c>
      <c r="E211" s="103">
        <v>6</v>
      </c>
      <c r="F211" s="104">
        <v>896</v>
      </c>
      <c r="G211" s="84">
        <f t="shared" si="44"/>
        <v>6.1287027579162408E-3</v>
      </c>
      <c r="H211" s="85">
        <f t="shared" si="45"/>
        <v>6.5509703779366699E-2</v>
      </c>
      <c r="I211" s="84">
        <f t="shared" si="46"/>
        <v>1.5710753800564605E-2</v>
      </c>
      <c r="J211" s="86">
        <f t="shared" si="47"/>
        <v>7.9967736844873842</v>
      </c>
      <c r="K211" s="86">
        <f t="shared" si="43"/>
        <v>8.1920167262512766</v>
      </c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  <c r="AI211" s="81"/>
      <c r="AJ211" s="81"/>
      <c r="AK211" s="81"/>
      <c r="AL211" s="81"/>
      <c r="AM211" s="81"/>
      <c r="AN211" s="81"/>
    </row>
    <row r="212" spans="1:40" ht="14.25" customHeight="1">
      <c r="A212" s="82">
        <v>50401</v>
      </c>
      <c r="B212" s="83" t="s">
        <v>263</v>
      </c>
      <c r="C212" s="83" t="s">
        <v>270</v>
      </c>
      <c r="D212" s="83" t="s">
        <v>277</v>
      </c>
      <c r="E212" s="103">
        <v>45</v>
      </c>
      <c r="F212" s="104">
        <v>1044</v>
      </c>
      <c r="G212" s="84">
        <f t="shared" si="44"/>
        <v>4.5965270684371805E-2</v>
      </c>
      <c r="H212" s="85">
        <f t="shared" si="45"/>
        <v>0.49132277834525023</v>
      </c>
      <c r="I212" s="84">
        <f t="shared" si="46"/>
        <v>1.8305833669407866E-2</v>
      </c>
      <c r="J212" s="86">
        <f t="shared" si="47"/>
        <v>9.3176693377286046</v>
      </c>
      <c r="K212" s="86">
        <f t="shared" si="43"/>
        <v>52.730222605755337</v>
      </c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  <c r="AI212" s="81"/>
      <c r="AJ212" s="81"/>
      <c r="AK212" s="81"/>
      <c r="AL212" s="81"/>
      <c r="AM212" s="81"/>
      <c r="AN212" s="81"/>
    </row>
    <row r="213" spans="1:40" ht="14.25" customHeight="1">
      <c r="A213" s="82">
        <v>50402</v>
      </c>
      <c r="B213" s="83" t="s">
        <v>263</v>
      </c>
      <c r="C213" s="83" t="s">
        <v>270</v>
      </c>
      <c r="D213" s="83" t="s">
        <v>278</v>
      </c>
      <c r="E213" s="103">
        <v>13</v>
      </c>
      <c r="F213" s="104">
        <v>904</v>
      </c>
      <c r="G213" s="84">
        <f t="shared" si="44"/>
        <v>1.3278855975485188E-2</v>
      </c>
      <c r="H213" s="85">
        <f t="shared" si="45"/>
        <v>0.14193769152196117</v>
      </c>
      <c r="I213" s="84">
        <f t="shared" si="46"/>
        <v>1.5851028388069646E-2</v>
      </c>
      <c r="J213" s="86">
        <f t="shared" si="47"/>
        <v>8.0681734495274497</v>
      </c>
      <c r="K213" s="86">
        <f t="shared" si="43"/>
        <v>17.592295506521914</v>
      </c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  <c r="AI213" s="81"/>
      <c r="AJ213" s="81"/>
      <c r="AK213" s="81"/>
      <c r="AL213" s="81"/>
      <c r="AM213" s="81"/>
      <c r="AN213" s="81"/>
    </row>
    <row r="214" spans="1:40" ht="14.25" customHeight="1">
      <c r="A214" s="82">
        <v>50403</v>
      </c>
      <c r="B214" s="83" t="s">
        <v>263</v>
      </c>
      <c r="C214" s="83" t="s">
        <v>270</v>
      </c>
      <c r="D214" s="83" t="s">
        <v>279</v>
      </c>
      <c r="E214" s="103">
        <v>59</v>
      </c>
      <c r="F214" s="104">
        <v>1973</v>
      </c>
      <c r="G214" s="84">
        <f t="shared" si="44"/>
        <v>6.0265577119509701E-2</v>
      </c>
      <c r="H214" s="85">
        <f t="shared" si="45"/>
        <v>0.64417875383043921</v>
      </c>
      <c r="I214" s="84">
        <f t="shared" si="46"/>
        <v>3.4595220143430763E-2</v>
      </c>
      <c r="J214" s="86">
        <f t="shared" si="47"/>
        <v>17.608967053006257</v>
      </c>
      <c r="K214" s="86">
        <f t="shared" si="43"/>
        <v>36.582427117464732</v>
      </c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1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  <c r="AI214" s="81"/>
      <c r="AJ214" s="81"/>
      <c r="AK214" s="81"/>
      <c r="AL214" s="81"/>
      <c r="AM214" s="81"/>
      <c r="AN214" s="81"/>
    </row>
    <row r="215" spans="1:40" ht="14.25" customHeight="1">
      <c r="A215" s="82">
        <v>50404</v>
      </c>
      <c r="B215" s="83" t="s">
        <v>263</v>
      </c>
      <c r="C215" s="83" t="s">
        <v>270</v>
      </c>
      <c r="D215" s="83" t="s">
        <v>280</v>
      </c>
      <c r="E215" s="103">
        <v>12</v>
      </c>
      <c r="F215" s="104">
        <v>794</v>
      </c>
      <c r="G215" s="84">
        <f t="shared" si="44"/>
        <v>1.2257405515832482E-2</v>
      </c>
      <c r="H215" s="85">
        <f t="shared" si="45"/>
        <v>0.1310194075587334</v>
      </c>
      <c r="I215" s="84">
        <f t="shared" si="46"/>
        <v>1.3922252809875331E-2</v>
      </c>
      <c r="J215" s="86">
        <f t="shared" si="47"/>
        <v>7.0864266802265439</v>
      </c>
      <c r="K215" s="86">
        <f t="shared" si="43"/>
        <v>18.48878334186686</v>
      </c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  <c r="AI215" s="81"/>
      <c r="AJ215" s="81"/>
      <c r="AK215" s="81"/>
      <c r="AL215" s="81"/>
      <c r="AM215" s="81"/>
      <c r="AN215" s="81"/>
    </row>
    <row r="216" spans="1:40" ht="14.25" customHeight="1">
      <c r="A216" s="98">
        <v>50405</v>
      </c>
      <c r="B216" s="83" t="s">
        <v>263</v>
      </c>
      <c r="C216" s="83" t="s">
        <v>270</v>
      </c>
      <c r="D216" s="83" t="s">
        <v>281</v>
      </c>
      <c r="E216" s="103">
        <v>46</v>
      </c>
      <c r="F216" s="104">
        <v>1328</v>
      </c>
      <c r="G216" s="84">
        <f t="shared" si="44"/>
        <v>4.6986721144024517E-2</v>
      </c>
      <c r="H216" s="85">
        <f t="shared" si="45"/>
        <v>0.50224106230847809</v>
      </c>
      <c r="I216" s="84">
        <f t="shared" si="46"/>
        <v>2.3285581525836825E-2</v>
      </c>
      <c r="J216" s="86">
        <f t="shared" si="47"/>
        <v>11.852360996650944</v>
      </c>
      <c r="K216" s="86">
        <f t="shared" si="43"/>
        <v>42.37476925064918</v>
      </c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1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  <c r="AI216" s="81"/>
      <c r="AJ216" s="81"/>
      <c r="AK216" s="81"/>
      <c r="AL216" s="81"/>
      <c r="AM216" s="81"/>
      <c r="AN216" s="81"/>
    </row>
    <row r="217" spans="1:40" ht="14.25" customHeight="1">
      <c r="A217" s="82">
        <v>50501</v>
      </c>
      <c r="B217" s="83" t="s">
        <v>263</v>
      </c>
      <c r="C217" s="83" t="s">
        <v>282</v>
      </c>
      <c r="D217" s="83" t="s">
        <v>283</v>
      </c>
      <c r="E217" s="103">
        <v>54</v>
      </c>
      <c r="F217" s="104">
        <v>1874</v>
      </c>
      <c r="G217" s="84">
        <f t="shared" si="44"/>
        <v>5.515832482124617E-2</v>
      </c>
      <c r="H217" s="85">
        <f t="shared" si="45"/>
        <v>0.5895873340143003</v>
      </c>
      <c r="I217" s="84">
        <f t="shared" si="46"/>
        <v>3.2859322123055881E-2</v>
      </c>
      <c r="J217" s="86">
        <f t="shared" si="47"/>
        <v>16.725394960635445</v>
      </c>
      <c r="K217" s="86">
        <f t="shared" si="43"/>
        <v>35.251026083506027</v>
      </c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  <c r="AI217" s="81"/>
      <c r="AJ217" s="81"/>
      <c r="AK217" s="81"/>
      <c r="AL217" s="81"/>
      <c r="AM217" s="81"/>
      <c r="AN217" s="81"/>
    </row>
    <row r="218" spans="1:40" ht="14.25" customHeight="1">
      <c r="A218" s="82">
        <v>50502</v>
      </c>
      <c r="B218" s="83" t="s">
        <v>263</v>
      </c>
      <c r="C218" s="83" t="s">
        <v>282</v>
      </c>
      <c r="D218" s="83" t="s">
        <v>284</v>
      </c>
      <c r="E218" s="103">
        <v>12</v>
      </c>
      <c r="F218" s="104">
        <v>761</v>
      </c>
      <c r="G218" s="84">
        <f t="shared" si="44"/>
        <v>1.2257405515832482E-2</v>
      </c>
      <c r="H218" s="85">
        <f t="shared" si="45"/>
        <v>0.1310194075587334</v>
      </c>
      <c r="I218" s="84">
        <f t="shared" si="46"/>
        <v>1.3343620136417036E-2</v>
      </c>
      <c r="J218" s="86">
        <f t="shared" si="47"/>
        <v>6.7919026494362713</v>
      </c>
      <c r="K218" s="86">
        <f t="shared" si="43"/>
        <v>19.29053084552206</v>
      </c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1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  <c r="AI218" s="81"/>
      <c r="AJ218" s="81"/>
      <c r="AK218" s="81"/>
      <c r="AL218" s="81"/>
      <c r="AM218" s="81"/>
      <c r="AN218" s="81"/>
    </row>
    <row r="219" spans="1:40" ht="14.25" customHeight="1">
      <c r="A219" s="82">
        <v>50601</v>
      </c>
      <c r="B219" s="83" t="s">
        <v>263</v>
      </c>
      <c r="C219" s="83" t="s">
        <v>285</v>
      </c>
      <c r="D219" s="83" t="s">
        <v>286</v>
      </c>
      <c r="E219" s="103">
        <v>10</v>
      </c>
      <c r="F219" s="104">
        <v>1728</v>
      </c>
      <c r="G219" s="84">
        <f t="shared" si="44"/>
        <v>1.0214504596527068E-2</v>
      </c>
      <c r="H219" s="85">
        <f t="shared" si="45"/>
        <v>0.10918283963227783</v>
      </c>
      <c r="I219" s="84">
        <f t="shared" si="46"/>
        <v>3.029931090108888E-2</v>
      </c>
      <c r="J219" s="86">
        <f t="shared" si="47"/>
        <v>15.422349248654239</v>
      </c>
      <c r="K219" s="86">
        <f t="shared" si="43"/>
        <v>7.0795206276245608</v>
      </c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1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  <c r="AI219" s="81"/>
      <c r="AJ219" s="81"/>
      <c r="AK219" s="81"/>
      <c r="AL219" s="81"/>
      <c r="AM219" s="81"/>
      <c r="AN219" s="81"/>
    </row>
    <row r="220" spans="1:40" ht="14.25" customHeight="1">
      <c r="A220" s="82">
        <v>50602</v>
      </c>
      <c r="B220" s="83" t="s">
        <v>263</v>
      </c>
      <c r="C220" s="83" t="s">
        <v>285</v>
      </c>
      <c r="D220" s="83" t="s">
        <v>287</v>
      </c>
      <c r="E220" s="103">
        <v>6</v>
      </c>
      <c r="F220" s="104">
        <v>576</v>
      </c>
      <c r="G220" s="84">
        <f t="shared" si="44"/>
        <v>6.1287027579162408E-3</v>
      </c>
      <c r="H220" s="85">
        <f t="shared" si="45"/>
        <v>6.5509703779366699E-2</v>
      </c>
      <c r="I220" s="84">
        <f t="shared" si="46"/>
        <v>1.0099770300362961E-2</v>
      </c>
      <c r="J220" s="86">
        <f t="shared" si="47"/>
        <v>5.1407830828847469</v>
      </c>
      <c r="K220" s="86">
        <f t="shared" si="43"/>
        <v>12.743137129724209</v>
      </c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1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  <c r="AI220" s="81"/>
      <c r="AJ220" s="81"/>
      <c r="AK220" s="81"/>
      <c r="AL220" s="81"/>
      <c r="AM220" s="81"/>
      <c r="AN220" s="81"/>
    </row>
    <row r="221" spans="1:40" ht="14.25" customHeight="1">
      <c r="A221" s="82">
        <v>50701</v>
      </c>
      <c r="B221" s="83" t="s">
        <v>263</v>
      </c>
      <c r="C221" s="83" t="s">
        <v>288</v>
      </c>
      <c r="D221" s="83" t="s">
        <v>289</v>
      </c>
      <c r="E221" s="103">
        <v>38</v>
      </c>
      <c r="F221" s="104">
        <v>1110</v>
      </c>
      <c r="G221" s="84">
        <f t="shared" si="44"/>
        <v>3.8815117466802863E-2</v>
      </c>
      <c r="H221" s="85">
        <f t="shared" si="45"/>
        <v>0.41489479060265583</v>
      </c>
      <c r="I221" s="84">
        <f t="shared" si="46"/>
        <v>1.9463099016324457E-2</v>
      </c>
      <c r="J221" s="86">
        <f t="shared" si="47"/>
        <v>9.906717399309148</v>
      </c>
      <c r="K221" s="86">
        <f t="shared" si="43"/>
        <v>41.880147972282806</v>
      </c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1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  <c r="AI221" s="81"/>
      <c r="AJ221" s="81"/>
      <c r="AK221" s="81"/>
      <c r="AL221" s="81"/>
      <c r="AM221" s="81"/>
      <c r="AN221" s="81"/>
    </row>
    <row r="222" spans="1:40" ht="14.25" customHeight="1">
      <c r="A222" s="82">
        <v>50702</v>
      </c>
      <c r="B222" s="83" t="s">
        <v>263</v>
      </c>
      <c r="C222" s="83" t="s">
        <v>288</v>
      </c>
      <c r="D222" s="83" t="s">
        <v>290</v>
      </c>
      <c r="E222" s="103">
        <v>18</v>
      </c>
      <c r="F222" s="104">
        <v>508</v>
      </c>
      <c r="G222" s="84">
        <f t="shared" si="44"/>
        <v>1.8386108273748723E-2</v>
      </c>
      <c r="H222" s="85">
        <f t="shared" si="45"/>
        <v>0.19652911133810011</v>
      </c>
      <c r="I222" s="84">
        <f t="shared" si="46"/>
        <v>8.9074363065701108E-3</v>
      </c>
      <c r="J222" s="86">
        <f t="shared" si="47"/>
        <v>4.5338850800441861</v>
      </c>
      <c r="K222" s="86">
        <f t="shared" si="43"/>
        <v>43.346734173550068</v>
      </c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1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  <c r="AI222" s="81"/>
      <c r="AJ222" s="81"/>
      <c r="AK222" s="81"/>
      <c r="AL222" s="81"/>
      <c r="AM222" s="81"/>
      <c r="AN222" s="81"/>
    </row>
    <row r="223" spans="1:40" ht="14.25" customHeight="1">
      <c r="A223" s="82">
        <v>50801</v>
      </c>
      <c r="B223" s="83" t="s">
        <v>263</v>
      </c>
      <c r="C223" s="83" t="s">
        <v>291</v>
      </c>
      <c r="D223" s="83" t="s">
        <v>292</v>
      </c>
      <c r="E223" s="103">
        <v>23</v>
      </c>
      <c r="F223" s="104">
        <v>2966</v>
      </c>
      <c r="G223" s="84">
        <f t="shared" si="44"/>
        <v>2.3493360572012258E-2</v>
      </c>
      <c r="H223" s="85">
        <f t="shared" si="45"/>
        <v>0.25112053115423905</v>
      </c>
      <c r="I223" s="84">
        <f t="shared" si="46"/>
        <v>5.2006803317493994E-2</v>
      </c>
      <c r="J223" s="86">
        <f t="shared" si="47"/>
        <v>26.471462888604442</v>
      </c>
      <c r="K223" s="86">
        <f t="shared" si="43"/>
        <v>9.4864621653509964</v>
      </c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1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  <c r="AI223" s="81"/>
      <c r="AJ223" s="81"/>
      <c r="AK223" s="81"/>
      <c r="AL223" s="81"/>
      <c r="AM223" s="81"/>
      <c r="AN223" s="81"/>
    </row>
    <row r="224" spans="1:40" ht="14.25" customHeight="1">
      <c r="A224" s="82">
        <v>50802</v>
      </c>
      <c r="B224" s="83" t="s">
        <v>263</v>
      </c>
      <c r="C224" s="83" t="s">
        <v>291</v>
      </c>
      <c r="D224" s="83" t="s">
        <v>293</v>
      </c>
      <c r="E224" s="103">
        <v>10</v>
      </c>
      <c r="F224" s="104">
        <v>687</v>
      </c>
      <c r="G224" s="84">
        <f>E224/$R$6</f>
        <v>1.0214504596527068E-2</v>
      </c>
      <c r="H224" s="85">
        <f>$S$21*G224</f>
        <v>0.10918283963227783</v>
      </c>
      <c r="I224" s="84">
        <f>F224/$S$6</f>
        <v>1.2046080201995405E-2</v>
      </c>
      <c r="J224" s="86">
        <f>I224*$U$21</f>
        <v>6.1314548228156616</v>
      </c>
      <c r="K224" s="86">
        <f t="shared" si="43"/>
        <v>17.807003849396274</v>
      </c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1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  <c r="AI224" s="81"/>
      <c r="AJ224" s="81"/>
      <c r="AK224" s="81"/>
      <c r="AL224" s="81"/>
      <c r="AM224" s="81"/>
      <c r="AN224" s="81"/>
    </row>
    <row r="225" spans="1:40" ht="14.25" customHeight="1">
      <c r="A225" s="82">
        <v>50901</v>
      </c>
      <c r="B225" s="83" t="s">
        <v>263</v>
      </c>
      <c r="C225" s="83" t="s">
        <v>294</v>
      </c>
      <c r="D225" s="83" t="s">
        <v>295</v>
      </c>
      <c r="E225" s="103">
        <v>13</v>
      </c>
      <c r="F225" s="104">
        <v>819</v>
      </c>
      <c r="G225" s="84">
        <f t="shared" ref="G225:G242" si="48">E225/$R$6</f>
        <v>1.3278855975485188E-2</v>
      </c>
      <c r="H225" s="85">
        <f t="shared" si="45"/>
        <v>0.14193769152196117</v>
      </c>
      <c r="I225" s="84">
        <f t="shared" ref="I225:I242" si="49">F225/$S$6</f>
        <v>1.4360610895828584E-2</v>
      </c>
      <c r="J225" s="86">
        <f t="shared" si="47"/>
        <v>7.3095509459767491</v>
      </c>
      <c r="K225" s="86">
        <f t="shared" si="43"/>
        <v>19.418113721484506</v>
      </c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1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  <c r="AI225" s="81"/>
      <c r="AJ225" s="81"/>
      <c r="AK225" s="81"/>
      <c r="AL225" s="81"/>
      <c r="AM225" s="81"/>
      <c r="AN225" s="81"/>
    </row>
    <row r="226" spans="1:40" ht="14.25" customHeight="1">
      <c r="A226" s="82">
        <v>50902</v>
      </c>
      <c r="B226" s="83" t="s">
        <v>263</v>
      </c>
      <c r="C226" s="83" t="s">
        <v>294</v>
      </c>
      <c r="D226" s="83" t="s">
        <v>296</v>
      </c>
      <c r="E226" s="103">
        <v>2</v>
      </c>
      <c r="F226" s="104">
        <v>86</v>
      </c>
      <c r="G226" s="84">
        <f t="shared" si="48"/>
        <v>2.0429009193054137E-3</v>
      </c>
      <c r="H226" s="85">
        <f t="shared" si="45"/>
        <v>2.1836567926455566E-2</v>
      </c>
      <c r="I226" s="84">
        <f t="shared" si="49"/>
        <v>1.5079518156791919E-3</v>
      </c>
      <c r="J226" s="86">
        <f t="shared" si="47"/>
        <v>0.76754747418070868</v>
      </c>
      <c r="K226" s="86">
        <f t="shared" si="43"/>
        <v>28.449794522174976</v>
      </c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1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  <c r="AI226" s="81"/>
      <c r="AJ226" s="81"/>
      <c r="AK226" s="81"/>
      <c r="AL226" s="81"/>
      <c r="AM226" s="81"/>
      <c r="AN226" s="81"/>
    </row>
    <row r="227" spans="1:40" ht="14.25" customHeight="1">
      <c r="A227" s="82">
        <v>51001</v>
      </c>
      <c r="B227" s="83" t="s">
        <v>263</v>
      </c>
      <c r="C227" s="83" t="s">
        <v>297</v>
      </c>
      <c r="D227" s="83" t="s">
        <v>298</v>
      </c>
      <c r="E227" s="103">
        <v>5</v>
      </c>
      <c r="F227" s="104">
        <v>203</v>
      </c>
      <c r="G227" s="84">
        <f t="shared" si="48"/>
        <v>5.1072522982635342E-3</v>
      </c>
      <c r="H227" s="85">
        <f t="shared" si="45"/>
        <v>5.4591419816138916E-2</v>
      </c>
      <c r="I227" s="84">
        <f t="shared" si="49"/>
        <v>3.5594676579404185E-3</v>
      </c>
      <c r="J227" s="86">
        <f t="shared" si="47"/>
        <v>1.8117690378916731</v>
      </c>
      <c r="K227" s="86">
        <f t="shared" si="43"/>
        <v>30.131555774717338</v>
      </c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1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  <c r="AI227" s="81"/>
      <c r="AJ227" s="81"/>
      <c r="AK227" s="81"/>
      <c r="AL227" s="81"/>
      <c r="AM227" s="81"/>
      <c r="AN227" s="81"/>
    </row>
    <row r="228" spans="1:40" ht="14.25" customHeight="1">
      <c r="A228" s="82">
        <v>51002</v>
      </c>
      <c r="B228" s="83" t="s">
        <v>263</v>
      </c>
      <c r="C228" s="83" t="s">
        <v>297</v>
      </c>
      <c r="D228" s="83" t="s">
        <v>299</v>
      </c>
      <c r="E228" s="103">
        <v>1</v>
      </c>
      <c r="F228" s="104">
        <v>61</v>
      </c>
      <c r="G228" s="84">
        <f t="shared" si="48"/>
        <v>1.0214504596527069E-3</v>
      </c>
      <c r="H228" s="85">
        <f t="shared" si="45"/>
        <v>1.0918283963227783E-2</v>
      </c>
      <c r="I228" s="84">
        <f t="shared" si="49"/>
        <v>1.0695937297259385E-3</v>
      </c>
      <c r="J228" s="86">
        <f t="shared" si="47"/>
        <v>0.54442320843050274</v>
      </c>
      <c r="K228" s="86">
        <f t="shared" si="43"/>
        <v>20.054773187762684</v>
      </c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1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  <c r="AI228" s="81"/>
      <c r="AJ228" s="81"/>
      <c r="AK228" s="81"/>
      <c r="AL228" s="81"/>
      <c r="AM228" s="81"/>
      <c r="AN228" s="81"/>
    </row>
    <row r="229" spans="1:40" ht="14.25" customHeight="1">
      <c r="A229" s="82">
        <v>51003</v>
      </c>
      <c r="B229" s="83" t="s">
        <v>263</v>
      </c>
      <c r="C229" s="83" t="s">
        <v>297</v>
      </c>
      <c r="D229" s="83" t="s">
        <v>300</v>
      </c>
      <c r="E229" s="103">
        <v>4</v>
      </c>
      <c r="F229" s="104">
        <v>139</v>
      </c>
      <c r="G229" s="84">
        <f t="shared" si="48"/>
        <v>4.0858018386108275E-3</v>
      </c>
      <c r="H229" s="85">
        <f t="shared" si="45"/>
        <v>4.3673135852911132E-2</v>
      </c>
      <c r="I229" s="84">
        <f t="shared" si="49"/>
        <v>2.4372709579000896E-3</v>
      </c>
      <c r="J229" s="86">
        <f t="shared" si="47"/>
        <v>1.2405709175711457</v>
      </c>
      <c r="K229" s="86">
        <f t="shared" si="43"/>
        <v>35.20406228643234</v>
      </c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1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  <c r="AI229" s="81"/>
      <c r="AJ229" s="81"/>
      <c r="AK229" s="81"/>
      <c r="AL229" s="81"/>
      <c r="AM229" s="81"/>
      <c r="AN229" s="81"/>
    </row>
    <row r="230" spans="1:40" ht="14.25" customHeight="1">
      <c r="A230" s="82">
        <v>51101</v>
      </c>
      <c r="B230" s="83" t="s">
        <v>263</v>
      </c>
      <c r="C230" s="83" t="s">
        <v>301</v>
      </c>
      <c r="D230" s="83" t="s">
        <v>302</v>
      </c>
      <c r="E230" s="103">
        <v>11</v>
      </c>
      <c r="F230" s="104">
        <v>865</v>
      </c>
      <c r="G230" s="84">
        <f t="shared" si="48"/>
        <v>1.1235955056179775E-2</v>
      </c>
      <c r="H230" s="85">
        <f t="shared" si="45"/>
        <v>0.12010112359550562</v>
      </c>
      <c r="I230" s="84">
        <f t="shared" si="49"/>
        <v>1.516718977398257E-2</v>
      </c>
      <c r="J230" s="86">
        <f t="shared" si="47"/>
        <v>7.7200995949571283</v>
      </c>
      <c r="K230" s="86">
        <f t="shared" si="43"/>
        <v>15.556939663570827</v>
      </c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1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  <c r="AI230" s="81"/>
      <c r="AJ230" s="81"/>
      <c r="AK230" s="81"/>
      <c r="AL230" s="81"/>
      <c r="AM230" s="81"/>
      <c r="AN230" s="81"/>
    </row>
    <row r="231" spans="1:40" ht="14.25" customHeight="1">
      <c r="A231" s="82">
        <v>51102</v>
      </c>
      <c r="B231" s="83" t="s">
        <v>263</v>
      </c>
      <c r="C231" s="83" t="s">
        <v>301</v>
      </c>
      <c r="D231" s="83" t="s">
        <v>303</v>
      </c>
      <c r="E231" s="103">
        <v>13</v>
      </c>
      <c r="F231" s="104">
        <v>887</v>
      </c>
      <c r="G231" s="84">
        <f t="shared" si="48"/>
        <v>1.3278855975485188E-2</v>
      </c>
      <c r="H231" s="85">
        <f t="shared" si="45"/>
        <v>0.14193769152196117</v>
      </c>
      <c r="I231" s="84">
        <f t="shared" si="49"/>
        <v>1.5552944889621435E-2</v>
      </c>
      <c r="J231" s="86">
        <f t="shared" si="47"/>
        <v>7.91644894881731</v>
      </c>
      <c r="K231" s="86">
        <f t="shared" si="43"/>
        <v>17.929464642498093</v>
      </c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1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  <c r="AI231" s="81"/>
      <c r="AJ231" s="81"/>
      <c r="AK231" s="81"/>
      <c r="AL231" s="81"/>
      <c r="AM231" s="81"/>
      <c r="AN231" s="81"/>
    </row>
    <row r="232" spans="1:40" ht="14.25" customHeight="1">
      <c r="A232" s="82">
        <v>51103</v>
      </c>
      <c r="B232" s="83" t="s">
        <v>263</v>
      </c>
      <c r="C232" s="83" t="s">
        <v>301</v>
      </c>
      <c r="D232" s="83" t="s">
        <v>304</v>
      </c>
      <c r="E232" s="103">
        <v>14</v>
      </c>
      <c r="F232" s="104">
        <v>1006</v>
      </c>
      <c r="G232" s="84">
        <f t="shared" si="48"/>
        <v>1.4300306435137897E-2</v>
      </c>
      <c r="H232" s="85">
        <f t="shared" si="45"/>
        <v>0.15285597548518898</v>
      </c>
      <c r="I232" s="84">
        <f t="shared" si="49"/>
        <v>1.7639529378758921E-2</v>
      </c>
      <c r="J232" s="86">
        <f t="shared" si="47"/>
        <v>8.9785204537882901</v>
      </c>
      <c r="K232" s="86">
        <f t="shared" si="43"/>
        <v>17.024628531162364</v>
      </c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1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  <c r="AI232" s="81"/>
      <c r="AJ232" s="81"/>
      <c r="AK232" s="81"/>
      <c r="AL232" s="81"/>
      <c r="AM232" s="81"/>
      <c r="AN232" s="81"/>
    </row>
    <row r="233" spans="1:40" ht="14.25" customHeight="1">
      <c r="A233" s="82">
        <v>51201</v>
      </c>
      <c r="B233" s="83" t="s">
        <v>263</v>
      </c>
      <c r="C233" s="83" t="s">
        <v>305</v>
      </c>
      <c r="D233" s="83" t="s">
        <v>306</v>
      </c>
      <c r="E233" s="103">
        <v>41</v>
      </c>
      <c r="F233" s="104">
        <v>2445</v>
      </c>
      <c r="G233" s="84">
        <f t="shared" si="48"/>
        <v>4.1879468845760978E-2</v>
      </c>
      <c r="H233" s="85">
        <f t="shared" si="45"/>
        <v>0.44764964249233907</v>
      </c>
      <c r="I233" s="84">
        <f t="shared" si="49"/>
        <v>4.2871420806228189E-2</v>
      </c>
      <c r="J233" s="86">
        <f t="shared" si="47"/>
        <v>21.82155319037015</v>
      </c>
      <c r="K233" s="86">
        <f t="shared" si="43"/>
        <v>20.514105416194059</v>
      </c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1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  <c r="AI233" s="81"/>
      <c r="AJ233" s="81"/>
      <c r="AK233" s="81"/>
      <c r="AL233" s="81"/>
      <c r="AM233" s="81"/>
      <c r="AN233" s="81"/>
    </row>
    <row r="234" spans="1:40" ht="14.25" customHeight="1">
      <c r="A234" s="82">
        <v>51202</v>
      </c>
      <c r="B234" s="83" t="s">
        <v>263</v>
      </c>
      <c r="C234" s="83" t="s">
        <v>305</v>
      </c>
      <c r="D234" s="83" t="s">
        <v>307</v>
      </c>
      <c r="E234" s="103">
        <v>8</v>
      </c>
      <c r="F234" s="104">
        <v>461</v>
      </c>
      <c r="G234" s="84">
        <f t="shared" si="48"/>
        <v>8.171603677221655E-3</v>
      </c>
      <c r="H234" s="85">
        <f t="shared" si="45"/>
        <v>8.7346271705822265E-2</v>
      </c>
      <c r="I234" s="84">
        <f t="shared" si="49"/>
        <v>8.0833231049779949E-3</v>
      </c>
      <c r="J234" s="86">
        <f t="shared" si="47"/>
        <v>4.1144114604337991</v>
      </c>
      <c r="K234" s="86">
        <f t="shared" si="43"/>
        <v>21.229347756243364</v>
      </c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1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  <c r="AI234" s="81"/>
      <c r="AJ234" s="81"/>
      <c r="AK234" s="81"/>
      <c r="AL234" s="81"/>
      <c r="AM234" s="81"/>
      <c r="AN234" s="81"/>
    </row>
    <row r="235" spans="1:40" ht="14.25" customHeight="1">
      <c r="A235" s="82">
        <v>51203</v>
      </c>
      <c r="B235" s="83" t="s">
        <v>263</v>
      </c>
      <c r="C235" s="83" t="s">
        <v>305</v>
      </c>
      <c r="D235" s="83" t="s">
        <v>308</v>
      </c>
      <c r="E235" s="103">
        <v>13</v>
      </c>
      <c r="F235" s="104">
        <v>1230</v>
      </c>
      <c r="G235" s="84">
        <f t="shared" si="48"/>
        <v>1.3278855975485188E-2</v>
      </c>
      <c r="H235" s="85">
        <f t="shared" si="45"/>
        <v>0.14193769152196117</v>
      </c>
      <c r="I235" s="84">
        <f t="shared" si="49"/>
        <v>2.1567217828900073E-2</v>
      </c>
      <c r="J235" s="86">
        <f t="shared" si="47"/>
        <v>10.977713874910137</v>
      </c>
      <c r="K235" s="86">
        <f t="shared" si="43"/>
        <v>12.929622063329926</v>
      </c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1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  <c r="AI235" s="81"/>
      <c r="AJ235" s="81"/>
      <c r="AK235" s="81"/>
      <c r="AL235" s="81"/>
      <c r="AM235" s="81"/>
      <c r="AN235" s="81"/>
    </row>
    <row r="236" spans="1:40" ht="14.25" customHeight="1">
      <c r="A236" s="98">
        <v>51204</v>
      </c>
      <c r="B236" s="83" t="s">
        <v>263</v>
      </c>
      <c r="C236" s="83"/>
      <c r="D236" s="83" t="s">
        <v>309</v>
      </c>
      <c r="E236" s="103">
        <v>10</v>
      </c>
      <c r="F236" s="104">
        <v>363</v>
      </c>
      <c r="G236" s="84">
        <f t="shared" si="48"/>
        <v>1.0214504596527068E-2</v>
      </c>
      <c r="H236" s="85">
        <f t="shared" si="45"/>
        <v>0.10918283963227783</v>
      </c>
      <c r="I236" s="84">
        <f t="shared" si="49"/>
        <v>6.3649594080412404E-3</v>
      </c>
      <c r="J236" s="86">
        <f t="shared" si="47"/>
        <v>3.2397643386929915</v>
      </c>
      <c r="K236" s="86">
        <f t="shared" si="43"/>
        <v>33.700858524890471</v>
      </c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1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  <c r="AI236" s="81"/>
      <c r="AJ236" s="81"/>
      <c r="AK236" s="81"/>
      <c r="AL236" s="81"/>
      <c r="AM236" s="81"/>
      <c r="AN236" s="81"/>
    </row>
    <row r="237" spans="1:40" ht="14.25" customHeight="1">
      <c r="A237" s="82">
        <v>51301</v>
      </c>
      <c r="B237" s="83" t="s">
        <v>263</v>
      </c>
      <c r="C237" s="83" t="s">
        <v>310</v>
      </c>
      <c r="D237" s="83" t="s">
        <v>311</v>
      </c>
      <c r="E237" s="103">
        <v>5</v>
      </c>
      <c r="F237" s="104">
        <v>228</v>
      </c>
      <c r="G237" s="84">
        <f t="shared" si="48"/>
        <v>5.1072522982635342E-3</v>
      </c>
      <c r="H237" s="85">
        <f t="shared" si="45"/>
        <v>5.4591419816138916E-2</v>
      </c>
      <c r="I237" s="84">
        <f t="shared" si="49"/>
        <v>3.9978257438936715E-3</v>
      </c>
      <c r="J237" s="86">
        <f t="shared" si="47"/>
        <v>2.0348933036418786</v>
      </c>
      <c r="K237" s="86">
        <f t="shared" si="43"/>
        <v>26.827657115208865</v>
      </c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1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  <c r="AI237" s="81"/>
      <c r="AJ237" s="81"/>
      <c r="AK237" s="81"/>
      <c r="AL237" s="81"/>
      <c r="AM237" s="81"/>
      <c r="AN237" s="81"/>
    </row>
    <row r="238" spans="1:40" ht="14.25" customHeight="1">
      <c r="A238" s="82">
        <v>51302</v>
      </c>
      <c r="B238" s="83" t="s">
        <v>263</v>
      </c>
      <c r="C238" s="83" t="s">
        <v>310</v>
      </c>
      <c r="D238" s="83" t="s">
        <v>312</v>
      </c>
      <c r="E238" s="103">
        <v>8</v>
      </c>
      <c r="F238" s="104">
        <v>265</v>
      </c>
      <c r="G238" s="84">
        <f t="shared" si="48"/>
        <v>8.171603677221655E-3</v>
      </c>
      <c r="H238" s="85">
        <f t="shared" si="45"/>
        <v>8.7346271705822265E-2</v>
      </c>
      <c r="I238" s="84">
        <f t="shared" si="49"/>
        <v>4.6465957111044868E-3</v>
      </c>
      <c r="J238" s="86">
        <f t="shared" si="47"/>
        <v>2.3651172169521839</v>
      </c>
      <c r="K238" s="86">
        <f t="shared" si="43"/>
        <v>36.931054021238459</v>
      </c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1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  <c r="AI238" s="81"/>
      <c r="AJ238" s="81"/>
      <c r="AK238" s="81"/>
      <c r="AL238" s="81"/>
      <c r="AM238" s="81"/>
      <c r="AN238" s="81"/>
    </row>
    <row r="239" spans="1:40" ht="14.25" customHeight="1">
      <c r="A239" s="82">
        <v>51401</v>
      </c>
      <c r="B239" s="83" t="s">
        <v>263</v>
      </c>
      <c r="C239" s="83" t="s">
        <v>313</v>
      </c>
      <c r="D239" s="83" t="s">
        <v>314</v>
      </c>
      <c r="E239" s="103">
        <v>8</v>
      </c>
      <c r="F239" s="104">
        <v>285</v>
      </c>
      <c r="G239" s="84">
        <f t="shared" si="48"/>
        <v>8.171603677221655E-3</v>
      </c>
      <c r="H239" s="85">
        <f t="shared" si="45"/>
        <v>8.7346271705822265E-2</v>
      </c>
      <c r="I239" s="84">
        <f t="shared" si="49"/>
        <v>4.9972821798670896E-3</v>
      </c>
      <c r="J239" s="86">
        <f t="shared" si="47"/>
        <v>2.5436166295523486</v>
      </c>
      <c r="K239" s="86">
        <f t="shared" si="43"/>
        <v>34.339401107467339</v>
      </c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1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  <c r="AI239" s="81"/>
      <c r="AJ239" s="81"/>
      <c r="AK239" s="81"/>
      <c r="AL239" s="81"/>
      <c r="AM239" s="81"/>
      <c r="AN239" s="81"/>
    </row>
    <row r="240" spans="1:40" ht="14.25" customHeight="1">
      <c r="A240" s="82">
        <v>51402</v>
      </c>
      <c r="B240" s="83" t="s">
        <v>263</v>
      </c>
      <c r="C240" s="83" t="s">
        <v>313</v>
      </c>
      <c r="D240" s="83" t="s">
        <v>315</v>
      </c>
      <c r="E240" s="103">
        <v>0</v>
      </c>
      <c r="F240" s="104">
        <v>84</v>
      </c>
      <c r="G240" s="84">
        <f t="shared" si="48"/>
        <v>0</v>
      </c>
      <c r="H240" s="85">
        <f t="shared" si="45"/>
        <v>0</v>
      </c>
      <c r="I240" s="84">
        <f t="shared" si="49"/>
        <v>1.4728831688029318E-3</v>
      </c>
      <c r="J240" s="86">
        <f t="shared" si="47"/>
        <v>0.7496975329206923</v>
      </c>
      <c r="K240" s="86">
        <f t="shared" si="43"/>
        <v>0</v>
      </c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1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  <c r="AI240" s="81"/>
      <c r="AJ240" s="81"/>
      <c r="AK240" s="81"/>
      <c r="AL240" s="81"/>
      <c r="AM240" s="81"/>
      <c r="AN240" s="81"/>
    </row>
    <row r="241" spans="1:40" ht="14.25" customHeight="1">
      <c r="A241" s="82">
        <v>51501</v>
      </c>
      <c r="B241" s="83" t="s">
        <v>263</v>
      </c>
      <c r="C241" s="83" t="s">
        <v>316</v>
      </c>
      <c r="D241" s="83" t="s">
        <v>317</v>
      </c>
      <c r="E241" s="103">
        <v>37</v>
      </c>
      <c r="F241" s="104">
        <v>2994</v>
      </c>
      <c r="G241" s="84">
        <f t="shared" si="48"/>
        <v>3.7793667007150152E-2</v>
      </c>
      <c r="H241" s="85">
        <f t="shared" si="45"/>
        <v>0.40397650663942797</v>
      </c>
      <c r="I241" s="84">
        <f t="shared" si="49"/>
        <v>5.2497764373761635E-2</v>
      </c>
      <c r="J241" s="86">
        <f t="shared" si="47"/>
        <v>26.721362066244673</v>
      </c>
      <c r="K241" s="86">
        <f t="shared" si="43"/>
        <v>15.11811058275898</v>
      </c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1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  <c r="AI241" s="81"/>
      <c r="AJ241" s="81"/>
      <c r="AK241" s="81"/>
      <c r="AL241" s="81"/>
      <c r="AM241" s="81"/>
      <c r="AN241" s="81"/>
    </row>
    <row r="242" spans="1:40" ht="14.25" customHeight="1">
      <c r="A242" s="82">
        <v>51601</v>
      </c>
      <c r="B242" s="83" t="s">
        <v>263</v>
      </c>
      <c r="C242" s="83" t="s">
        <v>318</v>
      </c>
      <c r="D242" s="83" t="s">
        <v>319</v>
      </c>
      <c r="E242" s="103">
        <v>2</v>
      </c>
      <c r="F242" s="104">
        <v>128</v>
      </c>
      <c r="G242" s="84">
        <f t="shared" si="48"/>
        <v>2.0429009193054137E-3</v>
      </c>
      <c r="H242" s="85">
        <f t="shared" si="45"/>
        <v>2.1836567926455566E-2</v>
      </c>
      <c r="I242" s="84">
        <f t="shared" si="49"/>
        <v>2.2443934000806577E-3</v>
      </c>
      <c r="J242" s="86">
        <f t="shared" si="47"/>
        <v>1.1423962406410548</v>
      </c>
      <c r="K242" s="86">
        <f t="shared" si="43"/>
        <v>19.114705694586313</v>
      </c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1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  <c r="AI242" s="81"/>
      <c r="AJ242" s="81"/>
      <c r="AK242" s="81"/>
      <c r="AL242" s="81"/>
      <c r="AM242" s="81"/>
      <c r="AN242" s="81"/>
    </row>
    <row r="243" spans="1:40" ht="14.25" customHeight="1">
      <c r="A243" s="82">
        <v>60101</v>
      </c>
      <c r="B243" s="83" t="s">
        <v>25</v>
      </c>
      <c r="C243" s="83" t="s">
        <v>164</v>
      </c>
      <c r="D243" s="83" t="s">
        <v>25</v>
      </c>
      <c r="E243" s="103">
        <v>71</v>
      </c>
      <c r="F243" s="104">
        <v>13085</v>
      </c>
      <c r="G243" s="84">
        <f>E243/$R$7</f>
        <v>0.35323383084577115</v>
      </c>
      <c r="H243" s="85">
        <f>$S$22*G243</f>
        <v>2.6333582089552241</v>
      </c>
      <c r="I243" s="84">
        <f>F243/$S$7</f>
        <v>0.41477795035978066</v>
      </c>
      <c r="J243" s="86">
        <f>I243*$U$22</f>
        <v>147.24617237772213</v>
      </c>
      <c r="K243" s="86">
        <f>1000*H243/J243</f>
        <v>17.884052036341032</v>
      </c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1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  <c r="AI243" s="81"/>
      <c r="AJ243" s="81"/>
      <c r="AK243" s="81"/>
      <c r="AL243" s="81"/>
      <c r="AM243" s="81"/>
      <c r="AN243" s="81"/>
    </row>
    <row r="244" spans="1:40" ht="14.25" customHeight="1">
      <c r="A244" s="82">
        <v>60201</v>
      </c>
      <c r="B244" s="83" t="s">
        <v>25</v>
      </c>
      <c r="C244" s="83" t="s">
        <v>320</v>
      </c>
      <c r="D244" s="83" t="s">
        <v>321</v>
      </c>
      <c r="E244" s="103">
        <v>6</v>
      </c>
      <c r="F244" s="104">
        <v>1004</v>
      </c>
      <c r="G244" s="84">
        <f t="shared" ref="G244:G253" si="50">E244/$R$7</f>
        <v>2.9850746268656716E-2</v>
      </c>
      <c r="H244" s="85">
        <f t="shared" ref="H244:H253" si="51">$S$22*G244</f>
        <v>0.22253731343283581</v>
      </c>
      <c r="I244" s="84">
        <f t="shared" ref="I244:I253" si="52">F244/$S$7</f>
        <v>3.1825530161346559E-2</v>
      </c>
      <c r="J244" s="86">
        <f t="shared" ref="J244:J253" si="53">I244*$U$22</f>
        <v>11.298063207278028</v>
      </c>
      <c r="K244" s="86">
        <f t="shared" ref="K244:K307" si="54">1000*H244/J244</f>
        <v>19.696943569007555</v>
      </c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1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  <c r="AI244" s="81"/>
      <c r="AJ244" s="81"/>
      <c r="AK244" s="81"/>
      <c r="AL244" s="81"/>
      <c r="AM244" s="81"/>
      <c r="AN244" s="81"/>
    </row>
    <row r="245" spans="1:40" ht="14.25" customHeight="1">
      <c r="A245" s="82">
        <v>60202</v>
      </c>
      <c r="B245" s="83" t="s">
        <v>25</v>
      </c>
      <c r="C245" s="83" t="s">
        <v>320</v>
      </c>
      <c r="D245" s="83" t="s">
        <v>322</v>
      </c>
      <c r="E245" s="103">
        <v>10</v>
      </c>
      <c r="F245" s="104">
        <v>2256</v>
      </c>
      <c r="G245" s="84">
        <f t="shared" si="50"/>
        <v>4.975124378109453E-2</v>
      </c>
      <c r="H245" s="85">
        <f t="shared" si="51"/>
        <v>0.37089552238805973</v>
      </c>
      <c r="I245" s="84">
        <f t="shared" si="52"/>
        <v>7.1512346657368372E-2</v>
      </c>
      <c r="J245" s="86">
        <f t="shared" si="53"/>
        <v>25.386883063365772</v>
      </c>
      <c r="K245" s="86">
        <f t="shared" si="54"/>
        <v>14.609730602307611</v>
      </c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1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  <c r="AI245" s="81"/>
      <c r="AJ245" s="81"/>
      <c r="AK245" s="81"/>
      <c r="AL245" s="81"/>
      <c r="AM245" s="81"/>
      <c r="AN245" s="81"/>
    </row>
    <row r="246" spans="1:40" ht="14.25" customHeight="1">
      <c r="A246" s="82">
        <v>60301</v>
      </c>
      <c r="B246" s="83" t="s">
        <v>25</v>
      </c>
      <c r="C246" s="83" t="s">
        <v>323</v>
      </c>
      <c r="D246" s="83" t="s">
        <v>324</v>
      </c>
      <c r="E246" s="103">
        <v>61</v>
      </c>
      <c r="F246" s="104">
        <v>6224</v>
      </c>
      <c r="G246" s="84">
        <f t="shared" si="50"/>
        <v>0.30348258706467662</v>
      </c>
      <c r="H246" s="85">
        <f t="shared" si="51"/>
        <v>2.2624626865671642</v>
      </c>
      <c r="I246" s="84">
        <f t="shared" si="52"/>
        <v>0.19729292801217233</v>
      </c>
      <c r="J246" s="86">
        <f t="shared" si="53"/>
        <v>70.038989444321174</v>
      </c>
      <c r="K246" s="86">
        <f t="shared" si="54"/>
        <v>32.302903061811769</v>
      </c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1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  <c r="AI246" s="81"/>
      <c r="AJ246" s="81"/>
      <c r="AK246" s="81"/>
      <c r="AL246" s="81"/>
      <c r="AM246" s="81"/>
      <c r="AN246" s="81"/>
    </row>
    <row r="247" spans="1:40" ht="14.25" customHeight="1">
      <c r="A247" s="82">
        <v>60302</v>
      </c>
      <c r="B247" s="83" t="s">
        <v>25</v>
      </c>
      <c r="C247" s="83" t="s">
        <v>323</v>
      </c>
      <c r="D247" s="83" t="s">
        <v>325</v>
      </c>
      <c r="E247" s="103">
        <v>7</v>
      </c>
      <c r="F247" s="104">
        <v>1074</v>
      </c>
      <c r="G247" s="84">
        <f t="shared" si="50"/>
        <v>3.482587064676617E-2</v>
      </c>
      <c r="H247" s="85">
        <f t="shared" si="51"/>
        <v>0.25962686567164178</v>
      </c>
      <c r="I247" s="84">
        <f t="shared" si="52"/>
        <v>3.4044441626779089E-2</v>
      </c>
      <c r="J247" s="86">
        <f t="shared" si="53"/>
        <v>12.085776777506576</v>
      </c>
      <c r="K247" s="86">
        <f t="shared" si="54"/>
        <v>21.482017287862366</v>
      </c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1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  <c r="AI247" s="81"/>
      <c r="AJ247" s="81"/>
      <c r="AK247" s="81"/>
      <c r="AL247" s="81"/>
      <c r="AM247" s="81"/>
      <c r="AN247" s="81"/>
    </row>
    <row r="248" spans="1:40" ht="14.25" customHeight="1">
      <c r="A248" s="82">
        <v>60303</v>
      </c>
      <c r="B248" s="83" t="s">
        <v>25</v>
      </c>
      <c r="C248" s="83" t="s">
        <v>323</v>
      </c>
      <c r="D248" s="83" t="s">
        <v>326</v>
      </c>
      <c r="E248" s="103">
        <v>17</v>
      </c>
      <c r="F248" s="104">
        <v>3031</v>
      </c>
      <c r="G248" s="84">
        <f t="shared" si="50"/>
        <v>8.45771144278607E-2</v>
      </c>
      <c r="H248" s="85">
        <f t="shared" si="51"/>
        <v>0.63052238805970151</v>
      </c>
      <c r="I248" s="84">
        <f t="shared" si="52"/>
        <v>9.6078866453228523E-2</v>
      </c>
      <c r="J248" s="86">
        <f t="shared" si="53"/>
        <v>34.107997590896126</v>
      </c>
      <c r="K248" s="86">
        <f t="shared" si="54"/>
        <v>18.486057012857191</v>
      </c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1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  <c r="AI248" s="81"/>
      <c r="AJ248" s="81"/>
      <c r="AK248" s="81"/>
      <c r="AL248" s="81"/>
      <c r="AM248" s="81"/>
      <c r="AN248" s="81"/>
    </row>
    <row r="249" spans="1:40" ht="14.25" customHeight="1">
      <c r="A249" s="82">
        <v>60401</v>
      </c>
      <c r="B249" s="83" t="s">
        <v>25</v>
      </c>
      <c r="C249" s="83" t="s">
        <v>327</v>
      </c>
      <c r="D249" s="83" t="s">
        <v>328</v>
      </c>
      <c r="E249" s="103">
        <v>5</v>
      </c>
      <c r="F249" s="104">
        <v>964</v>
      </c>
      <c r="G249" s="84">
        <f t="shared" si="50"/>
        <v>2.4875621890547265E-2</v>
      </c>
      <c r="H249" s="85">
        <f t="shared" si="51"/>
        <v>0.18544776119402986</v>
      </c>
      <c r="I249" s="84">
        <f t="shared" si="52"/>
        <v>3.0557580752527975E-2</v>
      </c>
      <c r="J249" s="86">
        <f t="shared" si="53"/>
        <v>10.847941167147431</v>
      </c>
      <c r="K249" s="86">
        <f t="shared" si="54"/>
        <v>17.095203443364092</v>
      </c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1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  <c r="AI249" s="81"/>
      <c r="AJ249" s="81"/>
      <c r="AK249" s="81"/>
      <c r="AL249" s="81"/>
      <c r="AM249" s="81"/>
      <c r="AN249" s="81"/>
    </row>
    <row r="250" spans="1:40" ht="14.25" customHeight="1">
      <c r="A250" s="82">
        <v>60402</v>
      </c>
      <c r="B250" s="83" t="s">
        <v>25</v>
      </c>
      <c r="C250" s="83" t="s">
        <v>327</v>
      </c>
      <c r="D250" s="83" t="s">
        <v>329</v>
      </c>
      <c r="E250" s="103">
        <v>2</v>
      </c>
      <c r="F250" s="104">
        <v>311</v>
      </c>
      <c r="G250" s="84">
        <f t="shared" si="50"/>
        <v>9.9502487562189053E-3</v>
      </c>
      <c r="H250" s="85">
        <f t="shared" si="51"/>
        <v>7.4179104477611946E-2</v>
      </c>
      <c r="I250" s="84">
        <f t="shared" si="52"/>
        <v>9.8583066535645227E-3</v>
      </c>
      <c r="J250" s="86">
        <f t="shared" si="53"/>
        <v>3.4996988620154057</v>
      </c>
      <c r="K250" s="86">
        <f t="shared" si="54"/>
        <v>21.195853529778759</v>
      </c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1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  <c r="AI250" s="81"/>
      <c r="AJ250" s="81"/>
      <c r="AK250" s="81"/>
      <c r="AL250" s="81"/>
      <c r="AM250" s="81"/>
      <c r="AN250" s="81"/>
    </row>
    <row r="251" spans="1:40" ht="14.25" customHeight="1">
      <c r="A251" s="82">
        <v>60501</v>
      </c>
      <c r="B251" s="83" t="s">
        <v>25</v>
      </c>
      <c r="C251" s="83" t="s">
        <v>330</v>
      </c>
      <c r="D251" s="83" t="s">
        <v>331</v>
      </c>
      <c r="E251" s="103">
        <v>8</v>
      </c>
      <c r="F251" s="104">
        <v>1741</v>
      </c>
      <c r="G251" s="84">
        <f t="shared" si="50"/>
        <v>3.9800995024875621E-2</v>
      </c>
      <c r="H251" s="85">
        <f t="shared" si="51"/>
        <v>0.29671641791044778</v>
      </c>
      <c r="I251" s="84">
        <f t="shared" si="52"/>
        <v>5.5187498018829051E-2</v>
      </c>
      <c r="J251" s="86">
        <f t="shared" si="53"/>
        <v>19.591561796684314</v>
      </c>
      <c r="K251" s="86">
        <f t="shared" si="54"/>
        <v>15.145113033339905</v>
      </c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1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  <c r="AI251" s="81"/>
      <c r="AJ251" s="81"/>
      <c r="AK251" s="81"/>
      <c r="AL251" s="81"/>
      <c r="AM251" s="81"/>
      <c r="AN251" s="81"/>
    </row>
    <row r="252" spans="1:40" ht="14.25" customHeight="1">
      <c r="A252" s="82">
        <v>60502</v>
      </c>
      <c r="B252" s="83" t="s">
        <v>25</v>
      </c>
      <c r="C252" s="83" t="s">
        <v>330</v>
      </c>
      <c r="D252" s="83" t="s">
        <v>332</v>
      </c>
      <c r="E252" s="103">
        <v>5</v>
      </c>
      <c r="F252" s="104">
        <v>561</v>
      </c>
      <c r="G252" s="84">
        <f t="shared" si="50"/>
        <v>2.4875621890547265E-2</v>
      </c>
      <c r="H252" s="85">
        <f t="shared" si="51"/>
        <v>0.18544776119402986</v>
      </c>
      <c r="I252" s="84">
        <f t="shared" si="52"/>
        <v>1.77829904586807E-2</v>
      </c>
      <c r="J252" s="86">
        <f t="shared" si="53"/>
        <v>6.3129616128316481</v>
      </c>
      <c r="K252" s="86">
        <f t="shared" si="54"/>
        <v>29.375715007848459</v>
      </c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1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  <c r="AI252" s="81"/>
      <c r="AJ252" s="81"/>
      <c r="AK252" s="81"/>
      <c r="AL252" s="81"/>
      <c r="AM252" s="81"/>
      <c r="AN252" s="81"/>
    </row>
    <row r="253" spans="1:40" ht="14.25" customHeight="1">
      <c r="A253" s="82">
        <v>60601</v>
      </c>
      <c r="B253" s="83" t="s">
        <v>25</v>
      </c>
      <c r="C253" s="83" t="s">
        <v>333</v>
      </c>
      <c r="D253" s="83" t="s">
        <v>205</v>
      </c>
      <c r="E253" s="103">
        <v>9</v>
      </c>
      <c r="F253" s="104">
        <v>1296</v>
      </c>
      <c r="G253" s="84">
        <f t="shared" si="50"/>
        <v>4.4776119402985072E-2</v>
      </c>
      <c r="H253" s="85">
        <f t="shared" si="51"/>
        <v>0.33380597014925373</v>
      </c>
      <c r="I253" s="84">
        <f t="shared" si="52"/>
        <v>4.1081560845722252E-2</v>
      </c>
      <c r="J253" s="86">
        <f t="shared" si="53"/>
        <v>14.5839541002314</v>
      </c>
      <c r="K253" s="86">
        <f t="shared" si="54"/>
        <v>22.888577943615257</v>
      </c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1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  <c r="AI253" s="81"/>
      <c r="AJ253" s="81"/>
      <c r="AK253" s="81"/>
      <c r="AL253" s="81"/>
      <c r="AM253" s="81"/>
      <c r="AN253" s="81"/>
    </row>
    <row r="254" spans="1:40" ht="14.25" customHeight="1">
      <c r="A254" s="82">
        <v>70101</v>
      </c>
      <c r="B254" s="83" t="s">
        <v>27</v>
      </c>
      <c r="C254" s="83" t="s">
        <v>334</v>
      </c>
      <c r="D254" s="83" t="s">
        <v>335</v>
      </c>
      <c r="E254" s="103">
        <v>596</v>
      </c>
      <c r="F254" s="104">
        <v>100340</v>
      </c>
      <c r="G254" s="84">
        <f>E254/$R$8</f>
        <v>0.36541998773758433</v>
      </c>
      <c r="H254" s="85">
        <f>$S$23*G254</f>
        <v>4.5757890864500315</v>
      </c>
      <c r="I254" s="84">
        <f>F254/$S$8</f>
        <v>0.47646634250113962</v>
      </c>
      <c r="J254" s="86">
        <f>I254*$U$23</f>
        <v>994.38525679987833</v>
      </c>
      <c r="K254" s="86">
        <f t="shared" si="54"/>
        <v>4.6016260349392093</v>
      </c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1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  <c r="AI254" s="81"/>
      <c r="AJ254" s="81"/>
      <c r="AK254" s="81"/>
      <c r="AL254" s="81"/>
      <c r="AM254" s="81"/>
      <c r="AN254" s="81"/>
    </row>
    <row r="255" spans="1:40" ht="14.25" customHeight="1">
      <c r="A255" s="82">
        <v>70102</v>
      </c>
      <c r="B255" s="83" t="s">
        <v>27</v>
      </c>
      <c r="C255" s="83" t="s">
        <v>334</v>
      </c>
      <c r="D255" s="83" t="s">
        <v>336</v>
      </c>
      <c r="E255" s="103">
        <v>58</v>
      </c>
      <c r="F255" s="104">
        <v>8168</v>
      </c>
      <c r="G255" s="84">
        <f t="shared" ref="G255:G279" si="55">E255/$R$8</f>
        <v>3.5561005518087066E-2</v>
      </c>
      <c r="H255" s="85">
        <f t="shared" ref="H255:H309" si="56">$S$23*G255</f>
        <v>0.44529491109748626</v>
      </c>
      <c r="I255" s="84">
        <f t="shared" ref="I255:I279" si="57">F255/$S$8</f>
        <v>3.8785898799574531E-2</v>
      </c>
      <c r="J255" s="86">
        <f t="shared" ref="J255:J309" si="58">I255*$U$23</f>
        <v>80.946170794712046</v>
      </c>
      <c r="K255" s="86">
        <f t="shared" si="54"/>
        <v>5.5011238546021</v>
      </c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1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  <c r="AI255" s="81"/>
      <c r="AJ255" s="81"/>
      <c r="AK255" s="81"/>
      <c r="AL255" s="81"/>
      <c r="AM255" s="81"/>
      <c r="AN255" s="81"/>
    </row>
    <row r="256" spans="1:40" ht="14.25" customHeight="1">
      <c r="A256" s="82">
        <v>70103</v>
      </c>
      <c r="B256" s="83" t="s">
        <v>27</v>
      </c>
      <c r="C256" s="83" t="s">
        <v>334</v>
      </c>
      <c r="D256" s="83" t="s">
        <v>337</v>
      </c>
      <c r="E256" s="103">
        <v>9</v>
      </c>
      <c r="F256" s="104">
        <v>1394</v>
      </c>
      <c r="G256" s="84">
        <f t="shared" si="55"/>
        <v>5.5180870631514412E-3</v>
      </c>
      <c r="H256" s="85">
        <f t="shared" si="56"/>
        <v>6.9097486204782343E-2</v>
      </c>
      <c r="I256" s="84">
        <f t="shared" si="57"/>
        <v>6.6194347363622546E-3</v>
      </c>
      <c r="J256" s="86">
        <f t="shared" si="58"/>
        <v>13.814760294788025</v>
      </c>
      <c r="K256" s="86">
        <f t="shared" si="54"/>
        <v>5.0017144510897635</v>
      </c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1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  <c r="AI256" s="81"/>
      <c r="AJ256" s="81"/>
      <c r="AK256" s="81"/>
      <c r="AL256" s="81"/>
      <c r="AM256" s="81"/>
      <c r="AN256" s="81"/>
    </row>
    <row r="257" spans="1:40" ht="14.25" customHeight="1">
      <c r="A257" s="82">
        <v>70104</v>
      </c>
      <c r="B257" s="83" t="s">
        <v>27</v>
      </c>
      <c r="C257" s="83" t="s">
        <v>334</v>
      </c>
      <c r="D257" s="83" t="s">
        <v>338</v>
      </c>
      <c r="E257" s="103">
        <v>62</v>
      </c>
      <c r="F257" s="104">
        <v>10727</v>
      </c>
      <c r="G257" s="84">
        <f t="shared" si="55"/>
        <v>3.8013488657265483E-2</v>
      </c>
      <c r="H257" s="85">
        <f t="shared" si="56"/>
        <v>0.4760049049662784</v>
      </c>
      <c r="I257" s="84">
        <f t="shared" si="57"/>
        <v>5.093735754444613E-2</v>
      </c>
      <c r="J257" s="86">
        <f t="shared" si="58"/>
        <v>106.30626519525907</v>
      </c>
      <c r="K257" s="86">
        <f t="shared" si="54"/>
        <v>4.4776749901990414</v>
      </c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1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  <c r="AI257" s="81"/>
      <c r="AJ257" s="81"/>
      <c r="AK257" s="81"/>
      <c r="AL257" s="81"/>
      <c r="AM257" s="81"/>
      <c r="AN257" s="81"/>
    </row>
    <row r="258" spans="1:40" ht="14.25" customHeight="1">
      <c r="A258" s="82">
        <v>70105</v>
      </c>
      <c r="B258" s="83" t="s">
        <v>27</v>
      </c>
      <c r="C258" s="83" t="s">
        <v>334</v>
      </c>
      <c r="D258" s="83" t="s">
        <v>339</v>
      </c>
      <c r="E258" s="103">
        <v>29</v>
      </c>
      <c r="F258" s="104">
        <v>3804</v>
      </c>
      <c r="G258" s="84">
        <f t="shared" si="55"/>
        <v>1.7780502759043533E-2</v>
      </c>
      <c r="H258" s="85">
        <f t="shared" si="56"/>
        <v>0.22264745554874313</v>
      </c>
      <c r="I258" s="84">
        <f t="shared" si="57"/>
        <v>1.8063364230360129E-2</v>
      </c>
      <c r="J258" s="86">
        <f t="shared" si="58"/>
        <v>37.698241148761589</v>
      </c>
      <c r="K258" s="86">
        <f t="shared" si="54"/>
        <v>5.9060435915339049</v>
      </c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1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  <c r="AI258" s="81"/>
      <c r="AJ258" s="81"/>
      <c r="AK258" s="81"/>
      <c r="AL258" s="81"/>
      <c r="AM258" s="81"/>
      <c r="AN258" s="81"/>
    </row>
    <row r="259" spans="1:40" ht="14.25" customHeight="1">
      <c r="A259" s="82">
        <v>70201</v>
      </c>
      <c r="B259" s="83" t="s">
        <v>27</v>
      </c>
      <c r="C259" s="83" t="s">
        <v>340</v>
      </c>
      <c r="D259" s="83" t="s">
        <v>340</v>
      </c>
      <c r="E259" s="103">
        <v>89</v>
      </c>
      <c r="F259" s="104">
        <v>11147</v>
      </c>
      <c r="G259" s="84">
        <f t="shared" si="55"/>
        <v>5.4567749846719804E-2</v>
      </c>
      <c r="H259" s="85">
        <f t="shared" si="56"/>
        <v>0.68329736358062543</v>
      </c>
      <c r="I259" s="84">
        <f t="shared" si="57"/>
        <v>5.2931735298586843E-2</v>
      </c>
      <c r="J259" s="86">
        <f t="shared" si="58"/>
        <v>110.46853156815074</v>
      </c>
      <c r="K259" s="86">
        <f t="shared" si="54"/>
        <v>6.1854480536756533</v>
      </c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1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  <c r="AI259" s="81"/>
      <c r="AJ259" s="81"/>
      <c r="AK259" s="81"/>
      <c r="AL259" s="81"/>
      <c r="AM259" s="81"/>
      <c r="AN259" s="81"/>
    </row>
    <row r="260" spans="1:40" ht="14.25" customHeight="1">
      <c r="A260" s="82">
        <v>70202</v>
      </c>
      <c r="B260" s="83" t="s">
        <v>27</v>
      </c>
      <c r="C260" s="83" t="s">
        <v>340</v>
      </c>
      <c r="D260" s="83" t="s">
        <v>341</v>
      </c>
      <c r="E260" s="103">
        <v>7</v>
      </c>
      <c r="F260" s="104">
        <v>737</v>
      </c>
      <c r="G260" s="84">
        <f t="shared" si="55"/>
        <v>4.2918454935622317E-3</v>
      </c>
      <c r="H260" s="85">
        <f t="shared" si="56"/>
        <v>5.3742489270386266E-2</v>
      </c>
      <c r="I260" s="84">
        <f t="shared" si="57"/>
        <v>3.4996581066707188E-3</v>
      </c>
      <c r="J260" s="86">
        <f t="shared" si="58"/>
        <v>7.3037864686217899</v>
      </c>
      <c r="K260" s="86">
        <f t="shared" si="54"/>
        <v>7.3581681914267909</v>
      </c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1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  <c r="AI260" s="81"/>
      <c r="AJ260" s="81"/>
      <c r="AK260" s="81"/>
      <c r="AL260" s="81"/>
      <c r="AM260" s="81"/>
      <c r="AN260" s="81"/>
    </row>
    <row r="261" spans="1:40" ht="14.25" customHeight="1">
      <c r="A261" s="82">
        <v>70301</v>
      </c>
      <c r="B261" s="83" t="s">
        <v>27</v>
      </c>
      <c r="C261" s="83" t="s">
        <v>342</v>
      </c>
      <c r="D261" s="83" t="s">
        <v>343</v>
      </c>
      <c r="E261" s="103">
        <v>64</v>
      </c>
      <c r="F261" s="104">
        <v>5551</v>
      </c>
      <c r="G261" s="84">
        <f t="shared" si="55"/>
        <v>3.9239730226854688E-2</v>
      </c>
      <c r="H261" s="85">
        <f t="shared" si="56"/>
        <v>0.49135990190067441</v>
      </c>
      <c r="I261" s="84">
        <f t="shared" si="57"/>
        <v>2.6359025983893024E-2</v>
      </c>
      <c r="J261" s="86">
        <f t="shared" si="58"/>
        <v>55.011287228384738</v>
      </c>
      <c r="K261" s="86">
        <f t="shared" si="54"/>
        <v>8.9319833557201758</v>
      </c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1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  <c r="AI261" s="81"/>
      <c r="AJ261" s="81"/>
      <c r="AK261" s="81"/>
      <c r="AL261" s="81"/>
      <c r="AM261" s="81"/>
      <c r="AN261" s="81"/>
    </row>
    <row r="262" spans="1:40" ht="14.25" customHeight="1">
      <c r="A262" s="82">
        <v>70302</v>
      </c>
      <c r="B262" s="83" t="s">
        <v>27</v>
      </c>
      <c r="C262" s="83" t="s">
        <v>342</v>
      </c>
      <c r="D262" s="83" t="s">
        <v>344</v>
      </c>
      <c r="E262" s="103">
        <v>21</v>
      </c>
      <c r="F262" s="104">
        <v>991</v>
      </c>
      <c r="G262" s="84">
        <f t="shared" si="55"/>
        <v>1.2875536480686695E-2</v>
      </c>
      <c r="H262" s="85">
        <f t="shared" si="56"/>
        <v>0.16122746781115879</v>
      </c>
      <c r="I262" s="84">
        <f t="shared" si="57"/>
        <v>4.7057817960796233E-3</v>
      </c>
      <c r="J262" s="86">
        <f t="shared" si="58"/>
        <v>9.820966608418173</v>
      </c>
      <c r="K262" s="86">
        <f t="shared" si="54"/>
        <v>16.416659809530408</v>
      </c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1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  <c r="AI262" s="81"/>
      <c r="AJ262" s="81"/>
      <c r="AK262" s="81"/>
      <c r="AL262" s="81"/>
      <c r="AM262" s="81"/>
      <c r="AN262" s="81"/>
    </row>
    <row r="263" spans="1:40" ht="14.25" customHeight="1">
      <c r="A263" s="82">
        <v>70303</v>
      </c>
      <c r="B263" s="83" t="s">
        <v>27</v>
      </c>
      <c r="C263" s="83" t="s">
        <v>342</v>
      </c>
      <c r="D263" s="83" t="s">
        <v>345</v>
      </c>
      <c r="E263" s="103">
        <v>9</v>
      </c>
      <c r="F263" s="104">
        <v>660</v>
      </c>
      <c r="G263" s="84">
        <f t="shared" si="55"/>
        <v>5.5180870631514412E-3</v>
      </c>
      <c r="H263" s="85">
        <f t="shared" si="56"/>
        <v>6.9097486204782343E-2</v>
      </c>
      <c r="I263" s="84">
        <f t="shared" si="57"/>
        <v>3.1340221850782554E-3</v>
      </c>
      <c r="J263" s="86">
        <f t="shared" si="58"/>
        <v>6.5407043002583194</v>
      </c>
      <c r="K263" s="86">
        <f t="shared" si="54"/>
        <v>10.564227189119894</v>
      </c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1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  <c r="AI263" s="81"/>
      <c r="AJ263" s="81"/>
      <c r="AK263" s="81"/>
      <c r="AL263" s="81"/>
      <c r="AM263" s="81"/>
      <c r="AN263" s="81"/>
    </row>
    <row r="264" spans="1:40" ht="14.25" customHeight="1">
      <c r="A264" s="82">
        <v>70401</v>
      </c>
      <c r="B264" s="83" t="s">
        <v>27</v>
      </c>
      <c r="C264" s="83" t="s">
        <v>346</v>
      </c>
      <c r="D264" s="83" t="s">
        <v>347</v>
      </c>
      <c r="E264" s="103">
        <v>2</v>
      </c>
      <c r="F264" s="104">
        <v>934</v>
      </c>
      <c r="G264" s="84">
        <f t="shared" si="55"/>
        <v>1.226241569589209E-3</v>
      </c>
      <c r="H264" s="85">
        <f t="shared" si="56"/>
        <v>1.5354996934396075E-2</v>
      </c>
      <c r="I264" s="84">
        <f t="shared" si="57"/>
        <v>4.4351162437319559E-3</v>
      </c>
      <c r="J264" s="86">
        <f t="shared" si="58"/>
        <v>9.2560876006685913</v>
      </c>
      <c r="K264" s="86">
        <f t="shared" si="54"/>
        <v>1.6589079097832808</v>
      </c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1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  <c r="AI264" s="81"/>
      <c r="AJ264" s="81"/>
      <c r="AK264" s="81"/>
      <c r="AL264" s="81"/>
      <c r="AM264" s="81"/>
      <c r="AN264" s="81"/>
    </row>
    <row r="265" spans="1:40" ht="14.25" customHeight="1">
      <c r="A265" s="82">
        <v>70402</v>
      </c>
      <c r="B265" s="83" t="s">
        <v>27</v>
      </c>
      <c r="C265" s="83" t="s">
        <v>346</v>
      </c>
      <c r="D265" s="83" t="s">
        <v>348</v>
      </c>
      <c r="E265" s="103">
        <v>11</v>
      </c>
      <c r="F265" s="104">
        <v>1309</v>
      </c>
      <c r="G265" s="84">
        <f t="shared" si="55"/>
        <v>6.7443286327406498E-3</v>
      </c>
      <c r="H265" s="85">
        <f t="shared" si="56"/>
        <v>8.4452483139178414E-2</v>
      </c>
      <c r="I265" s="84">
        <f t="shared" si="57"/>
        <v>6.2158106670718739E-3</v>
      </c>
      <c r="J265" s="86">
        <f t="shared" si="58"/>
        <v>12.972396862179</v>
      </c>
      <c r="K265" s="86">
        <f t="shared" si="54"/>
        <v>6.5101680157041351</v>
      </c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1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  <c r="AI265" s="81"/>
      <c r="AJ265" s="81"/>
      <c r="AK265" s="81"/>
      <c r="AL265" s="81"/>
      <c r="AM265" s="81"/>
      <c r="AN265" s="81"/>
    </row>
    <row r="266" spans="1:40" ht="14.25" customHeight="1">
      <c r="A266" s="82">
        <v>70403</v>
      </c>
      <c r="B266" s="83" t="s">
        <v>27</v>
      </c>
      <c r="C266" s="83" t="s">
        <v>346</v>
      </c>
      <c r="D266" s="83" t="s">
        <v>349</v>
      </c>
      <c r="E266" s="103">
        <v>33</v>
      </c>
      <c r="F266" s="104">
        <v>4103</v>
      </c>
      <c r="G266" s="84">
        <f t="shared" si="55"/>
        <v>2.023298589822195E-2</v>
      </c>
      <c r="H266" s="85">
        <f t="shared" si="56"/>
        <v>0.25335744941753524</v>
      </c>
      <c r="I266" s="84">
        <f t="shared" si="57"/>
        <v>1.9483171250569822E-2</v>
      </c>
      <c r="J266" s="86">
        <f t="shared" si="58"/>
        <v>40.661378399939217</v>
      </c>
      <c r="K266" s="86">
        <f t="shared" si="54"/>
        <v>6.23091147883747</v>
      </c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1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  <c r="AI266" s="81"/>
      <c r="AJ266" s="81"/>
      <c r="AK266" s="81"/>
      <c r="AL266" s="81"/>
      <c r="AM266" s="81"/>
      <c r="AN266" s="81"/>
    </row>
    <row r="267" spans="1:40" ht="14.25" customHeight="1">
      <c r="A267" s="82">
        <v>70404</v>
      </c>
      <c r="B267" s="83" t="s">
        <v>27</v>
      </c>
      <c r="C267" s="83" t="s">
        <v>346</v>
      </c>
      <c r="D267" s="83" t="s">
        <v>350</v>
      </c>
      <c r="E267" s="103">
        <v>3</v>
      </c>
      <c r="F267" s="104">
        <v>682</v>
      </c>
      <c r="G267" s="84">
        <f t="shared" si="55"/>
        <v>1.8393623543838135E-3</v>
      </c>
      <c r="H267" s="85">
        <f t="shared" si="56"/>
        <v>2.3032495401594112E-2</v>
      </c>
      <c r="I267" s="84">
        <f t="shared" si="57"/>
        <v>3.2384895912475307E-3</v>
      </c>
      <c r="J267" s="86">
        <f t="shared" si="58"/>
        <v>6.7587277769335969</v>
      </c>
      <c r="K267" s="86">
        <f t="shared" si="54"/>
        <v>3.4078152222967391</v>
      </c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1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  <c r="AI267" s="81"/>
      <c r="AJ267" s="81"/>
      <c r="AK267" s="81"/>
      <c r="AL267" s="81"/>
      <c r="AM267" s="81"/>
      <c r="AN267" s="81"/>
    </row>
    <row r="268" spans="1:40" ht="14.25" customHeight="1">
      <c r="A268" s="82">
        <v>70501</v>
      </c>
      <c r="B268" s="83" t="s">
        <v>27</v>
      </c>
      <c r="C268" s="83" t="s">
        <v>351</v>
      </c>
      <c r="D268" s="83" t="s">
        <v>352</v>
      </c>
      <c r="E268" s="103">
        <v>40</v>
      </c>
      <c r="F268" s="104">
        <v>3132</v>
      </c>
      <c r="G268" s="84">
        <f t="shared" si="55"/>
        <v>2.4524831391784182E-2</v>
      </c>
      <c r="H268" s="85">
        <f t="shared" si="56"/>
        <v>0.30709993868792151</v>
      </c>
      <c r="I268" s="84">
        <f t="shared" si="57"/>
        <v>1.4872359823734995E-2</v>
      </c>
      <c r="J268" s="86">
        <f t="shared" si="58"/>
        <v>31.038614952134935</v>
      </c>
      <c r="K268" s="86">
        <f t="shared" si="54"/>
        <v>9.8941250813383412</v>
      </c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1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  <c r="AI268" s="81"/>
      <c r="AJ268" s="81"/>
      <c r="AK268" s="81"/>
      <c r="AL268" s="81"/>
      <c r="AM268" s="81"/>
      <c r="AN268" s="81"/>
    </row>
    <row r="269" spans="1:40" ht="14.25" customHeight="1">
      <c r="A269" s="82">
        <v>70502</v>
      </c>
      <c r="B269" s="83" t="s">
        <v>27</v>
      </c>
      <c r="C269" s="83" t="s">
        <v>351</v>
      </c>
      <c r="D269" s="83" t="s">
        <v>353</v>
      </c>
      <c r="E269" s="103">
        <v>70</v>
      </c>
      <c r="F269" s="104">
        <v>4607</v>
      </c>
      <c r="G269" s="84">
        <f t="shared" si="55"/>
        <v>4.2918454935622317E-2</v>
      </c>
      <c r="H269" s="85">
        <f t="shared" si="56"/>
        <v>0.53742489270386262</v>
      </c>
      <c r="I269" s="84">
        <f t="shared" si="57"/>
        <v>2.1876424555538673E-2</v>
      </c>
      <c r="J269" s="86">
        <f t="shared" si="58"/>
        <v>45.656098047409209</v>
      </c>
      <c r="K269" s="86">
        <f t="shared" si="54"/>
        <v>11.771152500719653</v>
      </c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1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  <c r="AI269" s="81"/>
      <c r="AJ269" s="81"/>
      <c r="AK269" s="81"/>
      <c r="AL269" s="81"/>
      <c r="AM269" s="81"/>
      <c r="AN269" s="81"/>
    </row>
    <row r="270" spans="1:40" ht="14.25" customHeight="1">
      <c r="A270" s="82">
        <v>70503</v>
      </c>
      <c r="B270" s="83" t="s">
        <v>27</v>
      </c>
      <c r="C270" s="83" t="s">
        <v>351</v>
      </c>
      <c r="D270" s="83" t="s">
        <v>354</v>
      </c>
      <c r="E270" s="103">
        <v>8</v>
      </c>
      <c r="F270" s="104">
        <v>1252</v>
      </c>
      <c r="G270" s="84">
        <f t="shared" si="55"/>
        <v>4.904966278356836E-3</v>
      </c>
      <c r="H270" s="85">
        <f t="shared" si="56"/>
        <v>6.1419987737584301E-2</v>
      </c>
      <c r="I270" s="84">
        <f t="shared" si="57"/>
        <v>5.9451451147242065E-3</v>
      </c>
      <c r="J270" s="86">
        <f t="shared" si="58"/>
        <v>12.407517854429418</v>
      </c>
      <c r="K270" s="86">
        <f t="shared" si="54"/>
        <v>4.9502236029954769</v>
      </c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1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  <c r="AI270" s="81"/>
      <c r="AJ270" s="81"/>
      <c r="AK270" s="81"/>
      <c r="AL270" s="81"/>
      <c r="AM270" s="81"/>
      <c r="AN270" s="81"/>
    </row>
    <row r="271" spans="1:40" ht="14.25" customHeight="1">
      <c r="A271" s="82">
        <v>70601</v>
      </c>
      <c r="B271" s="83" t="s">
        <v>27</v>
      </c>
      <c r="C271" s="83" t="s">
        <v>355</v>
      </c>
      <c r="D271" s="83" t="s">
        <v>356</v>
      </c>
      <c r="E271" s="103">
        <v>7</v>
      </c>
      <c r="F271" s="104">
        <v>1435</v>
      </c>
      <c r="G271" s="84">
        <f t="shared" si="55"/>
        <v>4.2918454935622317E-3</v>
      </c>
      <c r="H271" s="85">
        <f t="shared" si="56"/>
        <v>5.3742489270386266E-2</v>
      </c>
      <c r="I271" s="84">
        <f t="shared" si="57"/>
        <v>6.8141239933140864E-3</v>
      </c>
      <c r="J271" s="86">
        <f t="shared" si="58"/>
        <v>14.221076774046498</v>
      </c>
      <c r="K271" s="86">
        <f t="shared" si="54"/>
        <v>3.779073140823376</v>
      </c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1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  <c r="AI271" s="81"/>
      <c r="AJ271" s="81"/>
      <c r="AK271" s="81"/>
      <c r="AL271" s="81"/>
      <c r="AM271" s="81"/>
      <c r="AN271" s="81"/>
    </row>
    <row r="272" spans="1:40" ht="14.25" customHeight="1">
      <c r="A272" s="82">
        <v>70602</v>
      </c>
      <c r="B272" s="83" t="s">
        <v>27</v>
      </c>
      <c r="C272" s="83" t="s">
        <v>355</v>
      </c>
      <c r="D272" s="83" t="s">
        <v>357</v>
      </c>
      <c r="E272" s="103">
        <v>13</v>
      </c>
      <c r="F272" s="104">
        <v>1233</v>
      </c>
      <c r="G272" s="84">
        <f t="shared" si="55"/>
        <v>7.9705702023298592E-3</v>
      </c>
      <c r="H272" s="85">
        <f t="shared" si="56"/>
        <v>9.9807480073574498E-2</v>
      </c>
      <c r="I272" s="84">
        <f t="shared" si="57"/>
        <v>5.8549232639416504E-3</v>
      </c>
      <c r="J272" s="86">
        <f t="shared" si="58"/>
        <v>12.219224851846224</v>
      </c>
      <c r="K272" s="86">
        <f t="shared" si="54"/>
        <v>8.1680696839369809</v>
      </c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1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  <c r="AI272" s="81"/>
      <c r="AJ272" s="81"/>
      <c r="AK272" s="81"/>
      <c r="AL272" s="81"/>
      <c r="AM272" s="81"/>
      <c r="AN272" s="81"/>
    </row>
    <row r="273" spans="1:40" ht="14.25" customHeight="1">
      <c r="A273" s="82">
        <v>70603</v>
      </c>
      <c r="B273" s="83" t="s">
        <v>27</v>
      </c>
      <c r="C273" s="83" t="s">
        <v>355</v>
      </c>
      <c r="D273" s="83" t="s">
        <v>358</v>
      </c>
      <c r="E273" s="103">
        <v>3</v>
      </c>
      <c r="F273" s="104">
        <v>429</v>
      </c>
      <c r="G273" s="84">
        <f t="shared" si="55"/>
        <v>1.8393623543838135E-3</v>
      </c>
      <c r="H273" s="85">
        <f t="shared" si="56"/>
        <v>2.3032495401594112E-2</v>
      </c>
      <c r="I273" s="84">
        <f t="shared" si="57"/>
        <v>2.0371144203008662E-3</v>
      </c>
      <c r="J273" s="86">
        <f t="shared" si="58"/>
        <v>4.2514577951679078</v>
      </c>
      <c r="K273" s="86">
        <f t="shared" si="54"/>
        <v>5.4175524046768677</v>
      </c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1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  <c r="AI273" s="81"/>
      <c r="AJ273" s="81"/>
      <c r="AK273" s="81"/>
      <c r="AL273" s="81"/>
      <c r="AM273" s="81"/>
      <c r="AN273" s="81"/>
    </row>
    <row r="274" spans="1:40" ht="14.25" customHeight="1">
      <c r="A274" s="82">
        <v>70701</v>
      </c>
      <c r="B274" s="83" t="s">
        <v>27</v>
      </c>
      <c r="C274" s="83" t="s">
        <v>359</v>
      </c>
      <c r="D274" s="83" t="s">
        <v>360</v>
      </c>
      <c r="E274" s="103">
        <v>5</v>
      </c>
      <c r="F274" s="104">
        <v>431</v>
      </c>
      <c r="G274" s="84">
        <f t="shared" si="55"/>
        <v>3.0656039239730227E-3</v>
      </c>
      <c r="H274" s="85">
        <f t="shared" si="56"/>
        <v>3.8387492335990189E-2</v>
      </c>
      <c r="I274" s="84">
        <f t="shared" si="57"/>
        <v>2.0466114572253455E-3</v>
      </c>
      <c r="J274" s="86">
        <f t="shared" si="58"/>
        <v>4.2712781112292957</v>
      </c>
      <c r="K274" s="86">
        <f t="shared" si="54"/>
        <v>8.9873549172713716</v>
      </c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1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  <c r="AI274" s="81"/>
      <c r="AJ274" s="81"/>
      <c r="AK274" s="81"/>
      <c r="AL274" s="81"/>
      <c r="AM274" s="81"/>
      <c r="AN274" s="81"/>
    </row>
    <row r="275" spans="1:40" ht="14.25" customHeight="1">
      <c r="A275" s="82">
        <v>70702</v>
      </c>
      <c r="B275" s="83" t="s">
        <v>27</v>
      </c>
      <c r="C275" s="83" t="s">
        <v>359</v>
      </c>
      <c r="D275" s="83" t="s">
        <v>361</v>
      </c>
      <c r="E275" s="103">
        <v>64</v>
      </c>
      <c r="F275" s="104">
        <v>2828</v>
      </c>
      <c r="G275" s="84">
        <f t="shared" si="55"/>
        <v>3.9239730226854688E-2</v>
      </c>
      <c r="H275" s="85">
        <f t="shared" si="56"/>
        <v>0.49135990190067441</v>
      </c>
      <c r="I275" s="84">
        <f t="shared" si="57"/>
        <v>1.3428810211214101E-2</v>
      </c>
      <c r="J275" s="86">
        <f t="shared" si="58"/>
        <v>28.025926910803829</v>
      </c>
      <c r="K275" s="86">
        <f t="shared" si="54"/>
        <v>17.532333666054701</v>
      </c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1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  <c r="AI275" s="81"/>
      <c r="AJ275" s="81"/>
      <c r="AK275" s="81"/>
      <c r="AL275" s="81"/>
      <c r="AM275" s="81"/>
      <c r="AN275" s="81"/>
    </row>
    <row r="276" spans="1:40" ht="14.25" customHeight="1">
      <c r="A276" s="82">
        <v>70703</v>
      </c>
      <c r="B276" s="83" t="s">
        <v>27</v>
      </c>
      <c r="C276" s="83" t="s">
        <v>359</v>
      </c>
      <c r="D276" s="83" t="s">
        <v>362</v>
      </c>
      <c r="E276" s="103">
        <v>22</v>
      </c>
      <c r="F276" s="104">
        <v>2467</v>
      </c>
      <c r="G276" s="84">
        <f t="shared" si="55"/>
        <v>1.34886572654813E-2</v>
      </c>
      <c r="H276" s="85">
        <f t="shared" si="56"/>
        <v>0.16890496627835683</v>
      </c>
      <c r="I276" s="84">
        <f t="shared" si="57"/>
        <v>1.171459504634554E-2</v>
      </c>
      <c r="J276" s="86">
        <f t="shared" si="58"/>
        <v>24.448359861723141</v>
      </c>
      <c r="K276" s="86">
        <f t="shared" si="54"/>
        <v>6.9086420207188599</v>
      </c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1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  <c r="AI276" s="81"/>
      <c r="AJ276" s="81"/>
      <c r="AK276" s="81"/>
      <c r="AL276" s="81"/>
      <c r="AM276" s="81"/>
      <c r="AN276" s="81"/>
    </row>
    <row r="277" spans="1:40" ht="14.25" customHeight="1">
      <c r="A277" s="82">
        <v>70704</v>
      </c>
      <c r="B277" s="83" t="s">
        <v>27</v>
      </c>
      <c r="C277" s="83" t="s">
        <v>359</v>
      </c>
      <c r="D277" s="83" t="s">
        <v>363</v>
      </c>
      <c r="E277" s="103">
        <v>2</v>
      </c>
      <c r="F277" s="104">
        <v>277</v>
      </c>
      <c r="G277" s="84">
        <f t="shared" si="55"/>
        <v>1.226241569589209E-3</v>
      </c>
      <c r="H277" s="85">
        <f t="shared" si="56"/>
        <v>1.5354996934396075E-2</v>
      </c>
      <c r="I277" s="84">
        <f t="shared" si="57"/>
        <v>1.3153396140404194E-3</v>
      </c>
      <c r="J277" s="86">
        <f t="shared" si="58"/>
        <v>2.7451137745023555</v>
      </c>
      <c r="K277" s="86">
        <f t="shared" si="54"/>
        <v>5.5935739629515666</v>
      </c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1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  <c r="AI277" s="81"/>
      <c r="AJ277" s="81"/>
      <c r="AK277" s="81"/>
      <c r="AL277" s="81"/>
      <c r="AM277" s="81"/>
      <c r="AN277" s="81"/>
    </row>
    <row r="278" spans="1:40" ht="14.25" customHeight="1">
      <c r="A278" s="82">
        <v>70705</v>
      </c>
      <c r="B278" s="83" t="s">
        <v>27</v>
      </c>
      <c r="C278" s="83" t="s">
        <v>359</v>
      </c>
      <c r="D278" s="83" t="s">
        <v>364</v>
      </c>
      <c r="E278" s="103">
        <v>25</v>
      </c>
      <c r="F278" s="104">
        <v>1202</v>
      </c>
      <c r="G278" s="84">
        <f t="shared" si="55"/>
        <v>1.5328019619865114E-2</v>
      </c>
      <c r="H278" s="85">
        <f t="shared" si="56"/>
        <v>0.19193746167995096</v>
      </c>
      <c r="I278" s="84">
        <f t="shared" si="57"/>
        <v>5.7077191916122174E-3</v>
      </c>
      <c r="J278" s="86">
        <f t="shared" si="58"/>
        <v>11.912009952894698</v>
      </c>
      <c r="K278" s="86">
        <f t="shared" si="54"/>
        <v>16.112936644525625</v>
      </c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1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  <c r="AI278" s="81"/>
      <c r="AJ278" s="81"/>
      <c r="AK278" s="81"/>
      <c r="AL278" s="81"/>
      <c r="AM278" s="81"/>
      <c r="AN278" s="81"/>
    </row>
    <row r="279" spans="1:40" ht="14.25" customHeight="1">
      <c r="A279" s="82">
        <v>70706</v>
      </c>
      <c r="B279" s="83" t="s">
        <v>27</v>
      </c>
      <c r="C279" s="83" t="s">
        <v>359</v>
      </c>
      <c r="D279" s="83" t="s">
        <v>365</v>
      </c>
      <c r="E279" s="103">
        <v>14</v>
      </c>
      <c r="F279" s="104">
        <v>1931</v>
      </c>
      <c r="G279" s="84">
        <f t="shared" si="55"/>
        <v>8.5836909871244635E-3</v>
      </c>
      <c r="H279" s="85">
        <f t="shared" si="56"/>
        <v>0.10748497854077253</v>
      </c>
      <c r="I279" s="84">
        <f t="shared" si="57"/>
        <v>9.1693891505850167E-3</v>
      </c>
      <c r="J279" s="86">
        <f t="shared" si="58"/>
        <v>19.136515157270932</v>
      </c>
      <c r="K279" s="86">
        <f t="shared" si="54"/>
        <v>5.6167477546157896</v>
      </c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1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  <c r="AI279" s="81"/>
      <c r="AJ279" s="81"/>
      <c r="AK279" s="81"/>
      <c r="AL279" s="81"/>
      <c r="AM279" s="81"/>
      <c r="AN279" s="81"/>
    </row>
    <row r="280" spans="1:40" ht="14.25" customHeight="1">
      <c r="A280" s="82">
        <v>70707</v>
      </c>
      <c r="B280" s="83" t="s">
        <v>27</v>
      </c>
      <c r="C280" s="83" t="s">
        <v>359</v>
      </c>
      <c r="D280" s="83" t="s">
        <v>366</v>
      </c>
      <c r="E280" s="103">
        <v>2</v>
      </c>
      <c r="F280" s="104">
        <v>396</v>
      </c>
      <c r="G280" s="84">
        <f>E280/$R$8</f>
        <v>1.226241569589209E-3</v>
      </c>
      <c r="H280" s="85">
        <f>$S$23*G280</f>
        <v>1.5354996934396075E-2</v>
      </c>
      <c r="I280" s="84">
        <f>F280/$S$8</f>
        <v>1.8804133110469534E-3</v>
      </c>
      <c r="J280" s="86">
        <f>I280*$U$23</f>
        <v>3.9244225801549919</v>
      </c>
      <c r="K280" s="86">
        <f t="shared" si="54"/>
        <v>3.9126767367110711</v>
      </c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1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  <c r="AI280" s="81"/>
      <c r="AJ280" s="81"/>
      <c r="AK280" s="81"/>
      <c r="AL280" s="81"/>
      <c r="AM280" s="81"/>
      <c r="AN280" s="81"/>
    </row>
    <row r="281" spans="1:40" ht="14.25" customHeight="1">
      <c r="A281" s="82">
        <v>70801</v>
      </c>
      <c r="B281" s="83" t="s">
        <v>27</v>
      </c>
      <c r="C281" s="83" t="s">
        <v>367</v>
      </c>
      <c r="D281" s="83" t="s">
        <v>367</v>
      </c>
      <c r="E281" s="103">
        <v>6</v>
      </c>
      <c r="F281" s="104">
        <v>968</v>
      </c>
      <c r="G281" s="84">
        <f t="shared" ref="G281:G299" si="59">E281/$R$8</f>
        <v>3.678724708767627E-3</v>
      </c>
      <c r="H281" s="85">
        <f t="shared" si="56"/>
        <v>4.6064990803188224E-2</v>
      </c>
      <c r="I281" s="84">
        <f t="shared" ref="I281:I299" si="60">F281/$S$8</f>
        <v>4.5965658714481085E-3</v>
      </c>
      <c r="J281" s="86">
        <f t="shared" si="58"/>
        <v>9.5930329737122015</v>
      </c>
      <c r="K281" s="86">
        <f t="shared" si="54"/>
        <v>4.8019214495999512</v>
      </c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1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  <c r="AI281" s="81"/>
      <c r="AJ281" s="81"/>
      <c r="AK281" s="81"/>
      <c r="AL281" s="81"/>
      <c r="AM281" s="81"/>
      <c r="AN281" s="81"/>
    </row>
    <row r="282" spans="1:40" ht="14.25" customHeight="1">
      <c r="A282" s="82">
        <v>70802</v>
      </c>
      <c r="B282" s="83" t="s">
        <v>27</v>
      </c>
      <c r="C282" s="83" t="s">
        <v>367</v>
      </c>
      <c r="D282" s="83" t="s">
        <v>368</v>
      </c>
      <c r="E282" s="103">
        <v>2</v>
      </c>
      <c r="F282" s="104">
        <v>112</v>
      </c>
      <c r="G282" s="84">
        <f t="shared" si="59"/>
        <v>1.226241569589209E-3</v>
      </c>
      <c r="H282" s="85">
        <f t="shared" si="56"/>
        <v>1.5354996934396075E-2</v>
      </c>
      <c r="I282" s="84">
        <f t="shared" si="60"/>
        <v>5.3183406777085546E-4</v>
      </c>
      <c r="J282" s="86">
        <f t="shared" si="58"/>
        <v>1.1099376994377754</v>
      </c>
      <c r="K282" s="86">
        <f t="shared" si="54"/>
        <v>13.834107033371287</v>
      </c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1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  <c r="AI282" s="81"/>
      <c r="AJ282" s="81"/>
      <c r="AK282" s="81"/>
      <c r="AL282" s="81"/>
      <c r="AM282" s="81"/>
      <c r="AN282" s="81"/>
    </row>
    <row r="283" spans="1:40" ht="14.25" customHeight="1">
      <c r="A283" s="82">
        <v>70803</v>
      </c>
      <c r="B283" s="83" t="s">
        <v>27</v>
      </c>
      <c r="C283" s="83" t="s">
        <v>367</v>
      </c>
      <c r="D283" s="83" t="s">
        <v>369</v>
      </c>
      <c r="E283" s="103">
        <v>0</v>
      </c>
      <c r="F283" s="104">
        <v>154</v>
      </c>
      <c r="G283" s="84">
        <f t="shared" si="59"/>
        <v>0</v>
      </c>
      <c r="H283" s="85">
        <f t="shared" si="56"/>
        <v>0</v>
      </c>
      <c r="I283" s="84">
        <f t="shared" si="60"/>
        <v>7.3127184318492631E-4</v>
      </c>
      <c r="J283" s="86">
        <f t="shared" si="58"/>
        <v>1.5261643367269413</v>
      </c>
      <c r="K283" s="86">
        <f t="shared" si="54"/>
        <v>0</v>
      </c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1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  <c r="AI283" s="81"/>
      <c r="AJ283" s="81"/>
      <c r="AK283" s="81"/>
      <c r="AL283" s="81"/>
      <c r="AM283" s="81"/>
      <c r="AN283" s="81"/>
    </row>
    <row r="284" spans="1:40" ht="14.25" customHeight="1">
      <c r="A284" s="82">
        <v>70804</v>
      </c>
      <c r="B284" s="83" t="s">
        <v>27</v>
      </c>
      <c r="C284" s="83" t="s">
        <v>367</v>
      </c>
      <c r="D284" s="83" t="s">
        <v>370</v>
      </c>
      <c r="E284" s="103">
        <v>0</v>
      </c>
      <c r="F284" s="104">
        <v>91</v>
      </c>
      <c r="G284" s="84">
        <f t="shared" si="59"/>
        <v>0</v>
      </c>
      <c r="H284" s="85">
        <f t="shared" si="56"/>
        <v>0</v>
      </c>
      <c r="I284" s="84">
        <f t="shared" si="60"/>
        <v>4.3211518006382009E-4</v>
      </c>
      <c r="J284" s="86">
        <f t="shared" si="58"/>
        <v>0.90182438079319249</v>
      </c>
      <c r="K284" s="86">
        <f t="shared" si="54"/>
        <v>0</v>
      </c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1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  <c r="AI284" s="81"/>
      <c r="AJ284" s="81"/>
      <c r="AK284" s="81"/>
      <c r="AL284" s="81"/>
      <c r="AM284" s="81"/>
      <c r="AN284" s="81"/>
    </row>
    <row r="285" spans="1:40" ht="14.25" customHeight="1">
      <c r="A285" s="82">
        <v>70805</v>
      </c>
      <c r="B285" s="83" t="s">
        <v>27</v>
      </c>
      <c r="C285" s="83" t="s">
        <v>367</v>
      </c>
      <c r="D285" s="83" t="s">
        <v>371</v>
      </c>
      <c r="E285" s="103">
        <v>1</v>
      </c>
      <c r="F285" s="104">
        <v>116</v>
      </c>
      <c r="G285" s="84">
        <f t="shared" si="59"/>
        <v>6.131207847946045E-4</v>
      </c>
      <c r="H285" s="85">
        <f t="shared" si="56"/>
        <v>7.6774984671980377E-3</v>
      </c>
      <c r="I285" s="84">
        <f t="shared" si="60"/>
        <v>5.5082814161981457E-4</v>
      </c>
      <c r="J285" s="86">
        <f t="shared" si="58"/>
        <v>1.149578331560553</v>
      </c>
      <c r="K285" s="86">
        <f t="shared" si="54"/>
        <v>6.6785344299033804</v>
      </c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1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  <c r="AI285" s="81"/>
      <c r="AJ285" s="81"/>
      <c r="AK285" s="81"/>
      <c r="AL285" s="81"/>
      <c r="AM285" s="81"/>
      <c r="AN285" s="81"/>
    </row>
    <row r="286" spans="1:40" ht="14.25" customHeight="1">
      <c r="A286" s="82">
        <v>70901</v>
      </c>
      <c r="B286" s="83" t="s">
        <v>27</v>
      </c>
      <c r="C286" s="83" t="s">
        <v>372</v>
      </c>
      <c r="D286" s="83" t="s">
        <v>373</v>
      </c>
      <c r="E286" s="103">
        <v>7</v>
      </c>
      <c r="F286" s="104">
        <v>710</v>
      </c>
      <c r="G286" s="84">
        <f t="shared" si="59"/>
        <v>4.2918454935622317E-3</v>
      </c>
      <c r="H286" s="85">
        <f t="shared" si="56"/>
        <v>5.3742489270386266E-2</v>
      </c>
      <c r="I286" s="84">
        <f t="shared" si="60"/>
        <v>3.3714481081902445E-3</v>
      </c>
      <c r="J286" s="86">
        <f t="shared" si="58"/>
        <v>7.03621220179304</v>
      </c>
      <c r="K286" s="86">
        <f t="shared" si="54"/>
        <v>7.6379858550444304</v>
      </c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1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  <c r="AI286" s="81"/>
      <c r="AJ286" s="81"/>
      <c r="AK286" s="81"/>
      <c r="AL286" s="81"/>
      <c r="AM286" s="81"/>
      <c r="AN286" s="81"/>
    </row>
    <row r="287" spans="1:40" ht="14.25" customHeight="1">
      <c r="A287" s="82">
        <v>70902</v>
      </c>
      <c r="B287" s="83" t="s">
        <v>27</v>
      </c>
      <c r="C287" s="83" t="s">
        <v>372</v>
      </c>
      <c r="D287" s="83" t="s">
        <v>374</v>
      </c>
      <c r="E287" s="103">
        <v>5</v>
      </c>
      <c r="F287" s="104">
        <v>746</v>
      </c>
      <c r="G287" s="84">
        <f t="shared" si="59"/>
        <v>3.0656039239730227E-3</v>
      </c>
      <c r="H287" s="85">
        <f t="shared" si="56"/>
        <v>3.8387492335990189E-2</v>
      </c>
      <c r="I287" s="84">
        <f t="shared" si="60"/>
        <v>3.5423947728308769E-3</v>
      </c>
      <c r="J287" s="86">
        <f t="shared" si="58"/>
        <v>7.3929778908980399</v>
      </c>
      <c r="K287" s="86">
        <f t="shared" si="54"/>
        <v>5.192426232364558</v>
      </c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1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  <c r="AI287" s="81"/>
      <c r="AJ287" s="81"/>
      <c r="AK287" s="81"/>
      <c r="AL287" s="81"/>
      <c r="AM287" s="81"/>
      <c r="AN287" s="81"/>
    </row>
    <row r="288" spans="1:40" ht="14.25" customHeight="1">
      <c r="A288" s="82">
        <v>70903</v>
      </c>
      <c r="B288" s="83" t="s">
        <v>27</v>
      </c>
      <c r="C288" s="83" t="s">
        <v>372</v>
      </c>
      <c r="D288" s="83" t="s">
        <v>375</v>
      </c>
      <c r="E288" s="103">
        <v>6</v>
      </c>
      <c r="F288" s="104">
        <v>929</v>
      </c>
      <c r="G288" s="84">
        <f t="shared" si="59"/>
        <v>3.678724708767627E-3</v>
      </c>
      <c r="H288" s="85">
        <f t="shared" si="56"/>
        <v>4.6064990803188224E-2</v>
      </c>
      <c r="I288" s="84">
        <f t="shared" si="60"/>
        <v>4.4113736514207564E-3</v>
      </c>
      <c r="J288" s="86">
        <f t="shared" si="58"/>
        <v>9.206536810515118</v>
      </c>
      <c r="K288" s="86">
        <f t="shared" si="54"/>
        <v>5.0035091100244919</v>
      </c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1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  <c r="AI288" s="81"/>
      <c r="AJ288" s="81"/>
      <c r="AK288" s="81"/>
      <c r="AL288" s="81"/>
      <c r="AM288" s="81"/>
      <c r="AN288" s="81"/>
    </row>
    <row r="289" spans="1:40" ht="14.25" customHeight="1">
      <c r="A289" s="82">
        <v>70904</v>
      </c>
      <c r="B289" s="83" t="s">
        <v>27</v>
      </c>
      <c r="C289" s="83" t="s">
        <v>372</v>
      </c>
      <c r="D289" s="83" t="s">
        <v>376</v>
      </c>
      <c r="E289" s="103">
        <v>0</v>
      </c>
      <c r="F289" s="104">
        <v>151</v>
      </c>
      <c r="G289" s="84">
        <f t="shared" si="59"/>
        <v>0</v>
      </c>
      <c r="H289" s="85">
        <f t="shared" si="56"/>
        <v>0</v>
      </c>
      <c r="I289" s="84">
        <f t="shared" si="60"/>
        <v>7.1702628779820698E-4</v>
      </c>
      <c r="J289" s="86">
        <f t="shared" si="58"/>
        <v>1.4964338626348579</v>
      </c>
      <c r="K289" s="86">
        <f t="shared" si="54"/>
        <v>0</v>
      </c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1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  <c r="AI289" s="81"/>
      <c r="AJ289" s="81"/>
      <c r="AK289" s="81"/>
      <c r="AL289" s="81"/>
      <c r="AM289" s="81"/>
      <c r="AN289" s="81"/>
    </row>
    <row r="290" spans="1:40" ht="14.25" customHeight="1">
      <c r="A290" s="82">
        <v>71001</v>
      </c>
      <c r="B290" s="83" t="s">
        <v>27</v>
      </c>
      <c r="C290" s="83" t="s">
        <v>377</v>
      </c>
      <c r="D290" s="83" t="s">
        <v>378</v>
      </c>
      <c r="E290" s="103">
        <v>55</v>
      </c>
      <c r="F290" s="104">
        <v>9108</v>
      </c>
      <c r="G290" s="84">
        <f t="shared" si="59"/>
        <v>3.3721643163703248E-2</v>
      </c>
      <c r="H290" s="85">
        <f t="shared" si="56"/>
        <v>0.42226241569589207</v>
      </c>
      <c r="I290" s="84">
        <f t="shared" si="60"/>
        <v>4.3249506154079929E-2</v>
      </c>
      <c r="J290" s="86">
        <f t="shared" si="58"/>
        <v>90.261719343564806</v>
      </c>
      <c r="K290" s="86">
        <f t="shared" si="54"/>
        <v>4.678200446067585</v>
      </c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1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  <c r="AI290" s="81"/>
      <c r="AJ290" s="81"/>
      <c r="AK290" s="81"/>
      <c r="AL290" s="81"/>
      <c r="AM290" s="81"/>
      <c r="AN290" s="81"/>
    </row>
    <row r="291" spans="1:40" ht="14.25" customHeight="1">
      <c r="A291" s="82">
        <v>71002</v>
      </c>
      <c r="B291" s="83" t="s">
        <v>27</v>
      </c>
      <c r="C291" s="83" t="s">
        <v>377</v>
      </c>
      <c r="D291" s="83" t="s">
        <v>379</v>
      </c>
      <c r="E291" s="103">
        <v>14</v>
      </c>
      <c r="F291" s="104">
        <v>1283</v>
      </c>
      <c r="G291" s="84">
        <f t="shared" si="59"/>
        <v>8.5836909871244635E-3</v>
      </c>
      <c r="H291" s="85">
        <f t="shared" si="56"/>
        <v>0.10748497854077253</v>
      </c>
      <c r="I291" s="84">
        <f t="shared" si="60"/>
        <v>6.0923491870536394E-3</v>
      </c>
      <c r="J291" s="86">
        <f t="shared" si="58"/>
        <v>12.714732753380945</v>
      </c>
      <c r="K291" s="86">
        <f t="shared" si="54"/>
        <v>8.4535774857077861</v>
      </c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1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  <c r="AI291" s="81"/>
      <c r="AJ291" s="81"/>
      <c r="AK291" s="81"/>
      <c r="AL291" s="81"/>
      <c r="AM291" s="81"/>
      <c r="AN291" s="81"/>
    </row>
    <row r="292" spans="1:40" ht="14.25" customHeight="1">
      <c r="A292" s="82">
        <v>71003</v>
      </c>
      <c r="B292" s="83" t="s">
        <v>27</v>
      </c>
      <c r="C292" s="83" t="s">
        <v>377</v>
      </c>
      <c r="D292" s="83" t="s">
        <v>380</v>
      </c>
      <c r="E292" s="103">
        <v>19</v>
      </c>
      <c r="F292" s="104">
        <v>1729</v>
      </c>
      <c r="G292" s="84">
        <f t="shared" si="59"/>
        <v>1.1649294911097487E-2</v>
      </c>
      <c r="H292" s="85">
        <f t="shared" si="56"/>
        <v>0.14587247087676272</v>
      </c>
      <c r="I292" s="84">
        <f t="shared" si="60"/>
        <v>8.2101884212125824E-3</v>
      </c>
      <c r="J292" s="86">
        <f t="shared" si="58"/>
        <v>17.134663235070658</v>
      </c>
      <c r="K292" s="86">
        <f t="shared" si="54"/>
        <v>8.513296635920792</v>
      </c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1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  <c r="AI292" s="81"/>
      <c r="AJ292" s="81"/>
      <c r="AK292" s="81"/>
      <c r="AL292" s="81"/>
      <c r="AM292" s="81"/>
      <c r="AN292" s="81"/>
    </row>
    <row r="293" spans="1:40" ht="14.25" customHeight="1">
      <c r="A293" s="82">
        <v>71004</v>
      </c>
      <c r="B293" s="83" t="s">
        <v>27</v>
      </c>
      <c r="C293" s="83" t="s">
        <v>377</v>
      </c>
      <c r="D293" s="83" t="s">
        <v>381</v>
      </c>
      <c r="E293" s="103">
        <v>11</v>
      </c>
      <c r="F293" s="104">
        <v>991</v>
      </c>
      <c r="G293" s="84">
        <f t="shared" si="59"/>
        <v>6.7443286327406498E-3</v>
      </c>
      <c r="H293" s="85">
        <f t="shared" si="56"/>
        <v>8.4452483139178414E-2</v>
      </c>
      <c r="I293" s="84">
        <f t="shared" si="60"/>
        <v>4.7057817960796233E-3</v>
      </c>
      <c r="J293" s="86">
        <f t="shared" si="58"/>
        <v>9.820966608418173</v>
      </c>
      <c r="K293" s="86">
        <f t="shared" si="54"/>
        <v>8.5992027573730709</v>
      </c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1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  <c r="AI293" s="81"/>
      <c r="AJ293" s="81"/>
      <c r="AK293" s="81"/>
      <c r="AL293" s="81"/>
      <c r="AM293" s="81"/>
      <c r="AN293" s="81"/>
    </row>
    <row r="294" spans="1:40" ht="14.25" customHeight="1">
      <c r="A294" s="82">
        <v>71005</v>
      </c>
      <c r="B294" s="83" t="s">
        <v>27</v>
      </c>
      <c r="C294" s="83" t="s">
        <v>377</v>
      </c>
      <c r="D294" s="83" t="s">
        <v>382</v>
      </c>
      <c r="E294" s="103">
        <v>8</v>
      </c>
      <c r="F294" s="104">
        <v>979</v>
      </c>
      <c r="G294" s="84">
        <f t="shared" si="59"/>
        <v>4.904966278356836E-3</v>
      </c>
      <c r="H294" s="85">
        <f t="shared" si="56"/>
        <v>6.1419987737584301E-2</v>
      </c>
      <c r="I294" s="84">
        <f t="shared" si="60"/>
        <v>4.6487995745327455E-3</v>
      </c>
      <c r="J294" s="86">
        <f t="shared" si="58"/>
        <v>9.7020447120498403</v>
      </c>
      <c r="K294" s="86">
        <f t="shared" si="54"/>
        <v>6.3306230346785872</v>
      </c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1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  <c r="AI294" s="81"/>
      <c r="AJ294" s="81"/>
      <c r="AK294" s="81"/>
      <c r="AL294" s="81"/>
      <c r="AM294" s="81"/>
      <c r="AN294" s="81"/>
    </row>
    <row r="295" spans="1:40" ht="14.25" customHeight="1">
      <c r="A295" s="82">
        <v>71101</v>
      </c>
      <c r="B295" s="83" t="s">
        <v>27</v>
      </c>
      <c r="C295" s="83" t="s">
        <v>383</v>
      </c>
      <c r="D295" s="83" t="s">
        <v>384</v>
      </c>
      <c r="E295" s="103">
        <v>33</v>
      </c>
      <c r="F295" s="104">
        <v>2423</v>
      </c>
      <c r="G295" s="84">
        <f t="shared" si="59"/>
        <v>2.023298589822195E-2</v>
      </c>
      <c r="H295" s="85">
        <f t="shared" si="56"/>
        <v>0.25335744941753524</v>
      </c>
      <c r="I295" s="84">
        <f t="shared" si="60"/>
        <v>1.150566023400699E-2</v>
      </c>
      <c r="J295" s="86">
        <f t="shared" si="58"/>
        <v>24.012312908372589</v>
      </c>
      <c r="K295" s="86">
        <f t="shared" si="54"/>
        <v>10.551147254506866</v>
      </c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1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  <c r="AI295" s="81"/>
      <c r="AJ295" s="81"/>
      <c r="AK295" s="81"/>
      <c r="AL295" s="81"/>
      <c r="AM295" s="81"/>
      <c r="AN295" s="81"/>
    </row>
    <row r="296" spans="1:40" ht="14.25" customHeight="1">
      <c r="A296" s="82">
        <v>71102</v>
      </c>
      <c r="B296" s="83" t="s">
        <v>27</v>
      </c>
      <c r="C296" s="83" t="s">
        <v>383</v>
      </c>
      <c r="D296" s="83" t="s">
        <v>385</v>
      </c>
      <c r="E296" s="103">
        <v>17</v>
      </c>
      <c r="F296" s="104">
        <v>1127</v>
      </c>
      <c r="G296" s="84">
        <f t="shared" si="59"/>
        <v>1.0423053341508276E-2</v>
      </c>
      <c r="H296" s="85">
        <f t="shared" si="56"/>
        <v>0.13051747394236665</v>
      </c>
      <c r="I296" s="84">
        <f t="shared" si="60"/>
        <v>5.3515803069442338E-3</v>
      </c>
      <c r="J296" s="86">
        <f t="shared" si="58"/>
        <v>11.168748100592616</v>
      </c>
      <c r="K296" s="86">
        <f t="shared" si="54"/>
        <v>11.685953767319846</v>
      </c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1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  <c r="AI296" s="81"/>
      <c r="AJ296" s="81"/>
      <c r="AK296" s="81"/>
      <c r="AL296" s="81"/>
      <c r="AM296" s="81"/>
      <c r="AN296" s="81"/>
    </row>
    <row r="297" spans="1:40" ht="14.25" customHeight="1">
      <c r="A297" s="82">
        <v>71103</v>
      </c>
      <c r="B297" s="83" t="s">
        <v>27</v>
      </c>
      <c r="C297" s="83" t="s">
        <v>383</v>
      </c>
      <c r="D297" s="83" t="s">
        <v>386</v>
      </c>
      <c r="E297" s="103">
        <v>37</v>
      </c>
      <c r="F297" s="104">
        <v>651</v>
      </c>
      <c r="G297" s="84">
        <f t="shared" si="59"/>
        <v>2.2685469037400367E-2</v>
      </c>
      <c r="H297" s="85">
        <f t="shared" si="56"/>
        <v>0.28406744328632738</v>
      </c>
      <c r="I297" s="84">
        <f t="shared" si="60"/>
        <v>3.0912855189180978E-3</v>
      </c>
      <c r="J297" s="86">
        <f t="shared" si="58"/>
        <v>6.4515128779820703</v>
      </c>
      <c r="K297" s="86">
        <f t="shared" si="54"/>
        <v>44.031136364278503</v>
      </c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1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  <c r="AI297" s="81"/>
      <c r="AJ297" s="81"/>
      <c r="AK297" s="81"/>
      <c r="AL297" s="81"/>
      <c r="AM297" s="81"/>
      <c r="AN297" s="81"/>
    </row>
    <row r="298" spans="1:40" ht="14.25" customHeight="1">
      <c r="A298" s="82">
        <v>71104</v>
      </c>
      <c r="B298" s="83" t="s">
        <v>27</v>
      </c>
      <c r="C298" s="83" t="s">
        <v>383</v>
      </c>
      <c r="D298" s="83" t="s">
        <v>387</v>
      </c>
      <c r="E298" s="103">
        <v>7</v>
      </c>
      <c r="F298" s="104">
        <v>3462</v>
      </c>
      <c r="G298" s="84">
        <f t="shared" si="59"/>
        <v>4.2918454935622317E-3</v>
      </c>
      <c r="H298" s="85">
        <f t="shared" si="56"/>
        <v>5.3742489270386266E-2</v>
      </c>
      <c r="I298" s="84">
        <f t="shared" si="60"/>
        <v>1.6439370916274121E-2</v>
      </c>
      <c r="J298" s="86">
        <f t="shared" si="58"/>
        <v>34.308967102264091</v>
      </c>
      <c r="K298" s="86">
        <f t="shared" si="54"/>
        <v>1.5664269084579854</v>
      </c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1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  <c r="AI298" s="81"/>
      <c r="AJ298" s="81"/>
      <c r="AK298" s="81"/>
      <c r="AL298" s="81"/>
      <c r="AM298" s="81"/>
      <c r="AN298" s="81"/>
    </row>
    <row r="299" spans="1:40" ht="14.25" customHeight="1">
      <c r="A299" s="82">
        <v>71105</v>
      </c>
      <c r="B299" s="83" t="s">
        <v>27</v>
      </c>
      <c r="C299" s="83" t="s">
        <v>383</v>
      </c>
      <c r="D299" s="83" t="s">
        <v>388</v>
      </c>
      <c r="E299" s="103">
        <v>5</v>
      </c>
      <c r="F299" s="104">
        <v>507</v>
      </c>
      <c r="G299" s="84">
        <f t="shared" si="59"/>
        <v>3.0656039239730227E-3</v>
      </c>
      <c r="H299" s="85">
        <f t="shared" si="56"/>
        <v>3.8387492335990189E-2</v>
      </c>
      <c r="I299" s="84">
        <f t="shared" si="60"/>
        <v>2.407498860355569E-3</v>
      </c>
      <c r="J299" s="86">
        <f t="shared" si="58"/>
        <v>5.0244501215620723</v>
      </c>
      <c r="K299" s="86">
        <f t="shared" si="54"/>
        <v>7.640138006595584</v>
      </c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1"/>
      <c r="Y299" s="81"/>
      <c r="Z299" s="81"/>
      <c r="AA299" s="81"/>
      <c r="AB299" s="81"/>
      <c r="AC299" s="81"/>
      <c r="AD299" s="81"/>
      <c r="AE299" s="81"/>
      <c r="AF299" s="81"/>
      <c r="AG299" s="81"/>
      <c r="AH299" s="81"/>
      <c r="AI299" s="81"/>
      <c r="AJ299" s="81"/>
      <c r="AK299" s="81"/>
      <c r="AL299" s="81"/>
      <c r="AM299" s="81"/>
      <c r="AN299" s="81"/>
    </row>
    <row r="300" spans="1:40" ht="14.25" customHeight="1">
      <c r="A300" s="82">
        <v>71106</v>
      </c>
      <c r="B300" s="83" t="s">
        <v>27</v>
      </c>
      <c r="C300" s="83" t="s">
        <v>383</v>
      </c>
      <c r="D300" s="83" t="s">
        <v>389</v>
      </c>
      <c r="E300" s="103">
        <v>24</v>
      </c>
      <c r="F300" s="104">
        <v>2035</v>
      </c>
      <c r="G300" s="84">
        <f>E300/$R$8</f>
        <v>1.4714898835070508E-2</v>
      </c>
      <c r="H300" s="85">
        <f>$S$23*G300</f>
        <v>0.1842599632127529</v>
      </c>
      <c r="I300" s="84">
        <f>F300/$S$8</f>
        <v>9.6632350706579544E-3</v>
      </c>
      <c r="J300" s="86">
        <f>I300*$U$23</f>
        <v>20.167171592463152</v>
      </c>
      <c r="K300" s="86">
        <f t="shared" si="54"/>
        <v>9.1366289203199056</v>
      </c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1"/>
      <c r="Y300" s="81"/>
      <c r="Z300" s="81"/>
      <c r="AA300" s="81"/>
      <c r="AB300" s="81"/>
      <c r="AC300" s="81"/>
      <c r="AD300" s="81"/>
      <c r="AE300" s="81"/>
      <c r="AF300" s="81"/>
      <c r="AG300" s="81"/>
      <c r="AH300" s="81"/>
      <c r="AI300" s="81"/>
      <c r="AJ300" s="81"/>
      <c r="AK300" s="81"/>
      <c r="AL300" s="81"/>
      <c r="AM300" s="81"/>
      <c r="AN300" s="81"/>
    </row>
    <row r="301" spans="1:40" ht="14.25" customHeight="1">
      <c r="A301" s="82">
        <v>71201</v>
      </c>
      <c r="B301" s="83" t="s">
        <v>27</v>
      </c>
      <c r="C301" s="83" t="s">
        <v>390</v>
      </c>
      <c r="D301" s="83" t="s">
        <v>391</v>
      </c>
      <c r="E301" s="103">
        <v>7</v>
      </c>
      <c r="F301" s="104">
        <v>1262</v>
      </c>
      <c r="G301" s="84">
        <f t="shared" ref="G301:G309" si="61">E301/$R$8</f>
        <v>4.2918454935622317E-3</v>
      </c>
      <c r="H301" s="85">
        <f t="shared" si="56"/>
        <v>5.3742489270386266E-2</v>
      </c>
      <c r="I301" s="84">
        <f t="shared" ref="I301:I309" si="62">F301/$S$8</f>
        <v>5.9926302993466036E-3</v>
      </c>
      <c r="J301" s="86">
        <f t="shared" si="58"/>
        <v>12.506619434736361</v>
      </c>
      <c r="K301" s="86">
        <f t="shared" si="54"/>
        <v>4.2971235793039186</v>
      </c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1"/>
      <c r="Y301" s="81"/>
      <c r="Z301" s="81"/>
      <c r="AA301" s="81"/>
      <c r="AB301" s="81"/>
      <c r="AC301" s="81"/>
      <c r="AD301" s="81"/>
      <c r="AE301" s="81"/>
      <c r="AF301" s="81"/>
      <c r="AG301" s="81"/>
      <c r="AH301" s="81"/>
      <c r="AI301" s="81"/>
      <c r="AJ301" s="81"/>
      <c r="AK301" s="81"/>
      <c r="AL301" s="81"/>
      <c r="AM301" s="81"/>
      <c r="AN301" s="81"/>
    </row>
    <row r="302" spans="1:40" ht="14.25" customHeight="1">
      <c r="A302" s="82">
        <v>71301</v>
      </c>
      <c r="B302" s="83" t="s">
        <v>27</v>
      </c>
      <c r="C302" s="83" t="s">
        <v>392</v>
      </c>
      <c r="D302" s="83" t="s">
        <v>393</v>
      </c>
      <c r="E302" s="103">
        <v>17</v>
      </c>
      <c r="F302" s="104">
        <v>1228</v>
      </c>
      <c r="G302" s="84">
        <f t="shared" si="61"/>
        <v>1.0423053341508276E-2</v>
      </c>
      <c r="H302" s="85">
        <f t="shared" si="56"/>
        <v>0.13051747394236665</v>
      </c>
      <c r="I302" s="84">
        <f t="shared" si="62"/>
        <v>5.831180671630451E-3</v>
      </c>
      <c r="J302" s="86">
        <f t="shared" si="58"/>
        <v>12.169674061692751</v>
      </c>
      <c r="K302" s="86">
        <f t="shared" si="54"/>
        <v>10.724812618704778</v>
      </c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1"/>
      <c r="Y302" s="81"/>
      <c r="Z302" s="81"/>
      <c r="AA302" s="81"/>
      <c r="AB302" s="81"/>
      <c r="AC302" s="81"/>
      <c r="AD302" s="81"/>
      <c r="AE302" s="81"/>
      <c r="AF302" s="81"/>
      <c r="AG302" s="81"/>
      <c r="AH302" s="81"/>
      <c r="AI302" s="81"/>
      <c r="AJ302" s="81"/>
      <c r="AK302" s="81"/>
      <c r="AL302" s="81"/>
      <c r="AM302" s="81"/>
      <c r="AN302" s="81"/>
    </row>
    <row r="303" spans="1:40" ht="14.25" customHeight="1">
      <c r="A303" s="82">
        <v>71302</v>
      </c>
      <c r="B303" s="83" t="s">
        <v>27</v>
      </c>
      <c r="C303" s="83" t="s">
        <v>392</v>
      </c>
      <c r="D303" s="83" t="s">
        <v>394</v>
      </c>
      <c r="E303" s="103">
        <v>2</v>
      </c>
      <c r="F303" s="104">
        <v>429</v>
      </c>
      <c r="G303" s="84">
        <f t="shared" si="61"/>
        <v>1.226241569589209E-3</v>
      </c>
      <c r="H303" s="85">
        <f t="shared" si="56"/>
        <v>1.5354996934396075E-2</v>
      </c>
      <c r="I303" s="84">
        <f t="shared" si="62"/>
        <v>2.0371144203008662E-3</v>
      </c>
      <c r="J303" s="86">
        <f t="shared" si="58"/>
        <v>4.2514577951679078</v>
      </c>
      <c r="K303" s="86">
        <f t="shared" si="54"/>
        <v>3.6117016031179117</v>
      </c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1"/>
      <c r="Y303" s="81"/>
      <c r="Z303" s="81"/>
      <c r="AA303" s="81"/>
      <c r="AB303" s="81"/>
      <c r="AC303" s="81"/>
      <c r="AD303" s="81"/>
      <c r="AE303" s="81"/>
      <c r="AF303" s="81"/>
      <c r="AG303" s="81"/>
      <c r="AH303" s="81"/>
      <c r="AI303" s="81"/>
      <c r="AJ303" s="81"/>
      <c r="AK303" s="81"/>
      <c r="AL303" s="81"/>
      <c r="AM303" s="81"/>
      <c r="AN303" s="81"/>
    </row>
    <row r="304" spans="1:40" ht="14.25" customHeight="1">
      <c r="A304" s="82">
        <v>71401</v>
      </c>
      <c r="B304" s="83" t="s">
        <v>27</v>
      </c>
      <c r="C304" s="83" t="s">
        <v>395</v>
      </c>
      <c r="D304" s="83" t="s">
        <v>396</v>
      </c>
      <c r="E304" s="103">
        <v>11</v>
      </c>
      <c r="F304" s="104">
        <v>1096</v>
      </c>
      <c r="G304" s="84">
        <f t="shared" si="61"/>
        <v>6.7443286327406498E-3</v>
      </c>
      <c r="H304" s="85">
        <f t="shared" si="56"/>
        <v>8.4452483139178414E-2</v>
      </c>
      <c r="I304" s="84">
        <f t="shared" si="62"/>
        <v>5.2043762346148E-3</v>
      </c>
      <c r="J304" s="86">
        <f t="shared" si="58"/>
        <v>10.861533201641087</v>
      </c>
      <c r="K304" s="86">
        <f t="shared" si="54"/>
        <v>7.7753740260553954</v>
      </c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1"/>
      <c r="Y304" s="81"/>
      <c r="Z304" s="81"/>
      <c r="AA304" s="81"/>
      <c r="AB304" s="81"/>
      <c r="AC304" s="81"/>
      <c r="AD304" s="81"/>
      <c r="AE304" s="81"/>
      <c r="AF304" s="81"/>
      <c r="AG304" s="81"/>
      <c r="AH304" s="81"/>
      <c r="AI304" s="81"/>
      <c r="AJ304" s="81"/>
      <c r="AK304" s="81"/>
      <c r="AL304" s="81"/>
      <c r="AM304" s="81"/>
      <c r="AN304" s="81"/>
    </row>
    <row r="305" spans="1:40" ht="14.25" customHeight="1">
      <c r="A305" s="82">
        <v>71402</v>
      </c>
      <c r="B305" s="83" t="s">
        <v>27</v>
      </c>
      <c r="C305" s="83" t="s">
        <v>395</v>
      </c>
      <c r="D305" s="83" t="s">
        <v>397</v>
      </c>
      <c r="E305" s="103">
        <v>9</v>
      </c>
      <c r="F305" s="104">
        <v>1215</v>
      </c>
      <c r="G305" s="84">
        <f t="shared" si="61"/>
        <v>5.5180870631514412E-3</v>
      </c>
      <c r="H305" s="85">
        <f t="shared" si="56"/>
        <v>6.9097486204782343E-2</v>
      </c>
      <c r="I305" s="84">
        <f t="shared" si="62"/>
        <v>5.7694499316213342E-3</v>
      </c>
      <c r="J305" s="86">
        <f t="shared" si="58"/>
        <v>12.040842007293724</v>
      </c>
      <c r="K305" s="86">
        <f t="shared" si="54"/>
        <v>5.7385925471762382</v>
      </c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1"/>
      <c r="Y305" s="81"/>
      <c r="Z305" s="81"/>
      <c r="AA305" s="81"/>
      <c r="AB305" s="81"/>
      <c r="AC305" s="81"/>
      <c r="AD305" s="81"/>
      <c r="AE305" s="81"/>
      <c r="AF305" s="81"/>
      <c r="AG305" s="81"/>
      <c r="AH305" s="81"/>
      <c r="AI305" s="81"/>
      <c r="AJ305" s="81"/>
      <c r="AK305" s="81"/>
      <c r="AL305" s="81"/>
      <c r="AM305" s="81"/>
      <c r="AN305" s="81"/>
    </row>
    <row r="306" spans="1:40" ht="14.25" customHeight="1">
      <c r="A306" s="82">
        <v>71403</v>
      </c>
      <c r="B306" s="83" t="s">
        <v>27</v>
      </c>
      <c r="C306" s="83" t="s">
        <v>395</v>
      </c>
      <c r="D306" s="83" t="s">
        <v>398</v>
      </c>
      <c r="E306" s="103">
        <v>12</v>
      </c>
      <c r="F306" s="104">
        <v>644</v>
      </c>
      <c r="G306" s="84">
        <f t="shared" si="61"/>
        <v>7.357449417535254E-3</v>
      </c>
      <c r="H306" s="85">
        <f t="shared" si="56"/>
        <v>9.2129981606376449E-2</v>
      </c>
      <c r="I306" s="84">
        <f t="shared" si="62"/>
        <v>3.058045889682419E-3</v>
      </c>
      <c r="J306" s="86">
        <f t="shared" si="58"/>
        <v>6.3821417717672082</v>
      </c>
      <c r="K306" s="86">
        <f t="shared" si="54"/>
        <v>14.435589947865692</v>
      </c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1"/>
      <c r="Y306" s="81"/>
      <c r="Z306" s="81"/>
      <c r="AA306" s="81"/>
      <c r="AB306" s="81"/>
      <c r="AC306" s="81"/>
      <c r="AD306" s="81"/>
      <c r="AE306" s="81"/>
      <c r="AF306" s="81"/>
      <c r="AG306" s="81"/>
      <c r="AH306" s="81"/>
      <c r="AI306" s="81"/>
      <c r="AJ306" s="81"/>
      <c r="AK306" s="81"/>
      <c r="AL306" s="81"/>
      <c r="AM306" s="81"/>
      <c r="AN306" s="81"/>
    </row>
    <row r="307" spans="1:40" ht="14.25" customHeight="1">
      <c r="A307" s="82">
        <v>71501</v>
      </c>
      <c r="B307" s="83" t="s">
        <v>27</v>
      </c>
      <c r="C307" s="83" t="s">
        <v>399</v>
      </c>
      <c r="D307" s="83" t="s">
        <v>400</v>
      </c>
      <c r="E307" s="103">
        <v>28</v>
      </c>
      <c r="F307" s="104">
        <v>2624</v>
      </c>
      <c r="G307" s="84">
        <f t="shared" si="61"/>
        <v>1.7167381974248927E-2</v>
      </c>
      <c r="H307" s="85">
        <f t="shared" si="56"/>
        <v>0.21496995708154507</v>
      </c>
      <c r="I307" s="84">
        <f t="shared" si="62"/>
        <v>1.2460112444917185E-2</v>
      </c>
      <c r="J307" s="86">
        <f t="shared" si="58"/>
        <v>26.004254672542167</v>
      </c>
      <c r="K307" s="86">
        <f t="shared" si="54"/>
        <v>8.2667224955511358</v>
      </c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1"/>
      <c r="Y307" s="81"/>
      <c r="Z307" s="81"/>
      <c r="AA307" s="81"/>
      <c r="AB307" s="81"/>
      <c r="AC307" s="81"/>
      <c r="AD307" s="81"/>
      <c r="AE307" s="81"/>
      <c r="AF307" s="81"/>
      <c r="AG307" s="81"/>
      <c r="AH307" s="81"/>
      <c r="AI307" s="81"/>
      <c r="AJ307" s="81"/>
      <c r="AK307" s="81"/>
      <c r="AL307" s="81"/>
      <c r="AM307" s="81"/>
      <c r="AN307" s="81"/>
    </row>
    <row r="308" spans="1:40" ht="14.25" customHeight="1">
      <c r="A308" s="82">
        <v>71502</v>
      </c>
      <c r="B308" s="83" t="s">
        <v>27</v>
      </c>
      <c r="C308" s="83" t="s">
        <v>399</v>
      </c>
      <c r="D308" s="83" t="s">
        <v>401</v>
      </c>
      <c r="E308" s="103">
        <v>10</v>
      </c>
      <c r="F308" s="104">
        <v>488</v>
      </c>
      <c r="G308" s="84">
        <f t="shared" si="61"/>
        <v>6.1312078479460455E-3</v>
      </c>
      <c r="H308" s="85">
        <f t="shared" si="56"/>
        <v>7.6774984671980379E-2</v>
      </c>
      <c r="I308" s="84">
        <f t="shared" si="62"/>
        <v>2.3172770095730134E-3</v>
      </c>
      <c r="J308" s="86">
        <f t="shared" si="58"/>
        <v>4.8361571189788792</v>
      </c>
      <c r="K308" s="86">
        <f t="shared" ref="K308:K343" si="63">1000*H308/J308</f>
        <v>15.875204792393278</v>
      </c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1"/>
      <c r="Y308" s="81"/>
      <c r="Z308" s="81"/>
      <c r="AA308" s="81"/>
      <c r="AB308" s="81"/>
      <c r="AC308" s="81"/>
      <c r="AD308" s="81"/>
      <c r="AE308" s="81"/>
      <c r="AF308" s="81"/>
      <c r="AG308" s="81"/>
      <c r="AH308" s="81"/>
      <c r="AI308" s="81"/>
      <c r="AJ308" s="81"/>
      <c r="AK308" s="81"/>
      <c r="AL308" s="81"/>
      <c r="AM308" s="81"/>
      <c r="AN308" s="81"/>
    </row>
    <row r="309" spans="1:40" ht="14.25" customHeight="1">
      <c r="A309" s="82">
        <v>71503</v>
      </c>
      <c r="B309" s="83" t="s">
        <v>27</v>
      </c>
      <c r="C309" s="83" t="s">
        <v>399</v>
      </c>
      <c r="D309" s="83" t="s">
        <v>332</v>
      </c>
      <c r="E309" s="103">
        <v>10</v>
      </c>
      <c r="F309" s="104">
        <v>1167</v>
      </c>
      <c r="G309" s="84">
        <f t="shared" si="61"/>
        <v>6.1312078479460455E-3</v>
      </c>
      <c r="H309" s="85">
        <f t="shared" si="56"/>
        <v>7.6774984671980379E-2</v>
      </c>
      <c r="I309" s="84">
        <f t="shared" si="62"/>
        <v>5.5415210454338249E-3</v>
      </c>
      <c r="J309" s="86">
        <f t="shared" si="58"/>
        <v>11.565154421820392</v>
      </c>
      <c r="K309" s="86">
        <f t="shared" si="63"/>
        <v>6.6384746689699412</v>
      </c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1"/>
      <c r="Y309" s="81"/>
      <c r="Z309" s="81"/>
      <c r="AA309" s="81"/>
      <c r="AB309" s="81"/>
      <c r="AC309" s="81"/>
      <c r="AD309" s="81"/>
      <c r="AE309" s="81"/>
      <c r="AF309" s="81"/>
      <c r="AG309" s="81"/>
      <c r="AH309" s="81"/>
      <c r="AI309" s="81"/>
      <c r="AJ309" s="81"/>
      <c r="AK309" s="81"/>
      <c r="AL309" s="81"/>
      <c r="AM309" s="81"/>
      <c r="AN309" s="81"/>
    </row>
    <row r="310" spans="1:40" ht="14.25" customHeight="1">
      <c r="A310" s="82">
        <v>80101</v>
      </c>
      <c r="B310" s="83" t="s">
        <v>29</v>
      </c>
      <c r="C310" s="83" t="s">
        <v>164</v>
      </c>
      <c r="D310" s="83" t="s">
        <v>402</v>
      </c>
      <c r="E310" s="103">
        <v>50</v>
      </c>
      <c r="F310" s="104">
        <v>8681</v>
      </c>
      <c r="G310" s="84">
        <f>E310/$R$9</f>
        <v>0.14880952380952381</v>
      </c>
      <c r="H310" s="85">
        <f>$S$24*G310</f>
        <v>0.64032738095238095</v>
      </c>
      <c r="I310" s="84">
        <f>F310/$S$9</f>
        <v>0.2398132545097931</v>
      </c>
      <c r="J310" s="86">
        <f>I310*$U$24</f>
        <v>79.378187242741518</v>
      </c>
      <c r="K310" s="86">
        <f t="shared" si="63"/>
        <v>8.066792694499755</v>
      </c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1"/>
      <c r="Y310" s="81"/>
      <c r="Z310" s="81"/>
      <c r="AA310" s="81"/>
      <c r="AB310" s="81"/>
      <c r="AC310" s="81"/>
      <c r="AD310" s="81"/>
      <c r="AE310" s="81"/>
      <c r="AF310" s="81"/>
      <c r="AG310" s="81"/>
      <c r="AH310" s="81"/>
      <c r="AI310" s="81"/>
      <c r="AJ310" s="81"/>
      <c r="AK310" s="81"/>
      <c r="AL310" s="81"/>
      <c r="AM310" s="81"/>
      <c r="AN310" s="81"/>
    </row>
    <row r="311" spans="1:40" ht="14.25" customHeight="1">
      <c r="A311" s="82">
        <v>80102</v>
      </c>
      <c r="B311" s="83" t="s">
        <v>29</v>
      </c>
      <c r="C311" s="83" t="s">
        <v>164</v>
      </c>
      <c r="D311" s="83" t="s">
        <v>385</v>
      </c>
      <c r="E311" s="103">
        <v>7</v>
      </c>
      <c r="F311" s="104">
        <v>570</v>
      </c>
      <c r="G311" s="84">
        <f t="shared" ref="G311:G329" si="64">E311/$R$9</f>
        <v>2.0833333333333332E-2</v>
      </c>
      <c r="H311" s="85">
        <f t="shared" ref="H311:H329" si="65">$S$24*G311</f>
        <v>8.9645833333333327E-2</v>
      </c>
      <c r="I311" s="84">
        <f t="shared" ref="I311:I329" si="66">F311/$S$9</f>
        <v>1.5746291334014752E-2</v>
      </c>
      <c r="J311" s="86">
        <f t="shared" ref="J311:J329" si="67">I311*$U$24</f>
        <v>5.212022431558883</v>
      </c>
      <c r="K311" s="86">
        <f t="shared" si="63"/>
        <v>17.199817251461987</v>
      </c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1"/>
      <c r="Y311" s="81"/>
      <c r="Z311" s="81"/>
      <c r="AA311" s="81"/>
      <c r="AB311" s="81"/>
      <c r="AC311" s="81"/>
      <c r="AD311" s="81"/>
      <c r="AE311" s="81"/>
      <c r="AF311" s="81"/>
      <c r="AG311" s="81"/>
      <c r="AH311" s="81"/>
      <c r="AI311" s="81"/>
      <c r="AJ311" s="81"/>
      <c r="AK311" s="81"/>
      <c r="AL311" s="81"/>
      <c r="AM311" s="81"/>
      <c r="AN311" s="81"/>
    </row>
    <row r="312" spans="1:40" ht="14.25" customHeight="1">
      <c r="A312" s="82">
        <v>80201</v>
      </c>
      <c r="B312" s="83" t="s">
        <v>29</v>
      </c>
      <c r="C312" s="83" t="s">
        <v>403</v>
      </c>
      <c r="D312" s="83" t="s">
        <v>404</v>
      </c>
      <c r="E312" s="103">
        <v>77</v>
      </c>
      <c r="F312" s="104">
        <v>8646</v>
      </c>
      <c r="G312" s="84">
        <f t="shared" si="64"/>
        <v>0.22916666666666666</v>
      </c>
      <c r="H312" s="85">
        <f t="shared" si="65"/>
        <v>0.98610416666666656</v>
      </c>
      <c r="I312" s="84">
        <f t="shared" si="66"/>
        <v>0.23884637697173955</v>
      </c>
      <c r="J312" s="86">
        <f t="shared" si="67"/>
        <v>79.058150777645793</v>
      </c>
      <c r="K312" s="86">
        <f t="shared" si="63"/>
        <v>12.473149915182356</v>
      </c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1"/>
      <c r="Y312" s="81"/>
      <c r="Z312" s="81"/>
      <c r="AA312" s="81"/>
      <c r="AB312" s="81"/>
      <c r="AC312" s="81"/>
      <c r="AD312" s="81"/>
      <c r="AE312" s="81"/>
      <c r="AF312" s="81"/>
      <c r="AG312" s="81"/>
      <c r="AH312" s="81"/>
      <c r="AI312" s="81"/>
      <c r="AJ312" s="81"/>
      <c r="AK312" s="81"/>
      <c r="AL312" s="81"/>
      <c r="AM312" s="81"/>
      <c r="AN312" s="81"/>
    </row>
    <row r="313" spans="1:40" ht="14.25" customHeight="1">
      <c r="A313" s="82">
        <v>80202</v>
      </c>
      <c r="B313" s="83" t="s">
        <v>29</v>
      </c>
      <c r="C313" s="83" t="s">
        <v>403</v>
      </c>
      <c r="D313" s="83" t="s">
        <v>405</v>
      </c>
      <c r="E313" s="103">
        <v>22</v>
      </c>
      <c r="F313" s="104">
        <v>2971</v>
      </c>
      <c r="G313" s="84">
        <f t="shared" si="64"/>
        <v>6.5476190476190479E-2</v>
      </c>
      <c r="H313" s="85">
        <f t="shared" si="65"/>
        <v>0.28174404761904764</v>
      </c>
      <c r="I313" s="84">
        <f t="shared" si="66"/>
        <v>8.2074090444487421E-2</v>
      </c>
      <c r="J313" s="86">
        <f t="shared" si="67"/>
        <v>27.166523937125337</v>
      </c>
      <c r="K313" s="86">
        <f t="shared" si="63"/>
        <v>10.371001025788976</v>
      </c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1"/>
      <c r="Y313" s="81"/>
      <c r="Z313" s="81"/>
      <c r="AA313" s="81"/>
      <c r="AB313" s="81"/>
      <c r="AC313" s="81"/>
      <c r="AD313" s="81"/>
      <c r="AE313" s="81"/>
      <c r="AF313" s="81"/>
      <c r="AG313" s="81"/>
      <c r="AH313" s="81"/>
      <c r="AI313" s="81"/>
      <c r="AJ313" s="81"/>
      <c r="AK313" s="81"/>
      <c r="AL313" s="81"/>
      <c r="AM313" s="81"/>
      <c r="AN313" s="81"/>
    </row>
    <row r="314" spans="1:40" ht="14.25" customHeight="1">
      <c r="A314" s="82">
        <v>80301</v>
      </c>
      <c r="B314" s="83" t="s">
        <v>29</v>
      </c>
      <c r="C314" s="83" t="s">
        <v>406</v>
      </c>
      <c r="D314" s="83" t="s">
        <v>407</v>
      </c>
      <c r="E314" s="103">
        <v>15</v>
      </c>
      <c r="F314" s="104">
        <v>916</v>
      </c>
      <c r="G314" s="84">
        <f t="shared" si="64"/>
        <v>4.4642857142857144E-2</v>
      </c>
      <c r="H314" s="85">
        <f t="shared" si="65"/>
        <v>0.19209821428571427</v>
      </c>
      <c r="I314" s="84">
        <f t="shared" si="66"/>
        <v>2.5304566424486863E-2</v>
      </c>
      <c r="J314" s="86">
        <f t="shared" si="67"/>
        <v>8.3758114865051514</v>
      </c>
      <c r="K314" s="86">
        <f t="shared" si="63"/>
        <v>22.934877963194012</v>
      </c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1"/>
      <c r="Y314" s="81"/>
      <c r="Z314" s="81"/>
      <c r="AA314" s="81"/>
      <c r="AB314" s="81"/>
      <c r="AC314" s="81"/>
      <c r="AD314" s="81"/>
      <c r="AE314" s="81"/>
      <c r="AF314" s="81"/>
      <c r="AG314" s="81"/>
      <c r="AH314" s="81"/>
      <c r="AI314" s="81"/>
      <c r="AJ314" s="81"/>
      <c r="AK314" s="81"/>
      <c r="AL314" s="81"/>
      <c r="AM314" s="81"/>
      <c r="AN314" s="81"/>
    </row>
    <row r="315" spans="1:40" ht="14.25" customHeight="1">
      <c r="A315" s="82">
        <v>80302</v>
      </c>
      <c r="B315" s="83" t="s">
        <v>29</v>
      </c>
      <c r="C315" s="83" t="s">
        <v>406</v>
      </c>
      <c r="D315" s="83" t="s">
        <v>408</v>
      </c>
      <c r="E315" s="103">
        <v>52</v>
      </c>
      <c r="F315" s="104">
        <v>3681</v>
      </c>
      <c r="G315" s="84">
        <f t="shared" si="64"/>
        <v>0.15476190476190477</v>
      </c>
      <c r="H315" s="85">
        <f t="shared" si="65"/>
        <v>0.66594047619047625</v>
      </c>
      <c r="I315" s="84">
        <f t="shared" si="66"/>
        <v>0.10168789193071631</v>
      </c>
      <c r="J315" s="86">
        <f t="shared" si="67"/>
        <v>33.6586922290671</v>
      </c>
      <c r="K315" s="86">
        <f t="shared" si="63"/>
        <v>19.785096570548895</v>
      </c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1"/>
      <c r="Y315" s="81"/>
      <c r="Z315" s="81"/>
      <c r="AA315" s="81"/>
      <c r="AB315" s="81"/>
      <c r="AC315" s="81"/>
      <c r="AD315" s="81"/>
      <c r="AE315" s="81"/>
      <c r="AF315" s="81"/>
      <c r="AG315" s="81"/>
      <c r="AH315" s="81"/>
      <c r="AI315" s="81"/>
      <c r="AJ315" s="81"/>
      <c r="AK315" s="81"/>
      <c r="AL315" s="81"/>
      <c r="AM315" s="81"/>
      <c r="AN315" s="81"/>
    </row>
    <row r="316" spans="1:40" ht="14.25" customHeight="1">
      <c r="A316" s="82">
        <v>80303</v>
      </c>
      <c r="B316" s="83" t="s">
        <v>29</v>
      </c>
      <c r="C316" s="83" t="s">
        <v>406</v>
      </c>
      <c r="D316" s="83" t="s">
        <v>409</v>
      </c>
      <c r="E316" s="103">
        <v>10</v>
      </c>
      <c r="F316" s="104">
        <v>889</v>
      </c>
      <c r="G316" s="84">
        <f t="shared" si="64"/>
        <v>2.976190476190476E-2</v>
      </c>
      <c r="H316" s="85">
        <f t="shared" si="65"/>
        <v>0.12806547619047617</v>
      </c>
      <c r="I316" s="84">
        <f t="shared" si="66"/>
        <v>2.4558689466559851E-2</v>
      </c>
      <c r="J316" s="86">
        <f t="shared" si="67"/>
        <v>8.1289262134313116</v>
      </c>
      <c r="K316" s="86">
        <f t="shared" si="63"/>
        <v>15.754291874230002</v>
      </c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1"/>
      <c r="Y316" s="81"/>
      <c r="Z316" s="81"/>
      <c r="AA316" s="81"/>
      <c r="AB316" s="81"/>
      <c r="AC316" s="81"/>
      <c r="AD316" s="81"/>
      <c r="AE316" s="81"/>
      <c r="AF316" s="81"/>
      <c r="AG316" s="81"/>
      <c r="AH316" s="81"/>
      <c r="AI316" s="81"/>
      <c r="AJ316" s="81"/>
      <c r="AK316" s="81"/>
      <c r="AL316" s="81"/>
      <c r="AM316" s="81"/>
      <c r="AN316" s="81"/>
    </row>
    <row r="317" spans="1:40" ht="14.25" customHeight="1">
      <c r="A317" s="82">
        <v>80304</v>
      </c>
      <c r="B317" s="83" t="s">
        <v>29</v>
      </c>
      <c r="C317" s="83" t="s">
        <v>406</v>
      </c>
      <c r="D317" s="83" t="s">
        <v>410</v>
      </c>
      <c r="E317" s="103">
        <v>18</v>
      </c>
      <c r="F317" s="104">
        <v>1670</v>
      </c>
      <c r="G317" s="84">
        <f t="shared" si="64"/>
        <v>5.3571428571428568E-2</v>
      </c>
      <c r="H317" s="85">
        <f t="shared" si="65"/>
        <v>0.23051785714285714</v>
      </c>
      <c r="I317" s="84">
        <f t="shared" si="66"/>
        <v>4.6133871101411643E-2</v>
      </c>
      <c r="J317" s="86">
        <f t="shared" si="67"/>
        <v>15.270311334567253</v>
      </c>
      <c r="K317" s="86">
        <f t="shared" si="63"/>
        <v>15.095819076133447</v>
      </c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1"/>
      <c r="Y317" s="81"/>
      <c r="Z317" s="81"/>
      <c r="AA317" s="81"/>
      <c r="AB317" s="81"/>
      <c r="AC317" s="81"/>
      <c r="AD317" s="81"/>
      <c r="AE317" s="81"/>
      <c r="AF317" s="81"/>
      <c r="AG317" s="81"/>
      <c r="AH317" s="81"/>
      <c r="AI317" s="81"/>
      <c r="AJ317" s="81"/>
      <c r="AK317" s="81"/>
      <c r="AL317" s="81"/>
      <c r="AM317" s="81"/>
      <c r="AN317" s="81"/>
    </row>
    <row r="318" spans="1:40" ht="14.25" customHeight="1">
      <c r="A318" s="82">
        <v>80401</v>
      </c>
      <c r="B318" s="83" t="s">
        <v>29</v>
      </c>
      <c r="C318" s="83" t="s">
        <v>411</v>
      </c>
      <c r="D318" s="83" t="s">
        <v>412</v>
      </c>
      <c r="E318" s="103">
        <v>7</v>
      </c>
      <c r="F318" s="104">
        <v>1410</v>
      </c>
      <c r="G318" s="84">
        <f t="shared" si="64"/>
        <v>2.0833333333333332E-2</v>
      </c>
      <c r="H318" s="85">
        <f t="shared" si="65"/>
        <v>8.9645833333333327E-2</v>
      </c>
      <c r="I318" s="84">
        <f t="shared" si="66"/>
        <v>3.8951352247299648E-2</v>
      </c>
      <c r="J318" s="86">
        <f t="shared" si="67"/>
        <v>12.892897593856183</v>
      </c>
      <c r="K318" s="86">
        <f t="shared" si="63"/>
        <v>6.953117612293144</v>
      </c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1"/>
      <c r="Y318" s="81"/>
      <c r="Z318" s="81"/>
      <c r="AA318" s="81"/>
      <c r="AB318" s="81"/>
      <c r="AC318" s="81"/>
      <c r="AD318" s="81"/>
      <c r="AE318" s="81"/>
      <c r="AF318" s="81"/>
      <c r="AG318" s="81"/>
      <c r="AH318" s="81"/>
      <c r="AI318" s="81"/>
      <c r="AJ318" s="81"/>
      <c r="AK318" s="81"/>
      <c r="AL318" s="81"/>
      <c r="AM318" s="81"/>
      <c r="AN318" s="81"/>
    </row>
    <row r="319" spans="1:40" ht="14.25" customHeight="1">
      <c r="A319" s="82">
        <v>80402</v>
      </c>
      <c r="B319" s="83" t="s">
        <v>29</v>
      </c>
      <c r="C319" s="83" t="s">
        <v>411</v>
      </c>
      <c r="D319" s="83" t="s">
        <v>413</v>
      </c>
      <c r="E319" s="103">
        <v>2</v>
      </c>
      <c r="F319" s="104">
        <v>510</v>
      </c>
      <c r="G319" s="84">
        <f t="shared" si="64"/>
        <v>5.9523809523809521E-3</v>
      </c>
      <c r="H319" s="85">
        <f t="shared" si="65"/>
        <v>2.5613095238095237E-2</v>
      </c>
      <c r="I319" s="84">
        <f t="shared" si="66"/>
        <v>1.4088786983065831E-2</v>
      </c>
      <c r="J319" s="86">
        <f t="shared" si="67"/>
        <v>4.6633884913947901</v>
      </c>
      <c r="K319" s="86">
        <f t="shared" si="63"/>
        <v>5.4923786181139116</v>
      </c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1"/>
      <c r="Y319" s="81"/>
      <c r="Z319" s="81"/>
      <c r="AA319" s="81"/>
      <c r="AB319" s="81"/>
      <c r="AC319" s="81"/>
      <c r="AD319" s="81"/>
      <c r="AE319" s="81"/>
      <c r="AF319" s="81"/>
      <c r="AG319" s="81"/>
      <c r="AH319" s="81"/>
      <c r="AI319" s="81"/>
      <c r="AJ319" s="81"/>
      <c r="AK319" s="81"/>
      <c r="AL319" s="81"/>
      <c r="AM319" s="81"/>
      <c r="AN319" s="81"/>
    </row>
    <row r="320" spans="1:40" ht="14.25" customHeight="1">
      <c r="A320" s="82">
        <v>80501</v>
      </c>
      <c r="B320" s="83" t="s">
        <v>29</v>
      </c>
      <c r="C320" s="83" t="s">
        <v>414</v>
      </c>
      <c r="D320" s="83" t="s">
        <v>415</v>
      </c>
      <c r="E320" s="103">
        <v>21</v>
      </c>
      <c r="F320" s="104">
        <v>1779</v>
      </c>
      <c r="G320" s="84">
        <f t="shared" si="64"/>
        <v>6.25E-2</v>
      </c>
      <c r="H320" s="85">
        <f t="shared" si="65"/>
        <v>0.2689375</v>
      </c>
      <c r="I320" s="84">
        <f t="shared" si="66"/>
        <v>4.9145004005635512E-2</v>
      </c>
      <c r="J320" s="86">
        <f t="shared" si="67"/>
        <v>16.266996325865353</v>
      </c>
      <c r="K320" s="86">
        <f t="shared" si="63"/>
        <v>16.532707982012369</v>
      </c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1"/>
      <c r="Y320" s="81"/>
      <c r="Z320" s="81"/>
      <c r="AA320" s="81"/>
      <c r="AB320" s="81"/>
      <c r="AC320" s="81"/>
      <c r="AD320" s="81"/>
      <c r="AE320" s="81"/>
      <c r="AF320" s="81"/>
      <c r="AG320" s="81"/>
      <c r="AH320" s="81"/>
      <c r="AI320" s="81"/>
      <c r="AJ320" s="81"/>
      <c r="AK320" s="81"/>
      <c r="AL320" s="81"/>
      <c r="AM320" s="81"/>
      <c r="AN320" s="81"/>
    </row>
    <row r="321" spans="1:40" ht="14.25" customHeight="1">
      <c r="A321" s="82">
        <v>80601</v>
      </c>
      <c r="B321" s="83" t="s">
        <v>29</v>
      </c>
      <c r="C321" s="83" t="s">
        <v>416</v>
      </c>
      <c r="D321" s="83" t="s">
        <v>417</v>
      </c>
      <c r="E321" s="103">
        <v>5</v>
      </c>
      <c r="F321" s="104">
        <v>340</v>
      </c>
      <c r="G321" s="84">
        <f t="shared" si="64"/>
        <v>1.488095238095238E-2</v>
      </c>
      <c r="H321" s="85">
        <f t="shared" si="65"/>
        <v>6.4032738095238087E-2</v>
      </c>
      <c r="I321" s="84">
        <f t="shared" si="66"/>
        <v>9.3925246553772206E-3</v>
      </c>
      <c r="J321" s="86">
        <f t="shared" si="67"/>
        <v>3.1089256609298599</v>
      </c>
      <c r="K321" s="86">
        <f t="shared" si="63"/>
        <v>20.59641981792717</v>
      </c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1"/>
      <c r="Y321" s="81"/>
      <c r="Z321" s="81"/>
      <c r="AA321" s="81"/>
      <c r="AB321" s="81"/>
      <c r="AC321" s="81"/>
      <c r="AD321" s="81"/>
      <c r="AE321" s="81"/>
      <c r="AF321" s="81"/>
      <c r="AG321" s="81"/>
      <c r="AH321" s="81"/>
      <c r="AI321" s="81"/>
      <c r="AJ321" s="81"/>
      <c r="AK321" s="81"/>
      <c r="AL321" s="81"/>
      <c r="AM321" s="81"/>
      <c r="AN321" s="81"/>
    </row>
    <row r="322" spans="1:40" ht="14.25" customHeight="1">
      <c r="A322" s="82">
        <v>80602</v>
      </c>
      <c r="B322" s="83" t="s">
        <v>29</v>
      </c>
      <c r="C322" s="83" t="s">
        <v>416</v>
      </c>
      <c r="D322" s="83" t="s">
        <v>418</v>
      </c>
      <c r="E322" s="103">
        <v>17</v>
      </c>
      <c r="F322" s="104">
        <v>1113</v>
      </c>
      <c r="G322" s="84">
        <f t="shared" si="64"/>
        <v>5.0595238095238096E-2</v>
      </c>
      <c r="H322" s="85">
        <f t="shared" si="65"/>
        <v>0.21771130952380952</v>
      </c>
      <c r="I322" s="84">
        <f t="shared" si="66"/>
        <v>3.074670571010249E-2</v>
      </c>
      <c r="J322" s="86">
        <f t="shared" si="67"/>
        <v>10.177159590043924</v>
      </c>
      <c r="K322" s="86">
        <f t="shared" si="63"/>
        <v>21.392148526077097</v>
      </c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1"/>
      <c r="Y322" s="81"/>
      <c r="Z322" s="81"/>
      <c r="AA322" s="81"/>
      <c r="AB322" s="81"/>
      <c r="AC322" s="81"/>
      <c r="AD322" s="81"/>
      <c r="AE322" s="81"/>
      <c r="AF322" s="81"/>
      <c r="AG322" s="81"/>
      <c r="AH322" s="81"/>
      <c r="AI322" s="81"/>
      <c r="AJ322" s="81"/>
      <c r="AK322" s="81"/>
      <c r="AL322" s="81"/>
      <c r="AM322" s="81"/>
      <c r="AN322" s="81"/>
    </row>
    <row r="323" spans="1:40" ht="14.25" customHeight="1">
      <c r="A323" s="82">
        <v>80701</v>
      </c>
      <c r="B323" s="83" t="s">
        <v>29</v>
      </c>
      <c r="C323" s="83" t="s">
        <v>419</v>
      </c>
      <c r="D323" s="83" t="s">
        <v>420</v>
      </c>
      <c r="E323" s="103">
        <v>4</v>
      </c>
      <c r="F323" s="104">
        <v>449</v>
      </c>
      <c r="G323" s="84">
        <f t="shared" si="64"/>
        <v>1.1904761904761904E-2</v>
      </c>
      <c r="H323" s="85">
        <f t="shared" si="65"/>
        <v>5.1226190476190474E-2</v>
      </c>
      <c r="I323" s="84">
        <f t="shared" si="66"/>
        <v>1.2403657559601093E-2</v>
      </c>
      <c r="J323" s="86">
        <f t="shared" si="67"/>
        <v>4.1056106522279618</v>
      </c>
      <c r="K323" s="86">
        <f t="shared" si="63"/>
        <v>12.477118464312229</v>
      </c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1"/>
      <c r="Y323" s="81"/>
      <c r="Z323" s="81"/>
      <c r="AA323" s="81"/>
      <c r="AB323" s="81"/>
      <c r="AC323" s="81"/>
      <c r="AD323" s="81"/>
      <c r="AE323" s="81"/>
      <c r="AF323" s="81"/>
      <c r="AG323" s="81"/>
      <c r="AH323" s="81"/>
      <c r="AI323" s="81"/>
      <c r="AJ323" s="81"/>
      <c r="AK323" s="81"/>
      <c r="AL323" s="81"/>
      <c r="AM323" s="81"/>
      <c r="AN323" s="81"/>
    </row>
    <row r="324" spans="1:40" ht="14.25" customHeight="1">
      <c r="A324" s="82">
        <v>80702</v>
      </c>
      <c r="B324" s="83" t="s">
        <v>29</v>
      </c>
      <c r="C324" s="83" t="s">
        <v>419</v>
      </c>
      <c r="D324" s="83" t="s">
        <v>386</v>
      </c>
      <c r="E324" s="103">
        <v>3</v>
      </c>
      <c r="F324" s="104">
        <v>385</v>
      </c>
      <c r="G324" s="84">
        <f t="shared" si="64"/>
        <v>8.9285714285714281E-3</v>
      </c>
      <c r="H324" s="85">
        <f t="shared" si="65"/>
        <v>3.8419642857142854E-2</v>
      </c>
      <c r="I324" s="84">
        <f t="shared" si="66"/>
        <v>1.063565291858891E-2</v>
      </c>
      <c r="J324" s="86">
        <f t="shared" si="67"/>
        <v>3.5204011160529292</v>
      </c>
      <c r="K324" s="86">
        <f t="shared" si="63"/>
        <v>10.913427643784788</v>
      </c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1"/>
      <c r="Y324" s="81"/>
      <c r="Z324" s="81"/>
      <c r="AA324" s="81"/>
      <c r="AB324" s="81"/>
      <c r="AC324" s="81"/>
      <c r="AD324" s="81"/>
      <c r="AE324" s="81"/>
      <c r="AF324" s="81"/>
      <c r="AG324" s="81"/>
      <c r="AH324" s="81"/>
      <c r="AI324" s="81"/>
      <c r="AJ324" s="81"/>
      <c r="AK324" s="81"/>
      <c r="AL324" s="81"/>
      <c r="AM324" s="81"/>
      <c r="AN324" s="81"/>
    </row>
    <row r="325" spans="1:40" ht="14.25" customHeight="1">
      <c r="A325" s="82">
        <v>80703</v>
      </c>
      <c r="B325" s="83" t="s">
        <v>29</v>
      </c>
      <c r="C325" s="83" t="s">
        <v>419</v>
      </c>
      <c r="D325" s="83" t="s">
        <v>421</v>
      </c>
      <c r="E325" s="103">
        <v>0</v>
      </c>
      <c r="F325" s="104">
        <v>92</v>
      </c>
      <c r="G325" s="84">
        <f t="shared" si="64"/>
        <v>0</v>
      </c>
      <c r="H325" s="85">
        <f t="shared" si="65"/>
        <v>0</v>
      </c>
      <c r="I325" s="84">
        <f t="shared" si="66"/>
        <v>2.5415066714550125E-3</v>
      </c>
      <c r="J325" s="86">
        <f t="shared" si="67"/>
        <v>0.84123870825160918</v>
      </c>
      <c r="K325" s="86">
        <f t="shared" si="63"/>
        <v>0</v>
      </c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1"/>
      <c r="Y325" s="81"/>
      <c r="Z325" s="81"/>
      <c r="AA325" s="81"/>
      <c r="AB325" s="81"/>
      <c r="AC325" s="81"/>
      <c r="AD325" s="81"/>
      <c r="AE325" s="81"/>
      <c r="AF325" s="81"/>
      <c r="AG325" s="81"/>
      <c r="AH325" s="81"/>
      <c r="AI325" s="81"/>
      <c r="AJ325" s="81"/>
      <c r="AK325" s="81"/>
      <c r="AL325" s="81"/>
      <c r="AM325" s="81"/>
      <c r="AN325" s="81"/>
    </row>
    <row r="326" spans="1:40" ht="14.25" customHeight="1">
      <c r="A326" s="82">
        <v>80801</v>
      </c>
      <c r="B326" s="83" t="s">
        <v>29</v>
      </c>
      <c r="C326" s="83" t="s">
        <v>422</v>
      </c>
      <c r="D326" s="83" t="s">
        <v>423</v>
      </c>
      <c r="E326" s="103">
        <v>7</v>
      </c>
      <c r="F326" s="104">
        <v>913</v>
      </c>
      <c r="G326" s="84">
        <f t="shared" si="64"/>
        <v>2.0833333333333332E-2</v>
      </c>
      <c r="H326" s="85">
        <f t="shared" si="65"/>
        <v>8.9645833333333327E-2</v>
      </c>
      <c r="I326" s="84">
        <f t="shared" si="66"/>
        <v>2.5221691206939418E-2</v>
      </c>
      <c r="J326" s="86">
        <f t="shared" si="67"/>
        <v>8.3483797894969474</v>
      </c>
      <c r="K326" s="86">
        <f t="shared" si="63"/>
        <v>10.738111537057319</v>
      </c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1"/>
      <c r="Y326" s="81"/>
      <c r="Z326" s="81"/>
      <c r="AA326" s="81"/>
      <c r="AB326" s="81"/>
      <c r="AC326" s="81"/>
      <c r="AD326" s="81"/>
      <c r="AE326" s="81"/>
      <c r="AF326" s="81"/>
      <c r="AG326" s="81"/>
      <c r="AH326" s="81"/>
      <c r="AI326" s="81"/>
      <c r="AJ326" s="81"/>
      <c r="AK326" s="81"/>
      <c r="AL326" s="81"/>
      <c r="AM326" s="81"/>
      <c r="AN326" s="81"/>
    </row>
    <row r="327" spans="1:40" ht="14.25" customHeight="1">
      <c r="A327" s="82">
        <v>80802</v>
      </c>
      <c r="B327" s="83" t="s">
        <v>29</v>
      </c>
      <c r="C327" s="83" t="s">
        <v>422</v>
      </c>
      <c r="D327" s="83" t="s">
        <v>424</v>
      </c>
      <c r="E327" s="103">
        <v>7</v>
      </c>
      <c r="F327" s="104">
        <v>459</v>
      </c>
      <c r="G327" s="84">
        <f t="shared" si="64"/>
        <v>2.0833333333333332E-2</v>
      </c>
      <c r="H327" s="85">
        <f t="shared" si="65"/>
        <v>8.9645833333333327E-2</v>
      </c>
      <c r="I327" s="84">
        <f t="shared" si="66"/>
        <v>1.2679908284759248E-2</v>
      </c>
      <c r="J327" s="86">
        <f t="shared" si="67"/>
        <v>4.197049642255311</v>
      </c>
      <c r="K327" s="86">
        <f t="shared" si="63"/>
        <v>21.359250181554103</v>
      </c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1"/>
      <c r="Y327" s="81"/>
      <c r="Z327" s="81"/>
      <c r="AA327" s="81"/>
      <c r="AB327" s="81"/>
      <c r="AC327" s="81"/>
      <c r="AD327" s="81"/>
      <c r="AE327" s="81"/>
      <c r="AF327" s="81"/>
      <c r="AG327" s="81"/>
      <c r="AH327" s="81"/>
      <c r="AI327" s="81"/>
      <c r="AJ327" s="81"/>
      <c r="AK327" s="81"/>
      <c r="AL327" s="81"/>
      <c r="AM327" s="81"/>
      <c r="AN327" s="81"/>
    </row>
    <row r="328" spans="1:40" ht="14.25" customHeight="1">
      <c r="A328" s="82">
        <v>80803</v>
      </c>
      <c r="B328" s="83" t="s">
        <v>29</v>
      </c>
      <c r="C328" s="83" t="s">
        <v>422</v>
      </c>
      <c r="D328" s="83" t="s">
        <v>425</v>
      </c>
      <c r="E328" s="103">
        <v>1</v>
      </c>
      <c r="F328" s="104">
        <v>329</v>
      </c>
      <c r="G328" s="84">
        <f t="shared" si="64"/>
        <v>2.976190476190476E-3</v>
      </c>
      <c r="H328" s="85">
        <f t="shared" si="65"/>
        <v>1.2806547619047618E-2</v>
      </c>
      <c r="I328" s="84">
        <f t="shared" si="66"/>
        <v>9.0886488577032517E-3</v>
      </c>
      <c r="J328" s="86">
        <f t="shared" si="67"/>
        <v>3.0083427718997764</v>
      </c>
      <c r="K328" s="86">
        <f t="shared" si="63"/>
        <v>4.2570107830366188</v>
      </c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1"/>
      <c r="Y328" s="81"/>
      <c r="Z328" s="81"/>
      <c r="AA328" s="81"/>
      <c r="AB328" s="81"/>
      <c r="AC328" s="81"/>
      <c r="AD328" s="81"/>
      <c r="AE328" s="81"/>
      <c r="AF328" s="81"/>
      <c r="AG328" s="81"/>
      <c r="AH328" s="81"/>
      <c r="AI328" s="81"/>
      <c r="AJ328" s="81"/>
      <c r="AK328" s="81"/>
      <c r="AL328" s="81"/>
      <c r="AM328" s="81"/>
      <c r="AN328" s="81"/>
    </row>
    <row r="329" spans="1:40" ht="14.25" customHeight="1">
      <c r="A329" s="98">
        <v>80901</v>
      </c>
      <c r="B329" s="83" t="s">
        <v>29</v>
      </c>
      <c r="C329" s="83"/>
      <c r="D329" s="83" t="s">
        <v>426</v>
      </c>
      <c r="E329" s="103">
        <v>11</v>
      </c>
      <c r="F329" s="108">
        <v>396</v>
      </c>
      <c r="G329" s="84">
        <f t="shared" si="64"/>
        <v>3.273809523809524E-2</v>
      </c>
      <c r="H329" s="85">
        <f t="shared" si="65"/>
        <v>0.14087202380952382</v>
      </c>
      <c r="I329" s="84">
        <f t="shared" si="66"/>
        <v>1.0939528716262881E-2</v>
      </c>
      <c r="J329" s="86">
        <f t="shared" si="67"/>
        <v>3.6209840050830135</v>
      </c>
      <c r="K329" s="86">
        <f t="shared" si="63"/>
        <v>38.904348544973544</v>
      </c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1"/>
      <c r="Y329" s="81"/>
      <c r="Z329" s="81"/>
      <c r="AA329" s="81"/>
      <c r="AB329" s="81"/>
      <c r="AC329" s="81"/>
      <c r="AD329" s="81"/>
      <c r="AE329" s="81"/>
      <c r="AF329" s="81"/>
      <c r="AG329" s="81"/>
      <c r="AH329" s="81"/>
      <c r="AI329" s="81"/>
      <c r="AJ329" s="81"/>
      <c r="AK329" s="81"/>
      <c r="AL329" s="81"/>
      <c r="AM329" s="81"/>
      <c r="AN329" s="81"/>
    </row>
    <row r="330" spans="1:40" ht="14.25" customHeight="1">
      <c r="A330" s="82">
        <v>90101</v>
      </c>
      <c r="B330" s="83" t="s">
        <v>31</v>
      </c>
      <c r="C330" s="83" t="s">
        <v>427</v>
      </c>
      <c r="D330" s="83" t="s">
        <v>428</v>
      </c>
      <c r="E330" s="103">
        <v>32</v>
      </c>
      <c r="F330" s="104">
        <v>3599</v>
      </c>
      <c r="G330" s="84">
        <f>E330/$R$10</f>
        <v>0.45070422535211269</v>
      </c>
      <c r="H330" s="85">
        <f>$S$25*G330</f>
        <v>0.47774647887323946</v>
      </c>
      <c r="I330" s="84">
        <f>F330/$S$10</f>
        <v>0.37836417157275021</v>
      </c>
      <c r="J330" s="86">
        <f>I330*$U$25</f>
        <v>40.10660218671152</v>
      </c>
      <c r="K330" s="86">
        <f t="shared" si="63"/>
        <v>11.911916064321469</v>
      </c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1"/>
      <c r="Y330" s="81"/>
      <c r="Z330" s="81"/>
      <c r="AA330" s="81"/>
      <c r="AB330" s="81"/>
      <c r="AC330" s="81"/>
      <c r="AD330" s="81"/>
      <c r="AE330" s="81"/>
      <c r="AF330" s="81"/>
      <c r="AG330" s="81"/>
      <c r="AH330" s="81"/>
      <c r="AI330" s="81"/>
      <c r="AJ330" s="81"/>
      <c r="AK330" s="81"/>
      <c r="AL330" s="81"/>
      <c r="AM330" s="81"/>
      <c r="AN330" s="81"/>
    </row>
    <row r="331" spans="1:40" ht="14.25" customHeight="1">
      <c r="A331" s="82">
        <v>90102</v>
      </c>
      <c r="B331" s="83" t="s">
        <v>31</v>
      </c>
      <c r="C331" s="83" t="s">
        <v>427</v>
      </c>
      <c r="D331" s="83" t="s">
        <v>429</v>
      </c>
      <c r="E331" s="103">
        <v>1</v>
      </c>
      <c r="F331" s="104">
        <v>625</v>
      </c>
      <c r="G331" s="84">
        <f t="shared" ref="G331:G344" si="68">E331/$R$10</f>
        <v>1.4084507042253521E-2</v>
      </c>
      <c r="H331" s="85">
        <f t="shared" ref="H331:H344" si="69">$S$25*G331</f>
        <v>1.4929577464788733E-2</v>
      </c>
      <c r="I331" s="84">
        <f t="shared" ref="I331:I344" si="70">F331/$S$10</f>
        <v>6.5706476030277544E-2</v>
      </c>
      <c r="J331" s="86">
        <f t="shared" ref="J331:J344" si="71">I331*$U$25</f>
        <v>6.9648864592094197</v>
      </c>
      <c r="K331" s="86">
        <f t="shared" si="63"/>
        <v>2.143549295774648</v>
      </c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1"/>
      <c r="Y331" s="81"/>
      <c r="Z331" s="81"/>
      <c r="AA331" s="81"/>
      <c r="AB331" s="81"/>
      <c r="AC331" s="81"/>
      <c r="AD331" s="81"/>
      <c r="AE331" s="81"/>
      <c r="AF331" s="81"/>
      <c r="AG331" s="81"/>
      <c r="AH331" s="81"/>
      <c r="AI331" s="81"/>
      <c r="AJ331" s="81"/>
      <c r="AK331" s="81"/>
      <c r="AL331" s="81"/>
      <c r="AM331" s="81"/>
      <c r="AN331" s="81"/>
    </row>
    <row r="332" spans="1:40" ht="14.25" customHeight="1">
      <c r="A332" s="82">
        <v>90103</v>
      </c>
      <c r="B332" s="83" t="s">
        <v>31</v>
      </c>
      <c r="C332" s="83" t="s">
        <v>427</v>
      </c>
      <c r="D332" s="83" t="s">
        <v>430</v>
      </c>
      <c r="E332" s="103">
        <v>0</v>
      </c>
      <c r="F332" s="104">
        <v>152</v>
      </c>
      <c r="G332" s="84">
        <f t="shared" si="68"/>
        <v>0</v>
      </c>
      <c r="H332" s="85">
        <f t="shared" si="69"/>
        <v>0</v>
      </c>
      <c r="I332" s="84">
        <f t="shared" si="70"/>
        <v>1.59798149705635E-2</v>
      </c>
      <c r="J332" s="86">
        <f t="shared" si="71"/>
        <v>1.6938603868797308</v>
      </c>
      <c r="K332" s="86">
        <f t="shared" si="63"/>
        <v>0</v>
      </c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1"/>
      <c r="Y332" s="81"/>
      <c r="Z332" s="81"/>
      <c r="AA332" s="81"/>
      <c r="AB332" s="81"/>
      <c r="AC332" s="81"/>
      <c r="AD332" s="81"/>
      <c r="AE332" s="81"/>
      <c r="AF332" s="81"/>
      <c r="AG332" s="81"/>
      <c r="AH332" s="81"/>
      <c r="AI332" s="81"/>
      <c r="AJ332" s="81"/>
      <c r="AK332" s="81"/>
      <c r="AL332" s="81"/>
      <c r="AM332" s="81"/>
      <c r="AN332" s="81"/>
    </row>
    <row r="333" spans="1:40" ht="14.25" customHeight="1">
      <c r="A333" s="82">
        <v>90104</v>
      </c>
      <c r="B333" s="83" t="s">
        <v>31</v>
      </c>
      <c r="C333" s="83" t="s">
        <v>427</v>
      </c>
      <c r="D333" s="83" t="s">
        <v>431</v>
      </c>
      <c r="E333" s="103">
        <v>1</v>
      </c>
      <c r="F333" s="104">
        <v>263</v>
      </c>
      <c r="G333" s="84">
        <f t="shared" si="68"/>
        <v>1.4084507042253521E-2</v>
      </c>
      <c r="H333" s="85">
        <f t="shared" si="69"/>
        <v>1.4929577464788733E-2</v>
      </c>
      <c r="I333" s="84">
        <f t="shared" si="70"/>
        <v>2.764928511354079E-2</v>
      </c>
      <c r="J333" s="86">
        <f t="shared" si="71"/>
        <v>2.9308242220353238</v>
      </c>
      <c r="K333" s="86">
        <f t="shared" si="63"/>
        <v>5.0939859690462166</v>
      </c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1"/>
      <c r="Y333" s="81"/>
      <c r="Z333" s="81"/>
      <c r="AA333" s="81"/>
      <c r="AB333" s="81"/>
      <c r="AC333" s="81"/>
      <c r="AD333" s="81"/>
      <c r="AE333" s="81"/>
      <c r="AF333" s="81"/>
      <c r="AG333" s="81"/>
      <c r="AH333" s="81"/>
      <c r="AI333" s="81"/>
      <c r="AJ333" s="81"/>
      <c r="AK333" s="81"/>
      <c r="AL333" s="81"/>
      <c r="AM333" s="81"/>
      <c r="AN333" s="81"/>
    </row>
    <row r="334" spans="1:40" ht="14.25" customHeight="1">
      <c r="A334" s="82">
        <v>90201</v>
      </c>
      <c r="B334" s="83" t="s">
        <v>31</v>
      </c>
      <c r="C334" s="83" t="s">
        <v>432</v>
      </c>
      <c r="D334" s="83" t="s">
        <v>433</v>
      </c>
      <c r="E334" s="103">
        <v>4</v>
      </c>
      <c r="F334" s="104">
        <v>604</v>
      </c>
      <c r="G334" s="84">
        <f t="shared" si="68"/>
        <v>5.6338028169014086E-2</v>
      </c>
      <c r="H334" s="85">
        <f t="shared" si="69"/>
        <v>5.9718309859154932E-2</v>
      </c>
      <c r="I334" s="84">
        <f t="shared" si="70"/>
        <v>6.3498738435660215E-2</v>
      </c>
      <c r="J334" s="86">
        <f t="shared" si="71"/>
        <v>6.7308662741799825</v>
      </c>
      <c r="K334" s="86">
        <f t="shared" si="63"/>
        <v>8.8723066878089742</v>
      </c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81"/>
      <c r="Y334" s="81"/>
      <c r="Z334" s="81"/>
      <c r="AA334" s="81"/>
      <c r="AB334" s="81"/>
      <c r="AC334" s="81"/>
      <c r="AD334" s="81"/>
      <c r="AE334" s="81"/>
      <c r="AF334" s="81"/>
      <c r="AG334" s="81"/>
      <c r="AH334" s="81"/>
      <c r="AI334" s="81"/>
      <c r="AJ334" s="81"/>
      <c r="AK334" s="81"/>
      <c r="AL334" s="81"/>
      <c r="AM334" s="81"/>
      <c r="AN334" s="81"/>
    </row>
    <row r="335" spans="1:40" ht="14.25" customHeight="1">
      <c r="A335" s="82">
        <v>90202</v>
      </c>
      <c r="B335" s="83" t="s">
        <v>31</v>
      </c>
      <c r="C335" s="83" t="s">
        <v>432</v>
      </c>
      <c r="D335" s="83" t="s">
        <v>382</v>
      </c>
      <c r="E335" s="103">
        <v>0</v>
      </c>
      <c r="F335" s="104">
        <v>262</v>
      </c>
      <c r="G335" s="84">
        <f t="shared" si="68"/>
        <v>0</v>
      </c>
      <c r="H335" s="85">
        <f t="shared" si="69"/>
        <v>0</v>
      </c>
      <c r="I335" s="84">
        <f t="shared" si="70"/>
        <v>2.7544154751892348E-2</v>
      </c>
      <c r="J335" s="86">
        <f t="shared" si="71"/>
        <v>2.919680403700589</v>
      </c>
      <c r="K335" s="86">
        <f t="shared" si="63"/>
        <v>0</v>
      </c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1"/>
      <c r="Y335" s="81"/>
      <c r="Z335" s="81"/>
      <c r="AA335" s="81"/>
      <c r="AB335" s="81"/>
      <c r="AC335" s="81"/>
      <c r="AD335" s="81"/>
      <c r="AE335" s="81"/>
      <c r="AF335" s="81"/>
      <c r="AG335" s="81"/>
      <c r="AH335" s="81"/>
      <c r="AI335" s="81"/>
      <c r="AJ335" s="81"/>
      <c r="AK335" s="81"/>
      <c r="AL335" s="81"/>
      <c r="AM335" s="81"/>
      <c r="AN335" s="81"/>
    </row>
    <row r="336" spans="1:40" ht="14.25" customHeight="1">
      <c r="A336" s="82">
        <v>90203</v>
      </c>
      <c r="B336" s="83" t="s">
        <v>31</v>
      </c>
      <c r="C336" s="83" t="s">
        <v>432</v>
      </c>
      <c r="D336" s="83" t="s">
        <v>434</v>
      </c>
      <c r="E336" s="103">
        <v>3</v>
      </c>
      <c r="F336" s="104">
        <v>645</v>
      </c>
      <c r="G336" s="84">
        <f t="shared" si="68"/>
        <v>4.2253521126760563E-2</v>
      </c>
      <c r="H336" s="85">
        <f t="shared" si="69"/>
        <v>4.4788732394366197E-2</v>
      </c>
      <c r="I336" s="84">
        <f t="shared" si="70"/>
        <v>6.7809083263246431E-2</v>
      </c>
      <c r="J336" s="86">
        <f t="shared" si="71"/>
        <v>7.1877628259041213</v>
      </c>
      <c r="K336" s="86">
        <f t="shared" si="63"/>
        <v>6.2312479528332787</v>
      </c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81"/>
      <c r="Y336" s="81"/>
      <c r="Z336" s="81"/>
      <c r="AA336" s="81"/>
      <c r="AB336" s="81"/>
      <c r="AC336" s="81"/>
      <c r="AD336" s="81"/>
      <c r="AE336" s="81"/>
      <c r="AF336" s="81"/>
      <c r="AG336" s="81"/>
      <c r="AH336" s="81"/>
      <c r="AI336" s="81"/>
      <c r="AJ336" s="81"/>
      <c r="AK336" s="81"/>
      <c r="AL336" s="81"/>
      <c r="AM336" s="81"/>
      <c r="AN336" s="81"/>
    </row>
    <row r="337" spans="1:40" ht="14.25" customHeight="1">
      <c r="A337" s="82">
        <v>90301</v>
      </c>
      <c r="B337" s="83" t="s">
        <v>31</v>
      </c>
      <c r="C337" s="83" t="s">
        <v>435</v>
      </c>
      <c r="D337" s="83" t="s">
        <v>436</v>
      </c>
      <c r="E337" s="103">
        <v>6</v>
      </c>
      <c r="F337" s="104">
        <v>674</v>
      </c>
      <c r="G337" s="84">
        <f t="shared" si="68"/>
        <v>8.4507042253521125E-2</v>
      </c>
      <c r="H337" s="85">
        <f t="shared" si="69"/>
        <v>8.9577464788732394E-2</v>
      </c>
      <c r="I337" s="84">
        <f t="shared" si="70"/>
        <v>7.0857863751051298E-2</v>
      </c>
      <c r="J337" s="86">
        <f t="shared" si="71"/>
        <v>7.5109335576114375</v>
      </c>
      <c r="K337" s="86">
        <f t="shared" si="63"/>
        <v>11.926275755422745</v>
      </c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1"/>
      <c r="Y337" s="81"/>
      <c r="Z337" s="81"/>
      <c r="AA337" s="81"/>
      <c r="AB337" s="81"/>
      <c r="AC337" s="81"/>
      <c r="AD337" s="81"/>
      <c r="AE337" s="81"/>
      <c r="AF337" s="81"/>
      <c r="AG337" s="81"/>
      <c r="AH337" s="81"/>
      <c r="AI337" s="81"/>
      <c r="AJ337" s="81"/>
      <c r="AK337" s="81"/>
      <c r="AL337" s="81"/>
      <c r="AM337" s="81"/>
      <c r="AN337" s="81"/>
    </row>
    <row r="338" spans="1:40" ht="14.25" customHeight="1">
      <c r="A338" s="82">
        <v>90302</v>
      </c>
      <c r="B338" s="83" t="s">
        <v>31</v>
      </c>
      <c r="C338" s="83" t="s">
        <v>435</v>
      </c>
      <c r="D338" s="83" t="s">
        <v>437</v>
      </c>
      <c r="E338" s="103">
        <v>2</v>
      </c>
      <c r="F338" s="104">
        <v>788</v>
      </c>
      <c r="G338" s="84">
        <f t="shared" si="68"/>
        <v>2.8169014084507043E-2</v>
      </c>
      <c r="H338" s="85">
        <f t="shared" si="69"/>
        <v>2.9859154929577466E-2</v>
      </c>
      <c r="I338" s="84">
        <f t="shared" si="70"/>
        <v>8.2842724978973922E-2</v>
      </c>
      <c r="J338" s="86">
        <f t="shared" si="71"/>
        <v>8.7813288477712366</v>
      </c>
      <c r="K338" s="86">
        <f t="shared" si="63"/>
        <v>3.4003002788303429</v>
      </c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81"/>
      <c r="Y338" s="81"/>
      <c r="Z338" s="81"/>
      <c r="AA338" s="81"/>
      <c r="AB338" s="81"/>
      <c r="AC338" s="81"/>
      <c r="AD338" s="81"/>
      <c r="AE338" s="81"/>
      <c r="AF338" s="81"/>
      <c r="AG338" s="81"/>
      <c r="AH338" s="81"/>
      <c r="AI338" s="81"/>
      <c r="AJ338" s="81"/>
      <c r="AK338" s="81"/>
      <c r="AL338" s="81"/>
      <c r="AM338" s="81"/>
      <c r="AN338" s="81"/>
    </row>
    <row r="339" spans="1:40" ht="14.25" customHeight="1">
      <c r="A339" s="82">
        <v>90303</v>
      </c>
      <c r="B339" s="83" t="s">
        <v>31</v>
      </c>
      <c r="C339" s="83" t="s">
        <v>435</v>
      </c>
      <c r="D339" s="83" t="s">
        <v>438</v>
      </c>
      <c r="E339" s="103">
        <v>11</v>
      </c>
      <c r="F339" s="104">
        <v>940</v>
      </c>
      <c r="G339" s="84">
        <f t="shared" si="68"/>
        <v>0.15492957746478872</v>
      </c>
      <c r="H339" s="85">
        <f t="shared" si="69"/>
        <v>0.16422535211267605</v>
      </c>
      <c r="I339" s="84">
        <f t="shared" si="70"/>
        <v>9.8822539949537422E-2</v>
      </c>
      <c r="J339" s="86">
        <f t="shared" si="71"/>
        <v>10.475189234650967</v>
      </c>
      <c r="K339" s="86">
        <f t="shared" si="63"/>
        <v>15.677554689841175</v>
      </c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1"/>
      <c r="Y339" s="81"/>
      <c r="Z339" s="81"/>
      <c r="AA339" s="81"/>
      <c r="AB339" s="81"/>
      <c r="AC339" s="81"/>
      <c r="AD339" s="81"/>
      <c r="AE339" s="81"/>
      <c r="AF339" s="81"/>
      <c r="AG339" s="81"/>
      <c r="AH339" s="81"/>
      <c r="AI339" s="81"/>
      <c r="AJ339" s="81"/>
      <c r="AK339" s="81"/>
      <c r="AL339" s="81"/>
      <c r="AM339" s="81"/>
      <c r="AN339" s="81"/>
    </row>
    <row r="340" spans="1:40" ht="14.25" customHeight="1">
      <c r="A340" s="82">
        <v>90401</v>
      </c>
      <c r="B340" s="83" t="s">
        <v>31</v>
      </c>
      <c r="C340" s="83" t="s">
        <v>439</v>
      </c>
      <c r="D340" s="83" t="s">
        <v>440</v>
      </c>
      <c r="E340" s="103">
        <v>1</v>
      </c>
      <c r="F340" s="104">
        <v>230</v>
      </c>
      <c r="G340" s="84">
        <f t="shared" si="68"/>
        <v>1.4084507042253521E-2</v>
      </c>
      <c r="H340" s="85">
        <f t="shared" si="69"/>
        <v>1.4929577464788733E-2</v>
      </c>
      <c r="I340" s="84">
        <f t="shared" si="70"/>
        <v>2.4179983179142137E-2</v>
      </c>
      <c r="J340" s="86">
        <f t="shared" si="71"/>
        <v>2.5630782169890667</v>
      </c>
      <c r="K340" s="86">
        <f t="shared" si="63"/>
        <v>5.8248622167789348</v>
      </c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81"/>
      <c r="Y340" s="81"/>
      <c r="Z340" s="81"/>
      <c r="AA340" s="81"/>
      <c r="AB340" s="81"/>
      <c r="AC340" s="81"/>
      <c r="AD340" s="81"/>
      <c r="AE340" s="81"/>
      <c r="AF340" s="81"/>
      <c r="AG340" s="81"/>
      <c r="AH340" s="81"/>
      <c r="AI340" s="81"/>
      <c r="AJ340" s="81"/>
      <c r="AK340" s="81"/>
      <c r="AL340" s="81"/>
      <c r="AM340" s="81"/>
      <c r="AN340" s="81"/>
    </row>
    <row r="341" spans="1:40" ht="14.25" customHeight="1">
      <c r="A341" s="82">
        <v>90402</v>
      </c>
      <c r="B341" s="83" t="s">
        <v>31</v>
      </c>
      <c r="C341" s="83" t="s">
        <v>439</v>
      </c>
      <c r="D341" s="83" t="s">
        <v>102</v>
      </c>
      <c r="E341" s="103">
        <v>2</v>
      </c>
      <c r="F341" s="104">
        <v>211</v>
      </c>
      <c r="G341" s="84">
        <f t="shared" si="68"/>
        <v>2.8169014084507043E-2</v>
      </c>
      <c r="H341" s="85">
        <f t="shared" si="69"/>
        <v>2.9859154929577466E-2</v>
      </c>
      <c r="I341" s="84">
        <f t="shared" si="70"/>
        <v>2.21825063078217E-2</v>
      </c>
      <c r="J341" s="86">
        <f t="shared" si="71"/>
        <v>2.3513456686291003</v>
      </c>
      <c r="K341" s="86">
        <f t="shared" si="63"/>
        <v>12.698751752219477</v>
      </c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1"/>
      <c r="Y341" s="81"/>
      <c r="Z341" s="81"/>
      <c r="AA341" s="81"/>
      <c r="AB341" s="81"/>
      <c r="AC341" s="81"/>
      <c r="AD341" s="81"/>
      <c r="AE341" s="81"/>
      <c r="AF341" s="81"/>
      <c r="AG341" s="81"/>
      <c r="AH341" s="81"/>
      <c r="AI341" s="81"/>
      <c r="AJ341" s="81"/>
      <c r="AK341" s="81"/>
      <c r="AL341" s="81"/>
      <c r="AM341" s="81"/>
      <c r="AN341" s="81"/>
    </row>
    <row r="342" spans="1:40" ht="14.25" customHeight="1">
      <c r="A342" s="82">
        <v>90501</v>
      </c>
      <c r="B342" s="83" t="s">
        <v>31</v>
      </c>
      <c r="C342" s="83" t="s">
        <v>441</v>
      </c>
      <c r="D342" s="83" t="s">
        <v>442</v>
      </c>
      <c r="E342" s="103">
        <v>1</v>
      </c>
      <c r="F342" s="104">
        <v>126</v>
      </c>
      <c r="G342" s="84">
        <f t="shared" si="68"/>
        <v>1.4084507042253521E-2</v>
      </c>
      <c r="H342" s="85">
        <f t="shared" si="69"/>
        <v>1.4929577464788733E-2</v>
      </c>
      <c r="I342" s="84">
        <f t="shared" si="70"/>
        <v>1.3246425567703952E-2</v>
      </c>
      <c r="J342" s="86">
        <f t="shared" si="71"/>
        <v>1.4041211101766189</v>
      </c>
      <c r="K342" s="86">
        <f t="shared" si="63"/>
        <v>10.632684998882183</v>
      </c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81"/>
      <c r="Y342" s="81"/>
      <c r="Z342" s="81"/>
      <c r="AA342" s="81"/>
      <c r="AB342" s="81"/>
      <c r="AC342" s="81"/>
      <c r="AD342" s="81"/>
      <c r="AE342" s="81"/>
      <c r="AF342" s="81"/>
      <c r="AG342" s="81"/>
      <c r="AH342" s="81"/>
      <c r="AI342" s="81"/>
      <c r="AJ342" s="81"/>
      <c r="AK342" s="81"/>
      <c r="AL342" s="81"/>
      <c r="AM342" s="81"/>
      <c r="AN342" s="81"/>
    </row>
    <row r="343" spans="1:40" ht="14.25" customHeight="1">
      <c r="A343" s="82">
        <v>90502</v>
      </c>
      <c r="B343" s="83" t="s">
        <v>31</v>
      </c>
      <c r="C343" s="83" t="s">
        <v>441</v>
      </c>
      <c r="D343" s="83" t="s">
        <v>443</v>
      </c>
      <c r="E343" s="103">
        <v>3</v>
      </c>
      <c r="F343" s="104">
        <v>214</v>
      </c>
      <c r="G343" s="84">
        <f t="shared" si="68"/>
        <v>4.2253521126760563E-2</v>
      </c>
      <c r="H343" s="85">
        <f t="shared" si="69"/>
        <v>4.4788732394366197E-2</v>
      </c>
      <c r="I343" s="84">
        <f t="shared" si="70"/>
        <v>2.249789739276703E-2</v>
      </c>
      <c r="J343" s="86">
        <f t="shared" si="71"/>
        <v>2.3847771236333051</v>
      </c>
      <c r="K343" s="86">
        <f t="shared" si="63"/>
        <v>18.781097801763856</v>
      </c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1"/>
      <c r="Y343" s="81"/>
      <c r="Z343" s="81"/>
      <c r="AA343" s="81"/>
      <c r="AB343" s="81"/>
      <c r="AC343" s="81"/>
      <c r="AD343" s="81"/>
      <c r="AE343" s="81"/>
      <c r="AF343" s="81"/>
      <c r="AG343" s="81"/>
      <c r="AH343" s="81"/>
      <c r="AI343" s="81"/>
      <c r="AJ343" s="81"/>
      <c r="AK343" s="81"/>
      <c r="AL343" s="81"/>
      <c r="AM343" s="81"/>
      <c r="AN343" s="81"/>
    </row>
    <row r="344" spans="1:40" ht="14.25" customHeight="1">
      <c r="A344" s="82">
        <v>90503</v>
      </c>
      <c r="B344" s="83" t="s">
        <v>31</v>
      </c>
      <c r="C344" s="83" t="s">
        <v>441</v>
      </c>
      <c r="D344" s="83" t="s">
        <v>444</v>
      </c>
      <c r="E344" s="109">
        <v>4</v>
      </c>
      <c r="F344" s="110">
        <v>179</v>
      </c>
      <c r="G344" s="84">
        <f t="shared" si="68"/>
        <v>5.6338028169014086E-2</v>
      </c>
      <c r="H344" s="85">
        <f t="shared" si="69"/>
        <v>5.9718309859154932E-2</v>
      </c>
      <c r="I344" s="84">
        <f t="shared" si="70"/>
        <v>1.8818334735071489E-2</v>
      </c>
      <c r="J344" s="86">
        <f t="shared" si="71"/>
        <v>1.9947434819175778</v>
      </c>
      <c r="K344" s="86">
        <f>1000*H344/J344</f>
        <v>29.937839326461567</v>
      </c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81"/>
      <c r="Y344" s="81"/>
      <c r="Z344" s="81"/>
      <c r="AA344" s="81"/>
      <c r="AB344" s="81"/>
      <c r="AC344" s="81"/>
      <c r="AD344" s="81"/>
      <c r="AE344" s="81"/>
      <c r="AF344" s="81"/>
      <c r="AG344" s="81"/>
      <c r="AH344" s="81"/>
      <c r="AI344" s="81"/>
      <c r="AJ344" s="81"/>
      <c r="AK344" s="81"/>
      <c r="AL344" s="81"/>
      <c r="AM344" s="81"/>
      <c r="AN344" s="81"/>
    </row>
    <row r="345" spans="1:40" ht="14.25" customHeight="1">
      <c r="D345" s="81"/>
      <c r="E345" s="81"/>
      <c r="F345" s="81"/>
      <c r="G345" s="81"/>
      <c r="H345" s="81"/>
      <c r="I345" s="81"/>
      <c r="J345" s="81"/>
      <c r="K345" s="81"/>
      <c r="L345" s="81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1"/>
      <c r="Y345" s="81"/>
      <c r="Z345" s="81"/>
      <c r="AA345" s="81"/>
      <c r="AB345" s="81"/>
      <c r="AC345" s="81"/>
      <c r="AD345" s="81"/>
      <c r="AE345" s="81"/>
      <c r="AF345" s="81"/>
      <c r="AG345" s="81"/>
      <c r="AH345" s="81"/>
    </row>
    <row r="346" spans="1:40" ht="14.25" customHeight="1"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81"/>
      <c r="Y346" s="81"/>
      <c r="Z346" s="81"/>
      <c r="AA346" s="81"/>
      <c r="AB346" s="81"/>
      <c r="AC346" s="81"/>
      <c r="AD346" s="81"/>
      <c r="AE346" s="81"/>
      <c r="AF346" s="81"/>
      <c r="AG346" s="81"/>
      <c r="AH346" s="81"/>
    </row>
    <row r="347" spans="1:40" ht="14.25" customHeight="1">
      <c r="D347" s="81"/>
      <c r="E347" s="81"/>
      <c r="F347" s="81"/>
      <c r="G347" s="81"/>
      <c r="H347" s="81"/>
      <c r="I347" s="81"/>
      <c r="J347" s="81"/>
      <c r="K347" s="81"/>
      <c r="L347" s="81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1"/>
      <c r="Y347" s="81"/>
      <c r="Z347" s="81"/>
      <c r="AA347" s="81"/>
      <c r="AB347" s="81"/>
      <c r="AC347" s="81"/>
      <c r="AD347" s="81"/>
      <c r="AE347" s="81"/>
      <c r="AF347" s="81"/>
      <c r="AG347" s="81"/>
      <c r="AH347" s="81"/>
    </row>
    <row r="348" spans="1:40" ht="14.25" customHeight="1">
      <c r="D348" s="81"/>
      <c r="E348" s="81"/>
      <c r="F348" s="81"/>
      <c r="G348" s="81"/>
      <c r="H348" s="81"/>
      <c r="I348" s="81"/>
      <c r="J348" s="81"/>
      <c r="K348" s="81"/>
      <c r="L348" s="81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81"/>
      <c r="Y348" s="81"/>
      <c r="Z348" s="81"/>
      <c r="AA348" s="81"/>
      <c r="AB348" s="81"/>
      <c r="AC348" s="81"/>
      <c r="AD348" s="81"/>
      <c r="AE348" s="81"/>
      <c r="AF348" s="81"/>
      <c r="AG348" s="81"/>
      <c r="AH348" s="81"/>
    </row>
    <row r="349" spans="1:40" ht="14.25" customHeight="1">
      <c r="D349" s="81"/>
      <c r="E349" s="81"/>
      <c r="F349" s="81"/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1"/>
      <c r="Y349" s="81"/>
      <c r="Z349" s="81"/>
      <c r="AA349" s="81"/>
      <c r="AB349" s="81"/>
      <c r="AC349" s="81"/>
      <c r="AD349" s="81"/>
      <c r="AE349" s="81"/>
      <c r="AF349" s="81"/>
      <c r="AG349" s="81"/>
      <c r="AH349" s="81"/>
    </row>
    <row r="350" spans="1:40" ht="14.25" customHeight="1"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81"/>
      <c r="Y350" s="81"/>
      <c r="Z350" s="81"/>
      <c r="AA350" s="81"/>
      <c r="AB350" s="81"/>
      <c r="AC350" s="81"/>
      <c r="AD350" s="81"/>
      <c r="AE350" s="81"/>
      <c r="AF350" s="81"/>
      <c r="AG350" s="81"/>
      <c r="AH350" s="81"/>
    </row>
    <row r="351" spans="1:40" ht="14.25" customHeight="1">
      <c r="D351" s="81"/>
      <c r="E351" s="81"/>
      <c r="F351" s="81"/>
      <c r="G351" s="81"/>
      <c r="H351" s="81"/>
      <c r="I351" s="81"/>
      <c r="J351" s="81"/>
      <c r="K351" s="81"/>
      <c r="L351" s="81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1"/>
      <c r="Y351" s="81"/>
      <c r="Z351" s="81"/>
      <c r="AA351" s="81"/>
      <c r="AB351" s="81"/>
      <c r="AC351" s="81"/>
      <c r="AD351" s="81"/>
      <c r="AE351" s="81"/>
      <c r="AF351" s="81"/>
      <c r="AG351" s="81"/>
      <c r="AH351" s="81"/>
    </row>
    <row r="352" spans="1:40" ht="14.25" customHeight="1">
      <c r="D352" s="81"/>
      <c r="E352" s="81"/>
      <c r="F352" s="81"/>
      <c r="G352" s="81"/>
      <c r="H352" s="81"/>
      <c r="I352" s="81"/>
      <c r="J352" s="81"/>
      <c r="K352" s="81"/>
      <c r="L352" s="81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81"/>
      <c r="Y352" s="81"/>
      <c r="Z352" s="81"/>
      <c r="AA352" s="81"/>
      <c r="AB352" s="81"/>
      <c r="AC352" s="81"/>
      <c r="AD352" s="81"/>
      <c r="AE352" s="81"/>
      <c r="AF352" s="81"/>
      <c r="AG352" s="81"/>
      <c r="AH352" s="81"/>
    </row>
    <row r="353" spans="4:34" ht="14.25" customHeight="1">
      <c r="D353" s="81"/>
      <c r="E353" s="81"/>
      <c r="F353" s="81"/>
      <c r="G353" s="81"/>
      <c r="H353" s="81"/>
      <c r="I353" s="81"/>
      <c r="J353" s="81"/>
      <c r="K353" s="81"/>
      <c r="L353" s="81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1"/>
      <c r="Y353" s="81"/>
      <c r="Z353" s="81"/>
      <c r="AA353" s="81"/>
      <c r="AB353" s="81"/>
      <c r="AC353" s="81"/>
      <c r="AD353" s="81"/>
      <c r="AE353" s="81"/>
      <c r="AF353" s="81"/>
      <c r="AG353" s="81"/>
      <c r="AH353" s="81"/>
    </row>
    <row r="354" spans="4:34" ht="14.25" customHeight="1"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81"/>
      <c r="Y354" s="81"/>
      <c r="Z354" s="81"/>
      <c r="AA354" s="81"/>
      <c r="AB354" s="81"/>
      <c r="AC354" s="81"/>
      <c r="AD354" s="81"/>
      <c r="AE354" s="81"/>
      <c r="AF354" s="81"/>
      <c r="AG354" s="81"/>
      <c r="AH354" s="81"/>
    </row>
    <row r="355" spans="4:34" ht="14.25" customHeight="1">
      <c r="D355" s="81"/>
      <c r="E355" s="81"/>
      <c r="F355" s="81"/>
      <c r="G355" s="81"/>
      <c r="H355" s="81"/>
      <c r="I355" s="81"/>
      <c r="J355" s="81"/>
      <c r="K355" s="81"/>
      <c r="L355" s="81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1"/>
      <c r="Y355" s="81"/>
      <c r="Z355" s="81"/>
      <c r="AA355" s="81"/>
      <c r="AB355" s="81"/>
      <c r="AC355" s="81"/>
      <c r="AD355" s="81"/>
      <c r="AE355" s="81"/>
      <c r="AF355" s="81"/>
      <c r="AG355" s="81"/>
      <c r="AH355" s="81"/>
    </row>
    <row r="356" spans="4:34" ht="14.25" customHeight="1">
      <c r="D356" s="81"/>
      <c r="E356" s="81"/>
      <c r="F356" s="81"/>
      <c r="G356" s="81"/>
      <c r="H356" s="81"/>
      <c r="I356" s="81"/>
      <c r="J356" s="81"/>
      <c r="K356" s="81"/>
      <c r="L356" s="81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81"/>
      <c r="Y356" s="81"/>
      <c r="Z356" s="81"/>
      <c r="AA356" s="81"/>
      <c r="AB356" s="81"/>
      <c r="AC356" s="81"/>
      <c r="AD356" s="81"/>
      <c r="AE356" s="81"/>
      <c r="AF356" s="81"/>
      <c r="AG356" s="81"/>
      <c r="AH356" s="81"/>
    </row>
    <row r="357" spans="4:34" ht="14.25" customHeight="1">
      <c r="D357" s="81"/>
      <c r="E357" s="81"/>
      <c r="F357" s="81"/>
      <c r="G357" s="81"/>
      <c r="H357" s="81"/>
      <c r="I357" s="81"/>
      <c r="J357" s="81"/>
      <c r="K357" s="81"/>
      <c r="L357" s="81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1"/>
      <c r="Y357" s="81"/>
      <c r="Z357" s="81"/>
      <c r="AA357" s="81"/>
      <c r="AB357" s="81"/>
      <c r="AC357" s="81"/>
      <c r="AD357" s="81"/>
      <c r="AE357" s="81"/>
      <c r="AF357" s="81"/>
      <c r="AG357" s="81"/>
      <c r="AH357" s="81"/>
    </row>
    <row r="358" spans="4:34" ht="14.25" customHeight="1"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1"/>
      <c r="Y358" s="81"/>
      <c r="Z358" s="81"/>
      <c r="AA358" s="81"/>
      <c r="AB358" s="81"/>
      <c r="AC358" s="81"/>
      <c r="AD358" s="81"/>
      <c r="AE358" s="81"/>
      <c r="AF358" s="81"/>
      <c r="AG358" s="81"/>
      <c r="AH358" s="81"/>
    </row>
    <row r="359" spans="4:34" ht="14.25" customHeight="1">
      <c r="D359" s="81"/>
      <c r="E359" s="81"/>
      <c r="F359" s="81"/>
      <c r="G359" s="81"/>
      <c r="H359" s="81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1"/>
      <c r="Y359" s="81"/>
      <c r="Z359" s="81"/>
      <c r="AA359" s="81"/>
      <c r="AB359" s="81"/>
      <c r="AC359" s="81"/>
      <c r="AD359" s="81"/>
      <c r="AE359" s="81"/>
      <c r="AF359" s="81"/>
      <c r="AG359" s="81"/>
      <c r="AH359" s="81"/>
    </row>
    <row r="360" spans="4:34" ht="14.25" customHeight="1">
      <c r="D360" s="81"/>
      <c r="E360" s="81"/>
      <c r="F360" s="81"/>
      <c r="G360" s="81"/>
      <c r="H360" s="81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1"/>
      <c r="Y360" s="81"/>
      <c r="Z360" s="81"/>
      <c r="AA360" s="81"/>
      <c r="AB360" s="81"/>
      <c r="AC360" s="81"/>
      <c r="AD360" s="81"/>
      <c r="AE360" s="81"/>
      <c r="AF360" s="81"/>
      <c r="AG360" s="81"/>
      <c r="AH360" s="81"/>
    </row>
    <row r="361" spans="4:34" ht="14.25" customHeight="1">
      <c r="D361" s="81"/>
      <c r="E361" s="81"/>
      <c r="F361" s="81"/>
      <c r="G361" s="81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1"/>
      <c r="Y361" s="81"/>
      <c r="Z361" s="81"/>
      <c r="AA361" s="81"/>
      <c r="AB361" s="81"/>
      <c r="AC361" s="81"/>
      <c r="AD361" s="81"/>
      <c r="AE361" s="81"/>
      <c r="AF361" s="81"/>
      <c r="AG361" s="81"/>
      <c r="AH361" s="81"/>
    </row>
    <row r="362" spans="4:34" ht="14.25" customHeight="1"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1"/>
      <c r="Y362" s="81"/>
      <c r="Z362" s="81"/>
      <c r="AA362" s="81"/>
      <c r="AB362" s="81"/>
      <c r="AC362" s="81"/>
      <c r="AD362" s="81"/>
      <c r="AE362" s="81"/>
      <c r="AF362" s="81"/>
      <c r="AG362" s="81"/>
      <c r="AH362" s="81"/>
    </row>
    <row r="363" spans="4:34" ht="14.25" customHeight="1">
      <c r="D363" s="81"/>
      <c r="E363" s="81"/>
      <c r="F363" s="81"/>
      <c r="G363" s="81"/>
      <c r="H363" s="81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1"/>
      <c r="Y363" s="81"/>
      <c r="Z363" s="81"/>
      <c r="AA363" s="81"/>
      <c r="AB363" s="81"/>
      <c r="AC363" s="81"/>
      <c r="AD363" s="81"/>
      <c r="AE363" s="81"/>
      <c r="AF363" s="81"/>
      <c r="AG363" s="81"/>
      <c r="AH363" s="81"/>
    </row>
    <row r="364" spans="4:34" ht="14.25" customHeight="1">
      <c r="D364" s="81"/>
      <c r="E364" s="81"/>
      <c r="F364" s="81"/>
      <c r="G364" s="81"/>
      <c r="H364" s="81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1"/>
      <c r="Y364" s="81"/>
      <c r="Z364" s="81"/>
      <c r="AA364" s="81"/>
      <c r="AB364" s="81"/>
      <c r="AC364" s="81"/>
      <c r="AD364" s="81"/>
      <c r="AE364" s="81"/>
      <c r="AF364" s="81"/>
      <c r="AG364" s="81"/>
      <c r="AH364" s="81"/>
    </row>
    <row r="365" spans="4:34" ht="14.25" customHeight="1">
      <c r="D365" s="81"/>
      <c r="E365" s="81"/>
      <c r="F365" s="81"/>
      <c r="G365" s="81"/>
      <c r="H365" s="81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1"/>
      <c r="Y365" s="81"/>
      <c r="Z365" s="81"/>
      <c r="AA365" s="81"/>
      <c r="AB365" s="81"/>
      <c r="AC365" s="81"/>
      <c r="AD365" s="81"/>
      <c r="AE365" s="81"/>
      <c r="AF365" s="81"/>
      <c r="AG365" s="81"/>
      <c r="AH365" s="81"/>
    </row>
    <row r="366" spans="4:34" ht="14.25" customHeight="1"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1"/>
      <c r="Y366" s="81"/>
      <c r="Z366" s="81"/>
      <c r="AA366" s="81"/>
      <c r="AB366" s="81"/>
      <c r="AC366" s="81"/>
      <c r="AD366" s="81"/>
      <c r="AE366" s="81"/>
      <c r="AF366" s="81"/>
      <c r="AG366" s="81"/>
      <c r="AH366" s="81"/>
    </row>
    <row r="367" spans="4:34" ht="14.25" customHeight="1">
      <c r="D367" s="81"/>
      <c r="E367" s="81"/>
      <c r="F367" s="81"/>
      <c r="G367" s="81"/>
      <c r="H367" s="81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1"/>
      <c r="Y367" s="81"/>
      <c r="Z367" s="81"/>
      <c r="AA367" s="81"/>
      <c r="AB367" s="81"/>
      <c r="AC367" s="81"/>
      <c r="AD367" s="81"/>
      <c r="AE367" s="81"/>
      <c r="AF367" s="81"/>
      <c r="AG367" s="81"/>
      <c r="AH367" s="81"/>
    </row>
    <row r="368" spans="4:34" ht="14.25" customHeight="1">
      <c r="D368" s="81"/>
      <c r="E368" s="81"/>
      <c r="F368" s="81"/>
      <c r="G368" s="81"/>
      <c r="H368" s="81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1"/>
      <c r="Y368" s="81"/>
      <c r="Z368" s="81"/>
      <c r="AA368" s="81"/>
      <c r="AB368" s="81"/>
      <c r="AC368" s="81"/>
      <c r="AD368" s="81"/>
      <c r="AE368" s="81"/>
      <c r="AF368" s="81"/>
      <c r="AG368" s="81"/>
      <c r="AH368" s="81"/>
    </row>
    <row r="369" spans="4:34" ht="14.25" customHeight="1">
      <c r="D369" s="81"/>
      <c r="E369" s="81"/>
      <c r="F369" s="81"/>
      <c r="G369" s="81"/>
      <c r="H369" s="81"/>
      <c r="I369" s="81"/>
      <c r="J369" s="81"/>
      <c r="K369" s="81"/>
      <c r="L369" s="81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1"/>
      <c r="Y369" s="81"/>
      <c r="Z369" s="81"/>
      <c r="AA369" s="81"/>
      <c r="AB369" s="81"/>
      <c r="AC369" s="81"/>
      <c r="AD369" s="81"/>
      <c r="AE369" s="81"/>
      <c r="AF369" s="81"/>
      <c r="AG369" s="81"/>
      <c r="AH369" s="81"/>
    </row>
    <row r="370" spans="4:34" ht="14.25" customHeight="1"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81"/>
      <c r="Y370" s="81"/>
      <c r="Z370" s="81"/>
      <c r="AA370" s="81"/>
      <c r="AB370" s="81"/>
      <c r="AC370" s="81"/>
      <c r="AD370" s="81"/>
      <c r="AE370" s="81"/>
      <c r="AF370" s="81"/>
      <c r="AG370" s="81"/>
      <c r="AH370" s="81"/>
    </row>
    <row r="371" spans="4:34" ht="14.25" customHeight="1">
      <c r="D371" s="81"/>
      <c r="E371" s="81"/>
      <c r="F371" s="81"/>
      <c r="G371" s="81"/>
      <c r="H371" s="81"/>
      <c r="I371" s="81"/>
      <c r="J371" s="81"/>
      <c r="K371" s="81"/>
      <c r="L371" s="81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1"/>
      <c r="Y371" s="81"/>
      <c r="Z371" s="81"/>
      <c r="AA371" s="81"/>
      <c r="AB371" s="81"/>
      <c r="AC371" s="81"/>
      <c r="AD371" s="81"/>
      <c r="AE371" s="81"/>
      <c r="AF371" s="81"/>
      <c r="AG371" s="81"/>
      <c r="AH371" s="81"/>
    </row>
    <row r="372" spans="4:34" ht="14.25" customHeight="1">
      <c r="D372" s="81"/>
      <c r="E372" s="81"/>
      <c r="F372" s="81"/>
      <c r="G372" s="81"/>
      <c r="H372" s="81"/>
      <c r="I372" s="81"/>
      <c r="J372" s="81"/>
      <c r="K372" s="81"/>
      <c r="L372" s="81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81"/>
      <c r="Y372" s="81"/>
      <c r="Z372" s="81"/>
      <c r="AA372" s="81"/>
      <c r="AB372" s="81"/>
      <c r="AC372" s="81"/>
      <c r="AD372" s="81"/>
      <c r="AE372" s="81"/>
      <c r="AF372" s="81"/>
      <c r="AG372" s="81"/>
      <c r="AH372" s="81"/>
    </row>
    <row r="373" spans="4:34" ht="14.25" customHeight="1">
      <c r="D373" s="81"/>
      <c r="E373" s="81"/>
      <c r="F373" s="81"/>
      <c r="G373" s="81"/>
      <c r="H373" s="81"/>
      <c r="I373" s="81"/>
      <c r="J373" s="81"/>
      <c r="K373" s="81"/>
      <c r="L373" s="81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1"/>
      <c r="Y373" s="81"/>
      <c r="Z373" s="81"/>
      <c r="AA373" s="81"/>
      <c r="AB373" s="81"/>
      <c r="AC373" s="81"/>
      <c r="AD373" s="81"/>
      <c r="AE373" s="81"/>
      <c r="AF373" s="81"/>
      <c r="AG373" s="81"/>
      <c r="AH373" s="81"/>
    </row>
    <row r="374" spans="4:34" ht="14.25" customHeight="1"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81"/>
      <c r="Y374" s="81"/>
      <c r="Z374" s="81"/>
      <c r="AA374" s="81"/>
      <c r="AB374" s="81"/>
      <c r="AC374" s="81"/>
      <c r="AD374" s="81"/>
      <c r="AE374" s="81"/>
      <c r="AF374" s="81"/>
      <c r="AG374" s="81"/>
      <c r="AH374" s="81"/>
    </row>
    <row r="375" spans="4:34" ht="14.25" customHeight="1">
      <c r="D375" s="81"/>
      <c r="E375" s="81"/>
      <c r="F375" s="81"/>
      <c r="G375" s="81"/>
      <c r="H375" s="81"/>
      <c r="I375" s="81"/>
      <c r="J375" s="81"/>
      <c r="K375" s="81"/>
      <c r="L375" s="81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1"/>
      <c r="Y375" s="81"/>
      <c r="Z375" s="81"/>
      <c r="AA375" s="81"/>
      <c r="AB375" s="81"/>
      <c r="AC375" s="81"/>
      <c r="AD375" s="81"/>
      <c r="AE375" s="81"/>
      <c r="AF375" s="81"/>
      <c r="AG375" s="81"/>
      <c r="AH375" s="81"/>
    </row>
    <row r="376" spans="4:34" ht="14.25" customHeight="1">
      <c r="D376" s="81"/>
      <c r="E376" s="81"/>
      <c r="F376" s="81"/>
      <c r="G376" s="81"/>
      <c r="H376" s="81"/>
      <c r="I376" s="81"/>
      <c r="J376" s="81"/>
      <c r="K376" s="81"/>
      <c r="L376" s="81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81"/>
      <c r="Y376" s="81"/>
      <c r="Z376" s="81"/>
      <c r="AA376" s="81"/>
      <c r="AB376" s="81"/>
      <c r="AC376" s="81"/>
      <c r="AD376" s="81"/>
      <c r="AE376" s="81"/>
      <c r="AF376" s="81"/>
      <c r="AG376" s="81"/>
      <c r="AH376" s="81"/>
    </row>
    <row r="377" spans="4:34" ht="14.25" customHeight="1">
      <c r="D377" s="81"/>
      <c r="E377" s="81"/>
      <c r="F377" s="81"/>
      <c r="G377" s="81"/>
      <c r="H377" s="81"/>
      <c r="I377" s="81"/>
      <c r="J377" s="81"/>
      <c r="K377" s="81"/>
      <c r="L377" s="81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1"/>
      <c r="Y377" s="81"/>
      <c r="Z377" s="81"/>
      <c r="AA377" s="81"/>
      <c r="AB377" s="81"/>
      <c r="AC377" s="81"/>
      <c r="AD377" s="81"/>
      <c r="AE377" s="81"/>
      <c r="AF377" s="81"/>
      <c r="AG377" s="81"/>
      <c r="AH377" s="81"/>
    </row>
    <row r="378" spans="4:34" ht="14.25" customHeight="1"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1"/>
      <c r="Y378" s="81"/>
      <c r="Z378" s="81"/>
      <c r="AA378" s="81"/>
      <c r="AB378" s="81"/>
      <c r="AC378" s="81"/>
      <c r="AD378" s="81"/>
      <c r="AE378" s="81"/>
      <c r="AF378" s="81"/>
      <c r="AG378" s="81"/>
      <c r="AH378" s="81"/>
    </row>
    <row r="379" spans="4:34" ht="14.25" customHeight="1">
      <c r="D379" s="81"/>
      <c r="E379" s="81"/>
      <c r="F379" s="81"/>
      <c r="G379" s="81"/>
      <c r="H379" s="81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1"/>
      <c r="Y379" s="81"/>
      <c r="Z379" s="81"/>
      <c r="AA379" s="81"/>
      <c r="AB379" s="81"/>
      <c r="AC379" s="81"/>
      <c r="AD379" s="81"/>
      <c r="AE379" s="81"/>
      <c r="AF379" s="81"/>
      <c r="AG379" s="81"/>
      <c r="AH379" s="81"/>
    </row>
    <row r="380" spans="4:34" ht="14.25" customHeight="1">
      <c r="D380" s="81"/>
      <c r="E380" s="81"/>
      <c r="F380" s="81"/>
      <c r="G380" s="81"/>
      <c r="H380" s="81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1"/>
      <c r="Y380" s="81"/>
      <c r="Z380" s="81"/>
      <c r="AA380" s="81"/>
      <c r="AB380" s="81"/>
      <c r="AC380" s="81"/>
      <c r="AD380" s="81"/>
      <c r="AE380" s="81"/>
      <c r="AF380" s="81"/>
      <c r="AG380" s="81"/>
      <c r="AH380" s="81"/>
    </row>
    <row r="381" spans="4:34" ht="14.25" customHeight="1">
      <c r="D381" s="81"/>
      <c r="E381" s="81"/>
      <c r="F381" s="81"/>
      <c r="G381" s="81"/>
      <c r="H381" s="81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1"/>
      <c r="Y381" s="81"/>
      <c r="Z381" s="81"/>
      <c r="AA381" s="81"/>
      <c r="AB381" s="81"/>
      <c r="AC381" s="81"/>
      <c r="AD381" s="81"/>
      <c r="AE381" s="81"/>
      <c r="AF381" s="81"/>
      <c r="AG381" s="81"/>
      <c r="AH381" s="81"/>
    </row>
    <row r="382" spans="4:34" ht="14.25" customHeight="1"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1"/>
      <c r="Y382" s="81"/>
      <c r="Z382" s="81"/>
      <c r="AA382" s="81"/>
      <c r="AB382" s="81"/>
      <c r="AC382" s="81"/>
      <c r="AD382" s="81"/>
      <c r="AE382" s="81"/>
      <c r="AF382" s="81"/>
      <c r="AG382" s="81"/>
      <c r="AH382" s="81"/>
    </row>
    <row r="383" spans="4:34" ht="14.25" customHeight="1">
      <c r="D383" s="81"/>
      <c r="E383" s="81"/>
      <c r="F383" s="81"/>
      <c r="G383" s="81"/>
      <c r="H383" s="81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1"/>
      <c r="Y383" s="81"/>
      <c r="Z383" s="81"/>
      <c r="AA383" s="81"/>
      <c r="AB383" s="81"/>
      <c r="AC383" s="81"/>
      <c r="AD383" s="81"/>
      <c r="AE383" s="81"/>
      <c r="AF383" s="81"/>
      <c r="AG383" s="81"/>
      <c r="AH383" s="81"/>
    </row>
    <row r="384" spans="4:34" ht="14.25" customHeight="1">
      <c r="D384" s="81"/>
      <c r="E384" s="81"/>
      <c r="F384" s="81"/>
      <c r="G384" s="81"/>
      <c r="H384" s="81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1"/>
      <c r="Y384" s="81"/>
      <c r="Z384" s="81"/>
      <c r="AA384" s="81"/>
      <c r="AB384" s="81"/>
      <c r="AC384" s="81"/>
      <c r="AD384" s="81"/>
      <c r="AE384" s="81"/>
      <c r="AF384" s="81"/>
      <c r="AG384" s="81"/>
      <c r="AH384" s="81"/>
    </row>
    <row r="385" spans="4:34" ht="14.25" customHeight="1">
      <c r="D385" s="81"/>
      <c r="E385" s="81"/>
      <c r="F385" s="81"/>
      <c r="G385" s="81"/>
      <c r="H385" s="81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1"/>
      <c r="Y385" s="81"/>
      <c r="Z385" s="81"/>
      <c r="AA385" s="81"/>
      <c r="AB385" s="81"/>
      <c r="AC385" s="81"/>
      <c r="AD385" s="81"/>
      <c r="AE385" s="81"/>
      <c r="AF385" s="81"/>
      <c r="AG385" s="81"/>
      <c r="AH385" s="81"/>
    </row>
    <row r="386" spans="4:34" ht="14.25" customHeight="1"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1"/>
      <c r="Y386" s="81"/>
      <c r="Z386" s="81"/>
      <c r="AA386" s="81"/>
      <c r="AB386" s="81"/>
      <c r="AC386" s="81"/>
      <c r="AD386" s="81"/>
      <c r="AE386" s="81"/>
      <c r="AF386" s="81"/>
      <c r="AG386" s="81"/>
      <c r="AH386" s="81"/>
    </row>
    <row r="387" spans="4:34" ht="14.25" customHeight="1">
      <c r="D387" s="81"/>
      <c r="E387" s="81"/>
      <c r="F387" s="81"/>
      <c r="G387" s="81"/>
      <c r="H387" s="81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1"/>
      <c r="Y387" s="81"/>
      <c r="Z387" s="81"/>
      <c r="AA387" s="81"/>
      <c r="AB387" s="81"/>
      <c r="AC387" s="81"/>
      <c r="AD387" s="81"/>
      <c r="AE387" s="81"/>
      <c r="AF387" s="81"/>
      <c r="AG387" s="81"/>
      <c r="AH387" s="81"/>
    </row>
    <row r="388" spans="4:34" ht="14.25" customHeight="1">
      <c r="D388" s="81"/>
      <c r="E388" s="81"/>
      <c r="F388" s="81"/>
      <c r="G388" s="81"/>
      <c r="H388" s="81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1"/>
      <c r="Y388" s="81"/>
      <c r="Z388" s="81"/>
      <c r="AA388" s="81"/>
      <c r="AB388" s="81"/>
      <c r="AC388" s="81"/>
      <c r="AD388" s="81"/>
      <c r="AE388" s="81"/>
      <c r="AF388" s="81"/>
      <c r="AG388" s="81"/>
      <c r="AH388" s="81"/>
    </row>
    <row r="389" spans="4:34" ht="14.25" customHeight="1">
      <c r="D389" s="81"/>
      <c r="E389" s="81"/>
      <c r="F389" s="81"/>
      <c r="G389" s="81"/>
      <c r="H389" s="81"/>
      <c r="I389" s="81"/>
      <c r="J389" s="81"/>
      <c r="K389" s="81"/>
      <c r="L389" s="81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1"/>
      <c r="Y389" s="81"/>
      <c r="Z389" s="81"/>
      <c r="AA389" s="81"/>
      <c r="AB389" s="81"/>
      <c r="AC389" s="81"/>
      <c r="AD389" s="81"/>
      <c r="AE389" s="81"/>
      <c r="AF389" s="81"/>
      <c r="AG389" s="81"/>
      <c r="AH389" s="81"/>
    </row>
    <row r="390" spans="4:34" ht="14.25" customHeight="1"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81"/>
      <c r="Y390" s="81"/>
      <c r="Z390" s="81"/>
      <c r="AA390" s="81"/>
      <c r="AB390" s="81"/>
      <c r="AC390" s="81"/>
      <c r="AD390" s="81"/>
      <c r="AE390" s="81"/>
      <c r="AF390" s="81"/>
      <c r="AG390" s="81"/>
      <c r="AH390" s="81"/>
    </row>
    <row r="391" spans="4:34" ht="14.25" customHeight="1">
      <c r="D391" s="81"/>
      <c r="E391" s="81"/>
      <c r="F391" s="81"/>
      <c r="G391" s="81"/>
      <c r="H391" s="81"/>
      <c r="I391" s="81"/>
      <c r="J391" s="81"/>
      <c r="K391" s="81"/>
      <c r="L391" s="81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1"/>
      <c r="Y391" s="81"/>
      <c r="Z391" s="81"/>
      <c r="AA391" s="81"/>
      <c r="AB391" s="81"/>
      <c r="AC391" s="81"/>
      <c r="AD391" s="81"/>
      <c r="AE391" s="81"/>
      <c r="AF391" s="81"/>
      <c r="AG391" s="81"/>
      <c r="AH391" s="81"/>
    </row>
    <row r="392" spans="4:34" ht="14.25" customHeight="1">
      <c r="D392" s="81"/>
      <c r="E392" s="81"/>
      <c r="F392" s="81"/>
      <c r="G392" s="81"/>
      <c r="H392" s="81"/>
      <c r="I392" s="81"/>
      <c r="J392" s="81"/>
      <c r="K392" s="81"/>
      <c r="L392" s="81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81"/>
      <c r="Y392" s="81"/>
      <c r="Z392" s="81"/>
      <c r="AA392" s="81"/>
      <c r="AB392" s="81"/>
      <c r="AC392" s="81"/>
      <c r="AD392" s="81"/>
      <c r="AE392" s="81"/>
      <c r="AF392" s="81"/>
      <c r="AG392" s="81"/>
      <c r="AH392" s="81"/>
    </row>
    <row r="393" spans="4:34" ht="14.25" customHeight="1">
      <c r="D393" s="81"/>
      <c r="E393" s="81"/>
      <c r="F393" s="81"/>
      <c r="G393" s="81"/>
      <c r="H393" s="81"/>
      <c r="I393" s="81"/>
      <c r="J393" s="81"/>
      <c r="K393" s="81"/>
      <c r="L393" s="81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1"/>
      <c r="Y393" s="81"/>
      <c r="Z393" s="81"/>
      <c r="AA393" s="81"/>
      <c r="AB393" s="81"/>
      <c r="AC393" s="81"/>
      <c r="AD393" s="81"/>
      <c r="AE393" s="81"/>
      <c r="AF393" s="81"/>
      <c r="AG393" s="81"/>
      <c r="AH393" s="81"/>
    </row>
    <row r="394" spans="4:34" ht="14.25" customHeight="1"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81"/>
      <c r="Y394" s="81"/>
      <c r="Z394" s="81"/>
      <c r="AA394" s="81"/>
      <c r="AB394" s="81"/>
      <c r="AC394" s="81"/>
      <c r="AD394" s="81"/>
      <c r="AE394" s="81"/>
      <c r="AF394" s="81"/>
      <c r="AG394" s="81"/>
      <c r="AH394" s="81"/>
    </row>
    <row r="395" spans="4:34" ht="14.25" customHeight="1">
      <c r="D395" s="81"/>
      <c r="E395" s="81"/>
      <c r="F395" s="81"/>
      <c r="G395" s="81"/>
      <c r="H395" s="81"/>
      <c r="I395" s="81"/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1"/>
      <c r="Y395" s="81"/>
      <c r="Z395" s="81"/>
      <c r="AA395" s="81"/>
      <c r="AB395" s="81"/>
      <c r="AC395" s="81"/>
      <c r="AD395" s="81"/>
      <c r="AE395" s="81"/>
      <c r="AF395" s="81"/>
      <c r="AG395" s="81"/>
      <c r="AH395" s="81"/>
    </row>
    <row r="396" spans="4:34" ht="14.25" customHeight="1">
      <c r="D396" s="81"/>
      <c r="E396" s="81"/>
      <c r="F396" s="81"/>
      <c r="G396" s="81"/>
      <c r="H396" s="81"/>
      <c r="I396" s="81"/>
      <c r="J396" s="81"/>
      <c r="K396" s="81"/>
      <c r="L396" s="81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81"/>
      <c r="Y396" s="81"/>
      <c r="Z396" s="81"/>
      <c r="AA396" s="81"/>
      <c r="AB396" s="81"/>
      <c r="AC396" s="81"/>
      <c r="AD396" s="81"/>
      <c r="AE396" s="81"/>
      <c r="AF396" s="81"/>
      <c r="AG396" s="81"/>
      <c r="AH396" s="81"/>
    </row>
    <row r="397" spans="4:34" ht="14.25" customHeight="1">
      <c r="D397" s="81"/>
      <c r="E397" s="81"/>
      <c r="F397" s="81"/>
      <c r="G397" s="81"/>
      <c r="H397" s="81"/>
      <c r="I397" s="81"/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1"/>
      <c r="Y397" s="81"/>
      <c r="Z397" s="81"/>
      <c r="AA397" s="81"/>
      <c r="AB397" s="81"/>
      <c r="AC397" s="81"/>
      <c r="AD397" s="81"/>
      <c r="AE397" s="81"/>
      <c r="AF397" s="81"/>
      <c r="AG397" s="81"/>
      <c r="AH397" s="81"/>
    </row>
    <row r="398" spans="4:34" ht="14.25" customHeight="1"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81"/>
      <c r="Y398" s="81"/>
      <c r="Z398" s="81"/>
      <c r="AA398" s="81"/>
      <c r="AB398" s="81"/>
      <c r="AC398" s="81"/>
      <c r="AD398" s="81"/>
      <c r="AE398" s="81"/>
      <c r="AF398" s="81"/>
      <c r="AG398" s="81"/>
      <c r="AH398" s="81"/>
    </row>
    <row r="399" spans="4:34" ht="14.25" customHeight="1">
      <c r="D399" s="81"/>
      <c r="E399" s="81"/>
      <c r="F399" s="81"/>
      <c r="G399" s="81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1"/>
      <c r="Y399" s="81"/>
      <c r="Z399" s="81"/>
      <c r="AA399" s="81"/>
      <c r="AB399" s="81"/>
      <c r="AC399" s="81"/>
      <c r="AD399" s="81"/>
      <c r="AE399" s="81"/>
      <c r="AF399" s="81"/>
      <c r="AG399" s="81"/>
      <c r="AH399" s="81"/>
    </row>
    <row r="400" spans="4:34" ht="14.25" customHeight="1">
      <c r="D400" s="81"/>
      <c r="E400" s="81"/>
      <c r="F400" s="81"/>
      <c r="G400" s="81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81"/>
      <c r="Y400" s="81"/>
      <c r="Z400" s="81"/>
      <c r="AA400" s="81"/>
      <c r="AB400" s="81"/>
      <c r="AC400" s="81"/>
      <c r="AD400" s="81"/>
      <c r="AE400" s="81"/>
      <c r="AF400" s="81"/>
      <c r="AG400" s="81"/>
      <c r="AH400" s="81"/>
    </row>
    <row r="401" spans="4:34" ht="14.25" customHeight="1">
      <c r="D401" s="81"/>
      <c r="E401" s="81"/>
      <c r="F401" s="81"/>
      <c r="G401" s="81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1"/>
      <c r="Y401" s="81"/>
      <c r="Z401" s="81"/>
      <c r="AA401" s="81"/>
      <c r="AB401" s="81"/>
      <c r="AC401" s="81"/>
      <c r="AD401" s="81"/>
      <c r="AE401" s="81"/>
      <c r="AF401" s="81"/>
      <c r="AG401" s="81"/>
      <c r="AH401" s="81"/>
    </row>
    <row r="402" spans="4:34" ht="14.25" customHeight="1"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81"/>
      <c r="Y402" s="81"/>
      <c r="Z402" s="81"/>
      <c r="AA402" s="81"/>
      <c r="AB402" s="81"/>
      <c r="AC402" s="81"/>
      <c r="AD402" s="81"/>
      <c r="AE402" s="81"/>
      <c r="AF402" s="81"/>
      <c r="AG402" s="81"/>
      <c r="AH402" s="81"/>
    </row>
    <row r="403" spans="4:34" ht="14.25" customHeight="1">
      <c r="D403" s="81"/>
      <c r="E403" s="81"/>
      <c r="F403" s="81"/>
      <c r="G403" s="81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1"/>
      <c r="Y403" s="81"/>
      <c r="Z403" s="81"/>
      <c r="AA403" s="81"/>
      <c r="AB403" s="81"/>
      <c r="AC403" s="81"/>
      <c r="AD403" s="81"/>
      <c r="AE403" s="81"/>
      <c r="AF403" s="81"/>
      <c r="AG403" s="81"/>
      <c r="AH403" s="81"/>
    </row>
    <row r="404" spans="4:34" ht="14.25" customHeight="1">
      <c r="D404" s="81"/>
      <c r="E404" s="81"/>
      <c r="F404" s="81"/>
      <c r="G404" s="81"/>
      <c r="H404" s="81"/>
      <c r="I404" s="81"/>
      <c r="J404" s="81"/>
      <c r="K404" s="81"/>
      <c r="L404" s="81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81"/>
      <c r="Y404" s="81"/>
      <c r="Z404" s="81"/>
      <c r="AA404" s="81"/>
      <c r="AB404" s="81"/>
      <c r="AC404" s="81"/>
      <c r="AD404" s="81"/>
      <c r="AE404" s="81"/>
      <c r="AF404" s="81"/>
      <c r="AG404" s="81"/>
      <c r="AH404" s="81"/>
    </row>
    <row r="405" spans="4:34" ht="14.25" customHeight="1">
      <c r="D405" s="81"/>
      <c r="E405" s="81"/>
      <c r="F405" s="81"/>
      <c r="G405" s="81"/>
      <c r="H405" s="81"/>
      <c r="I405" s="81"/>
      <c r="J405" s="81"/>
      <c r="K405" s="81"/>
      <c r="L405" s="81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1"/>
      <c r="Y405" s="81"/>
      <c r="Z405" s="81"/>
      <c r="AA405" s="81"/>
      <c r="AB405" s="81"/>
      <c r="AC405" s="81"/>
      <c r="AD405" s="81"/>
      <c r="AE405" s="81"/>
      <c r="AF405" s="81"/>
      <c r="AG405" s="81"/>
      <c r="AH405" s="81"/>
    </row>
    <row r="406" spans="4:34" ht="14.25" customHeight="1"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81"/>
      <c r="Y406" s="81"/>
      <c r="Z406" s="81"/>
      <c r="AA406" s="81"/>
      <c r="AB406" s="81"/>
      <c r="AC406" s="81"/>
      <c r="AD406" s="81"/>
      <c r="AE406" s="81"/>
      <c r="AF406" s="81"/>
      <c r="AG406" s="81"/>
      <c r="AH406" s="81"/>
    </row>
    <row r="407" spans="4:34" ht="14.25" customHeight="1">
      <c r="D407" s="81"/>
      <c r="E407" s="81"/>
      <c r="F407" s="81"/>
      <c r="G407" s="81"/>
      <c r="H407" s="81"/>
      <c r="I407" s="81"/>
      <c r="J407" s="81"/>
      <c r="K407" s="81"/>
      <c r="L407" s="81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1"/>
      <c r="Y407" s="81"/>
      <c r="Z407" s="81"/>
      <c r="AA407" s="81"/>
      <c r="AB407" s="81"/>
      <c r="AC407" s="81"/>
      <c r="AD407" s="81"/>
      <c r="AE407" s="81"/>
      <c r="AF407" s="81"/>
      <c r="AG407" s="81"/>
      <c r="AH407" s="81"/>
    </row>
    <row r="408" spans="4:34" ht="14.25" customHeight="1">
      <c r="D408" s="81"/>
      <c r="E408" s="81"/>
      <c r="F408" s="81"/>
      <c r="G408" s="81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81"/>
      <c r="Y408" s="81"/>
      <c r="Z408" s="81"/>
      <c r="AA408" s="81"/>
      <c r="AB408" s="81"/>
      <c r="AC408" s="81"/>
      <c r="AD408" s="81"/>
      <c r="AE408" s="81"/>
      <c r="AF408" s="81"/>
      <c r="AG408" s="81"/>
      <c r="AH408" s="81"/>
    </row>
    <row r="409" spans="4:34" ht="14.25" customHeight="1">
      <c r="D409" s="81"/>
      <c r="E409" s="81"/>
      <c r="F409" s="81"/>
      <c r="G409" s="81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1"/>
      <c r="Y409" s="81"/>
      <c r="Z409" s="81"/>
      <c r="AA409" s="81"/>
      <c r="AB409" s="81"/>
      <c r="AC409" s="81"/>
      <c r="AD409" s="81"/>
      <c r="AE409" s="81"/>
      <c r="AF409" s="81"/>
      <c r="AG409" s="81"/>
      <c r="AH409" s="81"/>
    </row>
    <row r="410" spans="4:34" ht="14.25" customHeight="1"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81"/>
      <c r="Y410" s="81"/>
      <c r="Z410" s="81"/>
      <c r="AA410" s="81"/>
      <c r="AB410" s="81"/>
      <c r="AC410" s="81"/>
      <c r="AD410" s="81"/>
      <c r="AE410" s="81"/>
      <c r="AF410" s="81"/>
      <c r="AG410" s="81"/>
      <c r="AH410" s="81"/>
    </row>
    <row r="411" spans="4:34" ht="14.25" customHeight="1">
      <c r="D411" s="81"/>
      <c r="E411" s="81"/>
      <c r="F411" s="81"/>
      <c r="G411" s="81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1"/>
      <c r="Y411" s="81"/>
      <c r="Z411" s="81"/>
      <c r="AA411" s="81"/>
      <c r="AB411" s="81"/>
      <c r="AC411" s="81"/>
      <c r="AD411" s="81"/>
      <c r="AE411" s="81"/>
      <c r="AF411" s="81"/>
      <c r="AG411" s="81"/>
      <c r="AH411" s="81"/>
    </row>
    <row r="412" spans="4:34" ht="14.25" customHeight="1">
      <c r="D412" s="81"/>
      <c r="E412" s="81"/>
      <c r="F412" s="81"/>
      <c r="G412" s="81"/>
      <c r="H412" s="81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81"/>
      <c r="Y412" s="81"/>
      <c r="Z412" s="81"/>
      <c r="AA412" s="81"/>
      <c r="AB412" s="81"/>
      <c r="AC412" s="81"/>
      <c r="AD412" s="81"/>
      <c r="AE412" s="81"/>
      <c r="AF412" s="81"/>
      <c r="AG412" s="81"/>
      <c r="AH412" s="81"/>
    </row>
    <row r="413" spans="4:34" ht="14.25" customHeight="1">
      <c r="D413" s="81"/>
      <c r="E413" s="81"/>
      <c r="F413" s="81"/>
      <c r="G413" s="81"/>
      <c r="H413" s="81"/>
      <c r="I413" s="81"/>
      <c r="J413" s="81"/>
      <c r="K413" s="81"/>
      <c r="L413" s="81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1"/>
      <c r="Y413" s="81"/>
      <c r="Z413" s="81"/>
      <c r="AA413" s="81"/>
      <c r="AB413" s="81"/>
      <c r="AC413" s="81"/>
      <c r="AD413" s="81"/>
      <c r="AE413" s="81"/>
      <c r="AF413" s="81"/>
      <c r="AG413" s="81"/>
      <c r="AH413" s="81"/>
    </row>
    <row r="414" spans="4:34" ht="14.25" customHeight="1"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81"/>
      <c r="Y414" s="81"/>
      <c r="Z414" s="81"/>
      <c r="AA414" s="81"/>
      <c r="AB414" s="81"/>
      <c r="AC414" s="81"/>
      <c r="AD414" s="81"/>
      <c r="AE414" s="81"/>
      <c r="AF414" s="81"/>
      <c r="AG414" s="81"/>
      <c r="AH414" s="81"/>
    </row>
    <row r="415" spans="4:34" ht="14.25" customHeight="1">
      <c r="D415" s="81"/>
      <c r="E415" s="81"/>
      <c r="F415" s="81"/>
      <c r="G415" s="81"/>
      <c r="H415" s="81"/>
      <c r="I415" s="81"/>
      <c r="J415" s="81"/>
      <c r="K415" s="81"/>
      <c r="L415" s="81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1"/>
      <c r="Y415" s="81"/>
      <c r="Z415" s="81"/>
      <c r="AA415" s="81"/>
      <c r="AB415" s="81"/>
      <c r="AC415" s="81"/>
      <c r="AD415" s="81"/>
      <c r="AE415" s="81"/>
      <c r="AF415" s="81"/>
      <c r="AG415" s="81"/>
      <c r="AH415" s="81"/>
    </row>
    <row r="416" spans="4:34" ht="14.25" customHeight="1">
      <c r="D416" s="81"/>
      <c r="E416" s="81"/>
      <c r="F416" s="81"/>
      <c r="G416" s="81"/>
      <c r="H416" s="81"/>
      <c r="I416" s="81"/>
      <c r="J416" s="81"/>
      <c r="K416" s="81"/>
      <c r="L416" s="81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81"/>
      <c r="Y416" s="81"/>
      <c r="Z416" s="81"/>
      <c r="AA416" s="81"/>
      <c r="AB416" s="81"/>
      <c r="AC416" s="81"/>
      <c r="AD416" s="81"/>
      <c r="AE416" s="81"/>
      <c r="AF416" s="81"/>
      <c r="AG416" s="81"/>
      <c r="AH416" s="81"/>
    </row>
    <row r="417" spans="4:34" ht="14.25" customHeight="1">
      <c r="D417" s="81"/>
      <c r="E417" s="81"/>
      <c r="F417" s="81"/>
      <c r="G417" s="81"/>
      <c r="H417" s="81"/>
      <c r="I417" s="81"/>
      <c r="J417" s="81"/>
      <c r="K417" s="81"/>
      <c r="L417" s="81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1"/>
      <c r="Y417" s="81"/>
      <c r="Z417" s="81"/>
      <c r="AA417" s="81"/>
      <c r="AB417" s="81"/>
      <c r="AC417" s="81"/>
      <c r="AD417" s="81"/>
      <c r="AE417" s="81"/>
      <c r="AF417" s="81"/>
      <c r="AG417" s="81"/>
      <c r="AH417" s="81"/>
    </row>
    <row r="418" spans="4:34" ht="14.25" customHeight="1"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81"/>
      <c r="Y418" s="81"/>
      <c r="Z418" s="81"/>
      <c r="AA418" s="81"/>
      <c r="AB418" s="81"/>
      <c r="AC418" s="81"/>
      <c r="AD418" s="81"/>
      <c r="AE418" s="81"/>
      <c r="AF418" s="81"/>
      <c r="AG418" s="81"/>
      <c r="AH418" s="81"/>
    </row>
    <row r="419" spans="4:34" ht="14.25" customHeight="1">
      <c r="D419" s="81"/>
      <c r="E419" s="81"/>
      <c r="F419" s="81"/>
      <c r="G419" s="81"/>
      <c r="H419" s="81"/>
      <c r="I419" s="81"/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1"/>
      <c r="Y419" s="81"/>
      <c r="Z419" s="81"/>
      <c r="AA419" s="81"/>
      <c r="AB419" s="81"/>
      <c r="AC419" s="81"/>
      <c r="AD419" s="81"/>
      <c r="AE419" s="81"/>
      <c r="AF419" s="81"/>
      <c r="AG419" s="81"/>
      <c r="AH419" s="81"/>
    </row>
    <row r="420" spans="4:34" ht="14.25" customHeight="1">
      <c r="D420" s="81"/>
      <c r="E420" s="81"/>
      <c r="F420" s="81"/>
      <c r="G420" s="81"/>
      <c r="H420" s="81"/>
      <c r="I420" s="81"/>
      <c r="J420" s="81"/>
      <c r="K420" s="81"/>
      <c r="L420" s="81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81"/>
      <c r="Y420" s="81"/>
      <c r="Z420" s="81"/>
      <c r="AA420" s="81"/>
      <c r="AB420" s="81"/>
      <c r="AC420" s="81"/>
      <c r="AD420" s="81"/>
      <c r="AE420" s="81"/>
      <c r="AF420" s="81"/>
      <c r="AG420" s="81"/>
      <c r="AH420" s="81"/>
    </row>
    <row r="421" spans="4:34" ht="14.25" customHeight="1">
      <c r="D421" s="81"/>
      <c r="E421" s="81"/>
      <c r="F421" s="81"/>
      <c r="G421" s="81"/>
      <c r="H421" s="81"/>
      <c r="I421" s="81"/>
      <c r="J421" s="81"/>
      <c r="K421" s="81"/>
      <c r="L421" s="81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1"/>
      <c r="Y421" s="81"/>
      <c r="Z421" s="81"/>
      <c r="AA421" s="81"/>
      <c r="AB421" s="81"/>
      <c r="AC421" s="81"/>
      <c r="AD421" s="81"/>
      <c r="AE421" s="81"/>
      <c r="AF421" s="81"/>
      <c r="AG421" s="81"/>
      <c r="AH421" s="81"/>
    </row>
    <row r="422" spans="4:34" ht="14.25" customHeight="1"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1"/>
      <c r="Y422" s="81"/>
      <c r="Z422" s="81"/>
      <c r="AA422" s="81"/>
      <c r="AB422" s="81"/>
      <c r="AC422" s="81"/>
      <c r="AD422" s="81"/>
      <c r="AE422" s="81"/>
      <c r="AF422" s="81"/>
      <c r="AG422" s="81"/>
      <c r="AH422" s="81"/>
    </row>
    <row r="423" spans="4:34" ht="14.25" customHeight="1">
      <c r="D423" s="81"/>
      <c r="E423" s="81"/>
      <c r="F423" s="81"/>
      <c r="G423" s="81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1"/>
      <c r="Y423" s="81"/>
      <c r="Z423" s="81"/>
      <c r="AA423" s="81"/>
      <c r="AB423" s="81"/>
      <c r="AC423" s="81"/>
      <c r="AD423" s="81"/>
      <c r="AE423" s="81"/>
      <c r="AF423" s="81"/>
      <c r="AG423" s="81"/>
      <c r="AH423" s="81"/>
    </row>
    <row r="424" spans="4:34" ht="14.25" customHeight="1">
      <c r="D424" s="81"/>
      <c r="E424" s="81"/>
      <c r="F424" s="81"/>
      <c r="G424" s="81"/>
      <c r="H424" s="81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1"/>
      <c r="Y424" s="81"/>
      <c r="Z424" s="81"/>
      <c r="AA424" s="81"/>
      <c r="AB424" s="81"/>
      <c r="AC424" s="81"/>
      <c r="AD424" s="81"/>
      <c r="AE424" s="81"/>
      <c r="AF424" s="81"/>
      <c r="AG424" s="81"/>
      <c r="AH424" s="81"/>
    </row>
    <row r="425" spans="4:34" ht="14.25" customHeight="1">
      <c r="D425" s="81"/>
      <c r="E425" s="81"/>
      <c r="F425" s="81"/>
      <c r="G425" s="81"/>
      <c r="H425" s="81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1"/>
      <c r="Y425" s="81"/>
      <c r="Z425" s="81"/>
      <c r="AA425" s="81"/>
      <c r="AB425" s="81"/>
      <c r="AC425" s="81"/>
      <c r="AD425" s="81"/>
      <c r="AE425" s="81"/>
      <c r="AF425" s="81"/>
      <c r="AG425" s="81"/>
      <c r="AH425" s="81"/>
    </row>
    <row r="426" spans="4:34" ht="14.25" customHeight="1"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1"/>
      <c r="Y426" s="81"/>
      <c r="Z426" s="81"/>
      <c r="AA426" s="81"/>
      <c r="AB426" s="81"/>
      <c r="AC426" s="81"/>
      <c r="AD426" s="81"/>
      <c r="AE426" s="81"/>
      <c r="AF426" s="81"/>
      <c r="AG426" s="81"/>
      <c r="AH426" s="81"/>
    </row>
    <row r="427" spans="4:34" ht="14.25" customHeight="1">
      <c r="D427" s="81"/>
      <c r="E427" s="81"/>
      <c r="F427" s="81"/>
      <c r="G427" s="81"/>
      <c r="H427" s="81"/>
      <c r="I427" s="81"/>
      <c r="J427" s="81"/>
      <c r="K427" s="81"/>
      <c r="L427" s="81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1"/>
      <c r="Y427" s="81"/>
      <c r="Z427" s="81"/>
      <c r="AA427" s="81"/>
      <c r="AB427" s="81"/>
      <c r="AC427" s="81"/>
      <c r="AD427" s="81"/>
      <c r="AE427" s="81"/>
      <c r="AF427" s="81"/>
      <c r="AG427" s="81"/>
      <c r="AH427" s="81"/>
    </row>
    <row r="428" spans="4:34" ht="14.25" customHeight="1">
      <c r="D428" s="81"/>
      <c r="E428" s="81"/>
      <c r="F428" s="81"/>
      <c r="G428" s="81"/>
      <c r="H428" s="81"/>
      <c r="I428" s="81"/>
      <c r="J428" s="81"/>
      <c r="K428" s="81"/>
      <c r="L428" s="81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81"/>
      <c r="Y428" s="81"/>
      <c r="Z428" s="81"/>
      <c r="AA428" s="81"/>
      <c r="AB428" s="81"/>
      <c r="AC428" s="81"/>
      <c r="AD428" s="81"/>
      <c r="AE428" s="81"/>
      <c r="AF428" s="81"/>
      <c r="AG428" s="81"/>
      <c r="AH428" s="81"/>
    </row>
    <row r="429" spans="4:34" ht="14.25" customHeight="1">
      <c r="D429" s="81"/>
      <c r="E429" s="81"/>
      <c r="F429" s="81"/>
      <c r="G429" s="81"/>
      <c r="H429" s="81"/>
      <c r="I429" s="81"/>
      <c r="J429" s="81"/>
      <c r="K429" s="81"/>
      <c r="L429" s="81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1"/>
      <c r="Y429" s="81"/>
      <c r="Z429" s="81"/>
      <c r="AA429" s="81"/>
      <c r="AB429" s="81"/>
      <c r="AC429" s="81"/>
      <c r="AD429" s="81"/>
      <c r="AE429" s="81"/>
      <c r="AF429" s="81"/>
      <c r="AG429" s="81"/>
      <c r="AH429" s="81"/>
    </row>
    <row r="430" spans="4:34" ht="14.25" customHeight="1"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81"/>
      <c r="Y430" s="81"/>
      <c r="Z430" s="81"/>
      <c r="AA430" s="81"/>
      <c r="AB430" s="81"/>
      <c r="AC430" s="81"/>
      <c r="AD430" s="81"/>
      <c r="AE430" s="81"/>
      <c r="AF430" s="81"/>
      <c r="AG430" s="81"/>
      <c r="AH430" s="81"/>
    </row>
    <row r="431" spans="4:34" ht="14.25" customHeight="1">
      <c r="D431" s="81"/>
      <c r="E431" s="81"/>
      <c r="F431" s="81"/>
      <c r="G431" s="81"/>
      <c r="H431" s="81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1"/>
      <c r="Y431" s="81"/>
      <c r="Z431" s="81"/>
      <c r="AA431" s="81"/>
      <c r="AB431" s="81"/>
      <c r="AC431" s="81"/>
      <c r="AD431" s="81"/>
      <c r="AE431" s="81"/>
      <c r="AF431" s="81"/>
      <c r="AG431" s="81"/>
      <c r="AH431" s="81"/>
    </row>
    <row r="432" spans="4:34" ht="14.25" customHeight="1">
      <c r="D432" s="81"/>
      <c r="E432" s="81"/>
      <c r="F432" s="81"/>
      <c r="G432" s="81"/>
      <c r="H432" s="81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1"/>
      <c r="Y432" s="81"/>
      <c r="Z432" s="81"/>
      <c r="AA432" s="81"/>
      <c r="AB432" s="81"/>
      <c r="AC432" s="81"/>
      <c r="AD432" s="81"/>
      <c r="AE432" s="81"/>
      <c r="AF432" s="81"/>
      <c r="AG432" s="81"/>
      <c r="AH432" s="81"/>
    </row>
    <row r="433" spans="4:34" ht="14.25" customHeight="1">
      <c r="D433" s="81"/>
      <c r="E433" s="81"/>
      <c r="F433" s="81"/>
      <c r="G433" s="81"/>
      <c r="H433" s="81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1"/>
      <c r="Y433" s="81"/>
      <c r="Z433" s="81"/>
      <c r="AA433" s="81"/>
      <c r="AB433" s="81"/>
      <c r="AC433" s="81"/>
      <c r="AD433" s="81"/>
      <c r="AE433" s="81"/>
      <c r="AF433" s="81"/>
      <c r="AG433" s="81"/>
      <c r="AH433" s="81"/>
    </row>
    <row r="434" spans="4:34" ht="14.25" customHeight="1"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1"/>
      <c r="Y434" s="81"/>
      <c r="Z434" s="81"/>
      <c r="AA434" s="81"/>
      <c r="AB434" s="81"/>
      <c r="AC434" s="81"/>
      <c r="AD434" s="81"/>
      <c r="AE434" s="81"/>
      <c r="AF434" s="81"/>
      <c r="AG434" s="81"/>
      <c r="AH434" s="81"/>
    </row>
    <row r="435" spans="4:34" ht="14.25" customHeight="1">
      <c r="D435" s="81"/>
      <c r="E435" s="81"/>
      <c r="F435" s="81"/>
      <c r="G435" s="81"/>
      <c r="H435" s="81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1"/>
      <c r="Y435" s="81"/>
      <c r="Z435" s="81"/>
      <c r="AA435" s="81"/>
      <c r="AB435" s="81"/>
      <c r="AC435" s="81"/>
      <c r="AD435" s="81"/>
      <c r="AE435" s="81"/>
      <c r="AF435" s="81"/>
      <c r="AG435" s="81"/>
      <c r="AH435" s="81"/>
    </row>
    <row r="436" spans="4:34" ht="14.25" customHeight="1">
      <c r="D436" s="81"/>
      <c r="E436" s="81"/>
      <c r="F436" s="81"/>
      <c r="G436" s="81"/>
      <c r="H436" s="81"/>
      <c r="I436" s="81"/>
      <c r="J436" s="81"/>
      <c r="K436" s="81"/>
      <c r="L436" s="81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81"/>
      <c r="Y436" s="81"/>
      <c r="Z436" s="81"/>
      <c r="AA436" s="81"/>
      <c r="AB436" s="81"/>
      <c r="AC436" s="81"/>
      <c r="AD436" s="81"/>
      <c r="AE436" s="81"/>
      <c r="AF436" s="81"/>
      <c r="AG436" s="81"/>
      <c r="AH436" s="81"/>
    </row>
    <row r="437" spans="4:34" ht="14.25" customHeight="1">
      <c r="D437" s="81"/>
      <c r="E437" s="81"/>
      <c r="F437" s="81"/>
      <c r="G437" s="81"/>
      <c r="H437" s="81"/>
      <c r="I437" s="81"/>
      <c r="J437" s="81"/>
      <c r="K437" s="81"/>
      <c r="L437" s="81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1"/>
      <c r="Y437" s="81"/>
      <c r="Z437" s="81"/>
      <c r="AA437" s="81"/>
      <c r="AB437" s="81"/>
      <c r="AC437" s="81"/>
      <c r="AD437" s="81"/>
      <c r="AE437" s="81"/>
      <c r="AF437" s="81"/>
      <c r="AG437" s="81"/>
      <c r="AH437" s="81"/>
    </row>
    <row r="438" spans="4:34" ht="14.25" customHeight="1"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81"/>
      <c r="Y438" s="81"/>
      <c r="Z438" s="81"/>
      <c r="AA438" s="81"/>
      <c r="AB438" s="81"/>
      <c r="AC438" s="81"/>
      <c r="AD438" s="81"/>
      <c r="AE438" s="81"/>
      <c r="AF438" s="81"/>
      <c r="AG438" s="81"/>
      <c r="AH438" s="81"/>
    </row>
    <row r="439" spans="4:34" ht="14.25" customHeight="1">
      <c r="D439" s="81"/>
      <c r="E439" s="81"/>
      <c r="F439" s="81"/>
      <c r="G439" s="81"/>
      <c r="H439" s="81"/>
      <c r="I439" s="81"/>
      <c r="J439" s="81"/>
      <c r="K439" s="81"/>
      <c r="L439" s="81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1"/>
      <c r="Y439" s="81"/>
      <c r="Z439" s="81"/>
      <c r="AA439" s="81"/>
      <c r="AB439" s="81"/>
      <c r="AC439" s="81"/>
      <c r="AD439" s="81"/>
      <c r="AE439" s="81"/>
      <c r="AF439" s="81"/>
      <c r="AG439" s="81"/>
      <c r="AH439" s="81"/>
    </row>
    <row r="440" spans="4:34" ht="14.25" customHeight="1">
      <c r="D440" s="81"/>
      <c r="E440" s="81"/>
      <c r="F440" s="81"/>
      <c r="G440" s="81"/>
      <c r="H440" s="81"/>
      <c r="I440" s="81"/>
      <c r="J440" s="81"/>
      <c r="K440" s="81"/>
      <c r="L440" s="81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81"/>
      <c r="Y440" s="81"/>
      <c r="Z440" s="81"/>
      <c r="AA440" s="81"/>
      <c r="AB440" s="81"/>
      <c r="AC440" s="81"/>
      <c r="AD440" s="81"/>
      <c r="AE440" s="81"/>
      <c r="AF440" s="81"/>
      <c r="AG440" s="81"/>
      <c r="AH440" s="81"/>
    </row>
    <row r="441" spans="4:34" ht="14.25" customHeight="1">
      <c r="D441" s="81"/>
      <c r="E441" s="81"/>
      <c r="F441" s="81"/>
      <c r="G441" s="81"/>
      <c r="H441" s="81"/>
      <c r="I441" s="81"/>
      <c r="J441" s="81"/>
      <c r="K441" s="81"/>
      <c r="L441" s="81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1"/>
      <c r="Y441" s="81"/>
      <c r="Z441" s="81"/>
      <c r="AA441" s="81"/>
      <c r="AB441" s="81"/>
      <c r="AC441" s="81"/>
      <c r="AD441" s="81"/>
      <c r="AE441" s="81"/>
      <c r="AF441" s="81"/>
      <c r="AG441" s="81"/>
      <c r="AH441" s="81"/>
    </row>
    <row r="442" spans="4:34" ht="14.25" customHeight="1"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81"/>
      <c r="Y442" s="81"/>
      <c r="Z442" s="81"/>
      <c r="AA442" s="81"/>
      <c r="AB442" s="81"/>
      <c r="AC442" s="81"/>
      <c r="AD442" s="81"/>
      <c r="AE442" s="81"/>
      <c r="AF442" s="81"/>
      <c r="AG442" s="81"/>
      <c r="AH442" s="81"/>
    </row>
    <row r="443" spans="4:34" ht="14.25" customHeight="1">
      <c r="D443" s="81"/>
      <c r="E443" s="81"/>
      <c r="F443" s="81"/>
      <c r="G443" s="81"/>
      <c r="H443" s="81"/>
      <c r="I443" s="81"/>
      <c r="J443" s="81"/>
      <c r="K443" s="81"/>
      <c r="L443" s="81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1"/>
      <c r="Y443" s="81"/>
      <c r="Z443" s="81"/>
      <c r="AA443" s="81"/>
      <c r="AB443" s="81"/>
      <c r="AC443" s="81"/>
      <c r="AD443" s="81"/>
      <c r="AE443" s="81"/>
      <c r="AF443" s="81"/>
      <c r="AG443" s="81"/>
      <c r="AH443" s="81"/>
    </row>
    <row r="444" spans="4:34" ht="14.25" customHeight="1">
      <c r="D444" s="81"/>
      <c r="E444" s="81"/>
      <c r="F444" s="81"/>
      <c r="G444" s="81"/>
      <c r="H444" s="81"/>
      <c r="I444" s="81"/>
      <c r="J444" s="81"/>
      <c r="K444" s="81"/>
      <c r="L444" s="81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81"/>
      <c r="Y444" s="81"/>
      <c r="Z444" s="81"/>
      <c r="AA444" s="81"/>
      <c r="AB444" s="81"/>
      <c r="AC444" s="81"/>
      <c r="AD444" s="81"/>
      <c r="AE444" s="81"/>
      <c r="AF444" s="81"/>
      <c r="AG444" s="81"/>
      <c r="AH444" s="81"/>
    </row>
    <row r="445" spans="4:34" ht="14.25" customHeight="1">
      <c r="D445" s="81"/>
      <c r="E445" s="81"/>
      <c r="F445" s="81"/>
      <c r="G445" s="81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1"/>
      <c r="Y445" s="81"/>
      <c r="Z445" s="81"/>
      <c r="AA445" s="81"/>
      <c r="AB445" s="81"/>
      <c r="AC445" s="81"/>
      <c r="AD445" s="81"/>
      <c r="AE445" s="81"/>
      <c r="AF445" s="81"/>
      <c r="AG445" s="81"/>
      <c r="AH445" s="81"/>
    </row>
    <row r="446" spans="4:34" ht="14.25" customHeight="1"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1"/>
      <c r="Y446" s="81"/>
      <c r="Z446" s="81"/>
      <c r="AA446" s="81"/>
      <c r="AB446" s="81"/>
      <c r="AC446" s="81"/>
      <c r="AD446" s="81"/>
      <c r="AE446" s="81"/>
      <c r="AF446" s="81"/>
      <c r="AG446" s="81"/>
      <c r="AH446" s="81"/>
    </row>
    <row r="447" spans="4:34" ht="14.25" customHeight="1">
      <c r="D447" s="81"/>
      <c r="E447" s="81"/>
      <c r="F447" s="81"/>
      <c r="G447" s="81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1"/>
      <c r="Y447" s="81"/>
      <c r="Z447" s="81"/>
      <c r="AA447" s="81"/>
      <c r="AB447" s="81"/>
      <c r="AC447" s="81"/>
      <c r="AD447" s="81"/>
      <c r="AE447" s="81"/>
      <c r="AF447" s="81"/>
      <c r="AG447" s="81"/>
      <c r="AH447" s="81"/>
    </row>
    <row r="448" spans="4:34" ht="14.25" customHeight="1">
      <c r="D448" s="81"/>
      <c r="E448" s="81"/>
      <c r="F448" s="81"/>
      <c r="G448" s="81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1"/>
      <c r="Y448" s="81"/>
      <c r="Z448" s="81"/>
      <c r="AA448" s="81"/>
      <c r="AB448" s="81"/>
      <c r="AC448" s="81"/>
      <c r="AD448" s="81"/>
      <c r="AE448" s="81"/>
      <c r="AF448" s="81"/>
      <c r="AG448" s="81"/>
      <c r="AH448" s="81"/>
    </row>
    <row r="449" spans="4:34" ht="14.25" customHeight="1">
      <c r="D449" s="81"/>
      <c r="E449" s="81"/>
      <c r="F449" s="81"/>
      <c r="G449" s="81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1"/>
      <c r="Y449" s="81"/>
      <c r="Z449" s="81"/>
      <c r="AA449" s="81"/>
      <c r="AB449" s="81"/>
      <c r="AC449" s="81"/>
      <c r="AD449" s="81"/>
      <c r="AE449" s="81"/>
      <c r="AF449" s="81"/>
      <c r="AG449" s="81"/>
      <c r="AH449" s="81"/>
    </row>
    <row r="450" spans="4:34" ht="14.25" customHeight="1"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1"/>
      <c r="Y450" s="81"/>
      <c r="Z450" s="81"/>
      <c r="AA450" s="81"/>
      <c r="AB450" s="81"/>
      <c r="AC450" s="81"/>
      <c r="AD450" s="81"/>
      <c r="AE450" s="81"/>
      <c r="AF450" s="81"/>
      <c r="AG450" s="81"/>
      <c r="AH450" s="81"/>
    </row>
    <row r="451" spans="4:34" ht="14.25" customHeight="1">
      <c r="D451" s="81"/>
      <c r="E451" s="81"/>
      <c r="F451" s="81"/>
      <c r="G451" s="81"/>
      <c r="H451" s="81"/>
      <c r="I451" s="81"/>
      <c r="J451" s="81"/>
      <c r="K451" s="81"/>
      <c r="L451" s="81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1"/>
      <c r="Y451" s="81"/>
      <c r="Z451" s="81"/>
      <c r="AA451" s="81"/>
      <c r="AB451" s="81"/>
      <c r="AC451" s="81"/>
      <c r="AD451" s="81"/>
      <c r="AE451" s="81"/>
      <c r="AF451" s="81"/>
      <c r="AG451" s="81"/>
      <c r="AH451" s="81"/>
    </row>
    <row r="452" spans="4:34" ht="14.25" customHeight="1">
      <c r="D452" s="81"/>
      <c r="E452" s="81"/>
      <c r="F452" s="81"/>
      <c r="G452" s="81"/>
      <c r="H452" s="81"/>
      <c r="I452" s="81"/>
      <c r="J452" s="81"/>
      <c r="K452" s="81"/>
      <c r="L452" s="81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81"/>
      <c r="Y452" s="81"/>
      <c r="Z452" s="81"/>
      <c r="AA452" s="81"/>
      <c r="AB452" s="81"/>
      <c r="AC452" s="81"/>
      <c r="AD452" s="81"/>
      <c r="AE452" s="81"/>
      <c r="AF452" s="81"/>
      <c r="AG452" s="81"/>
      <c r="AH452" s="81"/>
    </row>
    <row r="453" spans="4:34" ht="14.25" customHeight="1">
      <c r="D453" s="81"/>
      <c r="E453" s="81"/>
      <c r="F453" s="81"/>
      <c r="G453" s="81"/>
      <c r="H453" s="81"/>
      <c r="I453" s="81"/>
      <c r="J453" s="81"/>
      <c r="K453" s="81"/>
      <c r="L453" s="81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1"/>
      <c r="Y453" s="81"/>
      <c r="Z453" s="81"/>
      <c r="AA453" s="81"/>
      <c r="AB453" s="81"/>
      <c r="AC453" s="81"/>
      <c r="AD453" s="81"/>
      <c r="AE453" s="81"/>
      <c r="AF453" s="81"/>
      <c r="AG453" s="81"/>
      <c r="AH453" s="81"/>
    </row>
    <row r="454" spans="4:34" ht="14.25" customHeight="1"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81"/>
      <c r="Y454" s="81"/>
      <c r="Z454" s="81"/>
      <c r="AA454" s="81"/>
      <c r="AB454" s="81"/>
      <c r="AC454" s="81"/>
      <c r="AD454" s="81"/>
      <c r="AE454" s="81"/>
      <c r="AF454" s="81"/>
      <c r="AG454" s="81"/>
      <c r="AH454" s="81"/>
    </row>
    <row r="455" spans="4:34" ht="14.25" customHeight="1">
      <c r="D455" s="81"/>
      <c r="E455" s="81"/>
      <c r="F455" s="81"/>
      <c r="G455" s="81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1"/>
      <c r="Y455" s="81"/>
      <c r="Z455" s="81"/>
      <c r="AA455" s="81"/>
      <c r="AB455" s="81"/>
      <c r="AC455" s="81"/>
      <c r="AD455" s="81"/>
      <c r="AE455" s="81"/>
      <c r="AF455" s="81"/>
      <c r="AG455" s="81"/>
      <c r="AH455" s="81"/>
    </row>
    <row r="456" spans="4:34" ht="14.25" customHeight="1">
      <c r="D456" s="81"/>
      <c r="E456" s="81"/>
      <c r="F456" s="81"/>
      <c r="G456" s="81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1"/>
      <c r="Y456" s="81"/>
      <c r="Z456" s="81"/>
      <c r="AA456" s="81"/>
      <c r="AB456" s="81"/>
      <c r="AC456" s="81"/>
      <c r="AD456" s="81"/>
      <c r="AE456" s="81"/>
      <c r="AF456" s="81"/>
      <c r="AG456" s="81"/>
      <c r="AH456" s="81"/>
    </row>
    <row r="457" spans="4:34" ht="14.25" customHeight="1">
      <c r="D457" s="81"/>
      <c r="E457" s="81"/>
      <c r="F457" s="81"/>
      <c r="G457" s="81"/>
      <c r="H457" s="81"/>
      <c r="I457" s="81"/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1"/>
      <c r="Y457" s="81"/>
      <c r="Z457" s="81"/>
      <c r="AA457" s="81"/>
      <c r="AB457" s="81"/>
      <c r="AC457" s="81"/>
      <c r="AD457" s="81"/>
      <c r="AE457" s="81"/>
      <c r="AF457" s="81"/>
      <c r="AG457" s="81"/>
      <c r="AH457" s="81"/>
    </row>
    <row r="458" spans="4:34" ht="14.25" customHeight="1"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1"/>
      <c r="Y458" s="81"/>
      <c r="Z458" s="81"/>
      <c r="AA458" s="81"/>
      <c r="AB458" s="81"/>
      <c r="AC458" s="81"/>
      <c r="AD458" s="81"/>
      <c r="AE458" s="81"/>
      <c r="AF458" s="81"/>
      <c r="AG458" s="81"/>
      <c r="AH458" s="81"/>
    </row>
    <row r="459" spans="4:34" ht="14.25" customHeight="1">
      <c r="D459" s="81"/>
      <c r="E459" s="81"/>
      <c r="F459" s="81"/>
      <c r="G459" s="81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1"/>
      <c r="Y459" s="81"/>
      <c r="Z459" s="81"/>
      <c r="AA459" s="81"/>
      <c r="AB459" s="81"/>
      <c r="AC459" s="81"/>
      <c r="AD459" s="81"/>
      <c r="AE459" s="81"/>
      <c r="AF459" s="81"/>
      <c r="AG459" s="81"/>
      <c r="AH459" s="81"/>
    </row>
    <row r="460" spans="4:34" ht="14.25" customHeight="1">
      <c r="D460" s="81"/>
      <c r="E460" s="81"/>
      <c r="F460" s="81"/>
      <c r="G460" s="81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1"/>
      <c r="Y460" s="81"/>
      <c r="Z460" s="81"/>
      <c r="AA460" s="81"/>
      <c r="AB460" s="81"/>
      <c r="AC460" s="81"/>
      <c r="AD460" s="81"/>
      <c r="AE460" s="81"/>
      <c r="AF460" s="81"/>
      <c r="AG460" s="81"/>
      <c r="AH460" s="81"/>
    </row>
    <row r="461" spans="4:34" ht="14.25" customHeight="1">
      <c r="D461" s="81"/>
      <c r="E461" s="81"/>
      <c r="F461" s="81"/>
      <c r="G461" s="81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1"/>
      <c r="Y461" s="81"/>
      <c r="Z461" s="81"/>
      <c r="AA461" s="81"/>
      <c r="AB461" s="81"/>
      <c r="AC461" s="81"/>
      <c r="AD461" s="81"/>
      <c r="AE461" s="81"/>
      <c r="AF461" s="81"/>
      <c r="AG461" s="81"/>
      <c r="AH461" s="81"/>
    </row>
    <row r="462" spans="4:34" ht="14.25" customHeight="1"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81"/>
      <c r="Y462" s="81"/>
      <c r="Z462" s="81"/>
      <c r="AA462" s="81"/>
      <c r="AB462" s="81"/>
      <c r="AC462" s="81"/>
      <c r="AD462" s="81"/>
      <c r="AE462" s="81"/>
      <c r="AF462" s="81"/>
      <c r="AG462" s="81"/>
      <c r="AH462" s="81"/>
    </row>
    <row r="463" spans="4:34" ht="14.25" customHeight="1">
      <c r="D463" s="81"/>
      <c r="E463" s="81"/>
      <c r="F463" s="81"/>
      <c r="G463" s="81"/>
      <c r="H463" s="81"/>
      <c r="I463" s="81"/>
      <c r="J463" s="81"/>
      <c r="K463" s="81"/>
      <c r="L463" s="81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1"/>
      <c r="Y463" s="81"/>
      <c r="Z463" s="81"/>
      <c r="AA463" s="81"/>
      <c r="AB463" s="81"/>
      <c r="AC463" s="81"/>
      <c r="AD463" s="81"/>
      <c r="AE463" s="81"/>
      <c r="AF463" s="81"/>
      <c r="AG463" s="81"/>
      <c r="AH463" s="81"/>
    </row>
    <row r="464" spans="4:34" ht="14.25" customHeight="1">
      <c r="D464" s="81"/>
      <c r="E464" s="81"/>
      <c r="F464" s="81"/>
      <c r="G464" s="81"/>
      <c r="H464" s="81"/>
      <c r="I464" s="81"/>
      <c r="J464" s="81"/>
      <c r="K464" s="81"/>
      <c r="L464" s="81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81"/>
      <c r="Y464" s="81"/>
      <c r="Z464" s="81"/>
      <c r="AA464" s="81"/>
      <c r="AB464" s="81"/>
      <c r="AC464" s="81"/>
      <c r="AD464" s="81"/>
      <c r="AE464" s="81"/>
      <c r="AF464" s="81"/>
      <c r="AG464" s="81"/>
      <c r="AH464" s="81"/>
    </row>
    <row r="465" spans="4:34" ht="14.25" customHeight="1">
      <c r="D465" s="81"/>
      <c r="E465" s="81"/>
      <c r="F465" s="81"/>
      <c r="G465" s="81"/>
      <c r="H465" s="81"/>
      <c r="I465" s="81"/>
      <c r="J465" s="81"/>
      <c r="K465" s="81"/>
      <c r="L465" s="81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1"/>
      <c r="Y465" s="81"/>
      <c r="Z465" s="81"/>
      <c r="AA465" s="81"/>
      <c r="AB465" s="81"/>
      <c r="AC465" s="81"/>
      <c r="AD465" s="81"/>
      <c r="AE465" s="81"/>
      <c r="AF465" s="81"/>
      <c r="AG465" s="81"/>
      <c r="AH465" s="81"/>
    </row>
    <row r="466" spans="4:34" ht="14.25" customHeight="1"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81"/>
      <c r="Y466" s="81"/>
      <c r="Z466" s="81"/>
      <c r="AA466" s="81"/>
      <c r="AB466" s="81"/>
      <c r="AC466" s="81"/>
      <c r="AD466" s="81"/>
      <c r="AE466" s="81"/>
      <c r="AF466" s="81"/>
      <c r="AG466" s="81"/>
      <c r="AH466" s="81"/>
    </row>
    <row r="467" spans="4:34" ht="14.25" customHeight="1">
      <c r="D467" s="81"/>
      <c r="E467" s="81"/>
      <c r="F467" s="81"/>
      <c r="G467" s="81"/>
      <c r="H467" s="81"/>
      <c r="I467" s="81"/>
      <c r="J467" s="81"/>
      <c r="K467" s="81"/>
      <c r="L467" s="81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1"/>
      <c r="Y467" s="81"/>
      <c r="Z467" s="81"/>
      <c r="AA467" s="81"/>
      <c r="AB467" s="81"/>
      <c r="AC467" s="81"/>
      <c r="AD467" s="81"/>
      <c r="AE467" s="81"/>
      <c r="AF467" s="81"/>
      <c r="AG467" s="81"/>
      <c r="AH467" s="81"/>
    </row>
    <row r="468" spans="4:34" ht="14.25" customHeight="1">
      <c r="D468" s="81"/>
      <c r="E468" s="81"/>
      <c r="F468" s="81"/>
      <c r="G468" s="81"/>
      <c r="H468" s="81"/>
      <c r="I468" s="81"/>
      <c r="J468" s="81"/>
      <c r="K468" s="81"/>
      <c r="L468" s="81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81"/>
      <c r="Y468" s="81"/>
      <c r="Z468" s="81"/>
      <c r="AA468" s="81"/>
      <c r="AB468" s="81"/>
      <c r="AC468" s="81"/>
      <c r="AD468" s="81"/>
      <c r="AE468" s="81"/>
      <c r="AF468" s="81"/>
      <c r="AG468" s="81"/>
      <c r="AH468" s="81"/>
    </row>
    <row r="469" spans="4:34" ht="14.25" customHeight="1">
      <c r="D469" s="81"/>
      <c r="E469" s="81"/>
      <c r="F469" s="81"/>
      <c r="G469" s="81"/>
      <c r="H469" s="81"/>
      <c r="I469" s="81"/>
      <c r="J469" s="81"/>
      <c r="K469" s="81"/>
      <c r="L469" s="81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1"/>
      <c r="Y469" s="81"/>
      <c r="Z469" s="81"/>
      <c r="AA469" s="81"/>
      <c r="AB469" s="81"/>
      <c r="AC469" s="81"/>
      <c r="AD469" s="81"/>
      <c r="AE469" s="81"/>
      <c r="AF469" s="81"/>
      <c r="AG469" s="81"/>
      <c r="AH469" s="81"/>
    </row>
    <row r="470" spans="4:34" ht="14.25" customHeight="1"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81"/>
      <c r="Y470" s="81"/>
      <c r="Z470" s="81"/>
      <c r="AA470" s="81"/>
      <c r="AB470" s="81"/>
      <c r="AC470" s="81"/>
      <c r="AD470" s="81"/>
      <c r="AE470" s="81"/>
      <c r="AF470" s="81"/>
      <c r="AG470" s="81"/>
      <c r="AH470" s="81"/>
    </row>
    <row r="471" spans="4:34" ht="14.25" customHeight="1">
      <c r="D471" s="81"/>
      <c r="E471" s="81"/>
      <c r="F471" s="81"/>
      <c r="G471" s="81"/>
      <c r="H471" s="81"/>
      <c r="I471" s="81"/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1"/>
      <c r="Y471" s="81"/>
      <c r="Z471" s="81"/>
      <c r="AA471" s="81"/>
      <c r="AB471" s="81"/>
      <c r="AC471" s="81"/>
      <c r="AD471" s="81"/>
      <c r="AE471" s="81"/>
      <c r="AF471" s="81"/>
      <c r="AG471" s="81"/>
      <c r="AH471" s="81"/>
    </row>
    <row r="472" spans="4:34" ht="14.25" customHeight="1">
      <c r="D472" s="81"/>
      <c r="E472" s="81"/>
      <c r="F472" s="81"/>
      <c r="G472" s="81"/>
      <c r="H472" s="81"/>
      <c r="I472" s="81"/>
      <c r="J472" s="81"/>
      <c r="K472" s="81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1"/>
      <c r="Y472" s="81"/>
      <c r="Z472" s="81"/>
      <c r="AA472" s="81"/>
      <c r="AB472" s="81"/>
      <c r="AC472" s="81"/>
      <c r="AD472" s="81"/>
      <c r="AE472" s="81"/>
      <c r="AF472" s="81"/>
      <c r="AG472" s="81"/>
      <c r="AH472" s="81"/>
    </row>
    <row r="473" spans="4:34" ht="14.25" customHeight="1">
      <c r="D473" s="81"/>
      <c r="E473" s="81"/>
      <c r="F473" s="81"/>
      <c r="G473" s="81"/>
      <c r="H473" s="81"/>
      <c r="I473" s="81"/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1"/>
      <c r="Y473" s="81"/>
      <c r="Z473" s="81"/>
      <c r="AA473" s="81"/>
      <c r="AB473" s="81"/>
      <c r="AC473" s="81"/>
      <c r="AD473" s="81"/>
      <c r="AE473" s="81"/>
      <c r="AF473" s="81"/>
      <c r="AG473" s="81"/>
      <c r="AH473" s="81"/>
    </row>
    <row r="474" spans="4:34" ht="14.25" customHeight="1"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1"/>
      <c r="Y474" s="81"/>
      <c r="Z474" s="81"/>
      <c r="AA474" s="81"/>
      <c r="AB474" s="81"/>
      <c r="AC474" s="81"/>
      <c r="AD474" s="81"/>
      <c r="AE474" s="81"/>
      <c r="AF474" s="81"/>
      <c r="AG474" s="81"/>
      <c r="AH474" s="81"/>
    </row>
    <row r="475" spans="4:34" ht="14.25" customHeight="1">
      <c r="D475" s="81"/>
      <c r="E475" s="81"/>
      <c r="F475" s="81"/>
      <c r="G475" s="81"/>
      <c r="H475" s="81"/>
      <c r="I475" s="81"/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1"/>
      <c r="Y475" s="81"/>
      <c r="Z475" s="81"/>
      <c r="AA475" s="81"/>
      <c r="AB475" s="81"/>
      <c r="AC475" s="81"/>
      <c r="AD475" s="81"/>
      <c r="AE475" s="81"/>
      <c r="AF475" s="81"/>
      <c r="AG475" s="81"/>
      <c r="AH475" s="81"/>
    </row>
    <row r="476" spans="4:34" ht="14.25" customHeight="1">
      <c r="D476" s="81"/>
      <c r="E476" s="81"/>
      <c r="F476" s="81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1"/>
      <c r="Y476" s="81"/>
      <c r="Z476" s="81"/>
      <c r="AA476" s="81"/>
      <c r="AB476" s="81"/>
      <c r="AC476" s="81"/>
      <c r="AD476" s="81"/>
      <c r="AE476" s="81"/>
      <c r="AF476" s="81"/>
      <c r="AG476" s="81"/>
      <c r="AH476" s="81"/>
    </row>
    <row r="477" spans="4:34" ht="14.25" customHeight="1">
      <c r="D477" s="81"/>
      <c r="E477" s="81"/>
      <c r="F477" s="81"/>
      <c r="G477" s="81"/>
      <c r="H477" s="81"/>
      <c r="I477" s="81"/>
      <c r="J477" s="81"/>
      <c r="K477" s="81"/>
      <c r="L477" s="81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1"/>
      <c r="Y477" s="81"/>
      <c r="Z477" s="81"/>
      <c r="AA477" s="81"/>
      <c r="AB477" s="81"/>
      <c r="AC477" s="81"/>
      <c r="AD477" s="81"/>
      <c r="AE477" s="81"/>
      <c r="AF477" s="81"/>
      <c r="AG477" s="81"/>
      <c r="AH477" s="81"/>
    </row>
    <row r="478" spans="4:34" ht="14.25" customHeight="1"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81"/>
      <c r="Y478" s="81"/>
      <c r="Z478" s="81"/>
      <c r="AA478" s="81"/>
      <c r="AB478" s="81"/>
      <c r="AC478" s="81"/>
      <c r="AD478" s="81"/>
      <c r="AE478" s="81"/>
      <c r="AF478" s="81"/>
      <c r="AG478" s="81"/>
      <c r="AH478" s="81"/>
    </row>
    <row r="479" spans="4:34" ht="14.25" customHeight="1">
      <c r="D479" s="81"/>
      <c r="E479" s="81"/>
      <c r="F479" s="81"/>
      <c r="G479" s="81"/>
      <c r="H479" s="81"/>
      <c r="I479" s="81"/>
      <c r="J479" s="81"/>
      <c r="K479" s="81"/>
      <c r="L479" s="81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1"/>
      <c r="Y479" s="81"/>
      <c r="Z479" s="81"/>
      <c r="AA479" s="81"/>
      <c r="AB479" s="81"/>
      <c r="AC479" s="81"/>
      <c r="AD479" s="81"/>
      <c r="AE479" s="81"/>
      <c r="AF479" s="81"/>
      <c r="AG479" s="81"/>
      <c r="AH479" s="81"/>
    </row>
    <row r="480" spans="4:34" ht="14.25" customHeight="1">
      <c r="D480" s="81"/>
      <c r="E480" s="81"/>
      <c r="F480" s="81"/>
      <c r="G480" s="81"/>
      <c r="H480" s="81"/>
      <c r="I480" s="81"/>
      <c r="J480" s="81"/>
      <c r="K480" s="81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1"/>
      <c r="Y480" s="81"/>
      <c r="Z480" s="81"/>
      <c r="AA480" s="81"/>
      <c r="AB480" s="81"/>
      <c r="AC480" s="81"/>
      <c r="AD480" s="81"/>
      <c r="AE480" s="81"/>
      <c r="AF480" s="81"/>
      <c r="AG480" s="81"/>
      <c r="AH480" s="81"/>
    </row>
    <row r="481" spans="4:34" ht="14.25" customHeight="1">
      <c r="D481" s="81"/>
      <c r="E481" s="81"/>
      <c r="F481" s="81"/>
      <c r="G481" s="81"/>
      <c r="H481" s="81"/>
      <c r="I481" s="81"/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1"/>
      <c r="Y481" s="81"/>
      <c r="Z481" s="81"/>
      <c r="AA481" s="81"/>
      <c r="AB481" s="81"/>
      <c r="AC481" s="81"/>
      <c r="AD481" s="81"/>
      <c r="AE481" s="81"/>
      <c r="AF481" s="81"/>
      <c r="AG481" s="81"/>
      <c r="AH481" s="81"/>
    </row>
    <row r="482" spans="4:34" ht="14.25" customHeight="1"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1"/>
      <c r="Y482" s="81"/>
      <c r="Z482" s="81"/>
      <c r="AA482" s="81"/>
      <c r="AB482" s="81"/>
      <c r="AC482" s="81"/>
      <c r="AD482" s="81"/>
      <c r="AE482" s="81"/>
      <c r="AF482" s="81"/>
      <c r="AG482" s="81"/>
      <c r="AH482" s="81"/>
    </row>
    <row r="483" spans="4:34" ht="14.25" customHeight="1">
      <c r="D483" s="81"/>
      <c r="E483" s="81"/>
      <c r="F483" s="81"/>
      <c r="G483" s="81"/>
      <c r="H483" s="81"/>
      <c r="I483" s="81"/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1"/>
      <c r="Y483" s="81"/>
      <c r="Z483" s="81"/>
      <c r="AA483" s="81"/>
      <c r="AB483" s="81"/>
      <c r="AC483" s="81"/>
      <c r="AD483" s="81"/>
      <c r="AE483" s="81"/>
      <c r="AF483" s="81"/>
      <c r="AG483" s="81"/>
      <c r="AH483" s="81"/>
    </row>
    <row r="484" spans="4:34" ht="14.25" customHeight="1">
      <c r="D484" s="81"/>
      <c r="E484" s="81"/>
      <c r="F484" s="81"/>
      <c r="G484" s="81"/>
      <c r="H484" s="81"/>
      <c r="I484" s="81"/>
      <c r="J484" s="81"/>
      <c r="K484" s="81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1"/>
      <c r="Y484" s="81"/>
      <c r="Z484" s="81"/>
      <c r="AA484" s="81"/>
      <c r="AB484" s="81"/>
      <c r="AC484" s="81"/>
      <c r="AD484" s="81"/>
      <c r="AE484" s="81"/>
      <c r="AF484" s="81"/>
      <c r="AG484" s="81"/>
      <c r="AH484" s="81"/>
    </row>
    <row r="485" spans="4:34" ht="14.25" customHeight="1">
      <c r="D485" s="81"/>
      <c r="E485" s="81"/>
      <c r="F485" s="81"/>
      <c r="G485" s="81"/>
      <c r="H485" s="81"/>
      <c r="I485" s="81"/>
      <c r="J485" s="81"/>
      <c r="K485" s="81"/>
      <c r="L485" s="81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1"/>
      <c r="Y485" s="81"/>
      <c r="Z485" s="81"/>
      <c r="AA485" s="81"/>
      <c r="AB485" s="81"/>
      <c r="AC485" s="81"/>
      <c r="AD485" s="81"/>
      <c r="AE485" s="81"/>
      <c r="AF485" s="81"/>
      <c r="AG485" s="81"/>
      <c r="AH485" s="81"/>
    </row>
    <row r="486" spans="4:34" ht="14.25" customHeight="1"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81"/>
      <c r="Y486" s="81"/>
      <c r="Z486" s="81"/>
      <c r="AA486" s="81"/>
      <c r="AB486" s="81"/>
      <c r="AC486" s="81"/>
      <c r="AD486" s="81"/>
      <c r="AE486" s="81"/>
      <c r="AF486" s="81"/>
      <c r="AG486" s="81"/>
      <c r="AH486" s="81"/>
    </row>
    <row r="487" spans="4:34" ht="14.25" customHeight="1">
      <c r="D487" s="81"/>
      <c r="E487" s="81"/>
      <c r="F487" s="81"/>
      <c r="G487" s="81"/>
      <c r="H487" s="81"/>
      <c r="I487" s="81"/>
      <c r="J487" s="81"/>
      <c r="K487" s="81"/>
      <c r="L487" s="81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1"/>
      <c r="Y487" s="81"/>
      <c r="Z487" s="81"/>
      <c r="AA487" s="81"/>
      <c r="AB487" s="81"/>
      <c r="AC487" s="81"/>
      <c r="AD487" s="81"/>
      <c r="AE487" s="81"/>
      <c r="AF487" s="81"/>
      <c r="AG487" s="81"/>
      <c r="AH487" s="81"/>
    </row>
    <row r="488" spans="4:34" ht="14.25" customHeight="1">
      <c r="D488" s="81"/>
      <c r="E488" s="81"/>
      <c r="F488" s="81"/>
      <c r="G488" s="81"/>
      <c r="H488" s="81"/>
      <c r="I488" s="81"/>
      <c r="J488" s="81"/>
      <c r="K488" s="81"/>
      <c r="L488" s="81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81"/>
      <c r="Y488" s="81"/>
      <c r="Z488" s="81"/>
      <c r="AA488" s="81"/>
      <c r="AB488" s="81"/>
      <c r="AC488" s="81"/>
      <c r="AD488" s="81"/>
      <c r="AE488" s="81"/>
      <c r="AF488" s="81"/>
      <c r="AG488" s="81"/>
      <c r="AH488" s="81"/>
    </row>
    <row r="489" spans="4:34" ht="14.25" customHeight="1">
      <c r="D489" s="81"/>
      <c r="E489" s="81"/>
      <c r="F489" s="81"/>
      <c r="G489" s="81"/>
      <c r="H489" s="81"/>
      <c r="I489" s="81"/>
      <c r="J489" s="81"/>
      <c r="K489" s="81"/>
      <c r="L489" s="81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1"/>
      <c r="Y489" s="81"/>
      <c r="Z489" s="81"/>
      <c r="AA489" s="81"/>
      <c r="AB489" s="81"/>
      <c r="AC489" s="81"/>
      <c r="AD489" s="81"/>
      <c r="AE489" s="81"/>
      <c r="AF489" s="81"/>
      <c r="AG489" s="81"/>
      <c r="AH489" s="81"/>
    </row>
    <row r="490" spans="4:34" ht="14.25" customHeight="1"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81"/>
      <c r="Y490" s="81"/>
      <c r="Z490" s="81"/>
      <c r="AA490" s="81"/>
      <c r="AB490" s="81"/>
      <c r="AC490" s="81"/>
      <c r="AD490" s="81"/>
      <c r="AE490" s="81"/>
      <c r="AF490" s="81"/>
      <c r="AG490" s="81"/>
      <c r="AH490" s="81"/>
    </row>
    <row r="491" spans="4:34" ht="14.25" customHeight="1">
      <c r="D491" s="81"/>
      <c r="E491" s="81"/>
      <c r="F491" s="81"/>
      <c r="G491" s="81"/>
      <c r="H491" s="81"/>
      <c r="I491" s="81"/>
      <c r="J491" s="81"/>
      <c r="K491" s="81"/>
      <c r="L491" s="81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1"/>
      <c r="Y491" s="81"/>
      <c r="Z491" s="81"/>
      <c r="AA491" s="81"/>
      <c r="AB491" s="81"/>
      <c r="AC491" s="81"/>
      <c r="AD491" s="81"/>
      <c r="AE491" s="81"/>
      <c r="AF491" s="81"/>
      <c r="AG491" s="81"/>
      <c r="AH491" s="81"/>
    </row>
    <row r="492" spans="4:34" ht="14.25" customHeight="1">
      <c r="D492" s="81"/>
      <c r="E492" s="81"/>
      <c r="F492" s="81"/>
      <c r="G492" s="81"/>
      <c r="H492" s="81"/>
      <c r="I492" s="81"/>
      <c r="J492" s="81"/>
      <c r="K492" s="81"/>
      <c r="L492" s="81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81"/>
      <c r="Y492" s="81"/>
      <c r="Z492" s="81"/>
      <c r="AA492" s="81"/>
      <c r="AB492" s="81"/>
      <c r="AC492" s="81"/>
      <c r="AD492" s="81"/>
      <c r="AE492" s="81"/>
      <c r="AF492" s="81"/>
      <c r="AG492" s="81"/>
      <c r="AH492" s="81"/>
    </row>
    <row r="493" spans="4:34" ht="14.25" customHeight="1">
      <c r="D493" s="81"/>
      <c r="E493" s="81"/>
      <c r="F493" s="81"/>
      <c r="G493" s="81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1"/>
      <c r="Y493" s="81"/>
      <c r="Z493" s="81"/>
      <c r="AA493" s="81"/>
      <c r="AB493" s="81"/>
      <c r="AC493" s="81"/>
      <c r="AD493" s="81"/>
      <c r="AE493" s="81"/>
      <c r="AF493" s="81"/>
      <c r="AG493" s="81"/>
      <c r="AH493" s="81"/>
    </row>
    <row r="494" spans="4:34" ht="14.25" customHeight="1"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1"/>
      <c r="Y494" s="81"/>
      <c r="Z494" s="81"/>
      <c r="AA494" s="81"/>
      <c r="AB494" s="81"/>
      <c r="AC494" s="81"/>
      <c r="AD494" s="81"/>
      <c r="AE494" s="81"/>
      <c r="AF494" s="81"/>
      <c r="AG494" s="81"/>
      <c r="AH494" s="81"/>
    </row>
    <row r="495" spans="4:34" ht="14.25" customHeight="1">
      <c r="D495" s="81"/>
      <c r="E495" s="81"/>
      <c r="F495" s="81"/>
      <c r="G495" s="81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1"/>
      <c r="Y495" s="81"/>
      <c r="Z495" s="81"/>
      <c r="AA495" s="81"/>
      <c r="AB495" s="81"/>
      <c r="AC495" s="81"/>
      <c r="AD495" s="81"/>
      <c r="AE495" s="81"/>
      <c r="AF495" s="81"/>
      <c r="AG495" s="81"/>
      <c r="AH495" s="81"/>
    </row>
    <row r="496" spans="4:34" ht="14.25" customHeight="1">
      <c r="D496" s="81"/>
      <c r="E496" s="81"/>
      <c r="F496" s="81"/>
      <c r="G496" s="81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1"/>
      <c r="Y496" s="81"/>
      <c r="Z496" s="81"/>
      <c r="AA496" s="81"/>
      <c r="AB496" s="81"/>
      <c r="AC496" s="81"/>
      <c r="AD496" s="81"/>
      <c r="AE496" s="81"/>
      <c r="AF496" s="81"/>
      <c r="AG496" s="81"/>
      <c r="AH496" s="81"/>
    </row>
    <row r="497" spans="4:34" ht="14.25" customHeight="1">
      <c r="D497" s="81"/>
      <c r="E497" s="81"/>
      <c r="F497" s="81"/>
      <c r="G497" s="81"/>
      <c r="H497" s="81"/>
      <c r="I497" s="81"/>
      <c r="J497" s="81"/>
      <c r="K497" s="81"/>
      <c r="L497" s="81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1"/>
      <c r="Y497" s="81"/>
      <c r="Z497" s="81"/>
      <c r="AA497" s="81"/>
      <c r="AB497" s="81"/>
      <c r="AC497" s="81"/>
      <c r="AD497" s="81"/>
      <c r="AE497" s="81"/>
      <c r="AF497" s="81"/>
      <c r="AG497" s="81"/>
      <c r="AH497" s="81"/>
    </row>
    <row r="498" spans="4:34" ht="14.25" customHeight="1"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81"/>
      <c r="Y498" s="81"/>
      <c r="Z498" s="81"/>
      <c r="AA498" s="81"/>
      <c r="AB498" s="81"/>
      <c r="AC498" s="81"/>
      <c r="AD498" s="81"/>
      <c r="AE498" s="81"/>
      <c r="AF498" s="81"/>
      <c r="AG498" s="81"/>
      <c r="AH498" s="81"/>
    </row>
    <row r="499" spans="4:34" ht="14.25" customHeight="1">
      <c r="D499" s="81"/>
      <c r="E499" s="81"/>
      <c r="F499" s="81"/>
      <c r="G499" s="81"/>
      <c r="H499" s="81"/>
      <c r="I499" s="81"/>
      <c r="J499" s="81"/>
      <c r="K499" s="81"/>
      <c r="L499" s="81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1"/>
      <c r="Y499" s="81"/>
      <c r="Z499" s="81"/>
      <c r="AA499" s="81"/>
      <c r="AB499" s="81"/>
      <c r="AC499" s="81"/>
      <c r="AD499" s="81"/>
      <c r="AE499" s="81"/>
      <c r="AF499" s="81"/>
      <c r="AG499" s="81"/>
      <c r="AH499" s="81"/>
    </row>
    <row r="500" spans="4:34" ht="14.25" customHeight="1">
      <c r="D500" s="81"/>
      <c r="E500" s="81"/>
      <c r="F500" s="81"/>
      <c r="G500" s="81"/>
      <c r="H500" s="81"/>
      <c r="I500" s="81"/>
      <c r="J500" s="81"/>
      <c r="K500" s="81"/>
      <c r="L500" s="81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81"/>
      <c r="Y500" s="81"/>
      <c r="Z500" s="81"/>
      <c r="AA500" s="81"/>
      <c r="AB500" s="81"/>
      <c r="AC500" s="81"/>
      <c r="AD500" s="81"/>
      <c r="AE500" s="81"/>
      <c r="AF500" s="81"/>
      <c r="AG500" s="81"/>
      <c r="AH500" s="81"/>
    </row>
    <row r="501" spans="4:34" ht="14.25" customHeight="1">
      <c r="D501" s="81"/>
      <c r="E501" s="81"/>
      <c r="F501" s="81"/>
      <c r="G501" s="81"/>
      <c r="H501" s="81"/>
      <c r="I501" s="81"/>
      <c r="J501" s="81"/>
      <c r="K501" s="81"/>
      <c r="L501" s="81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1"/>
      <c r="Y501" s="81"/>
      <c r="Z501" s="81"/>
      <c r="AA501" s="81"/>
      <c r="AB501" s="81"/>
      <c r="AC501" s="81"/>
      <c r="AD501" s="81"/>
      <c r="AE501" s="81"/>
      <c r="AF501" s="81"/>
      <c r="AG501" s="81"/>
      <c r="AH501" s="81"/>
    </row>
    <row r="502" spans="4:34" ht="14.25" customHeight="1"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81"/>
      <c r="Y502" s="81"/>
      <c r="Z502" s="81"/>
      <c r="AA502" s="81"/>
      <c r="AB502" s="81"/>
      <c r="AC502" s="81"/>
      <c r="AD502" s="81"/>
      <c r="AE502" s="81"/>
      <c r="AF502" s="81"/>
      <c r="AG502" s="81"/>
      <c r="AH502" s="81"/>
    </row>
    <row r="503" spans="4:34" ht="14.25" customHeight="1">
      <c r="D503" s="81"/>
      <c r="E503" s="81"/>
      <c r="F503" s="81"/>
      <c r="G503" s="81"/>
      <c r="H503" s="81"/>
      <c r="I503" s="81"/>
      <c r="J503" s="81"/>
      <c r="K503" s="81"/>
      <c r="L503" s="81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1"/>
      <c r="Y503" s="81"/>
      <c r="Z503" s="81"/>
      <c r="AA503" s="81"/>
      <c r="AB503" s="81"/>
      <c r="AC503" s="81"/>
      <c r="AD503" s="81"/>
      <c r="AE503" s="81"/>
      <c r="AF503" s="81"/>
      <c r="AG503" s="81"/>
      <c r="AH503" s="81"/>
    </row>
    <row r="504" spans="4:34" ht="14.25" customHeight="1">
      <c r="D504" s="81"/>
      <c r="E504" s="81"/>
      <c r="F504" s="81"/>
      <c r="G504" s="81"/>
      <c r="H504" s="81"/>
      <c r="I504" s="81"/>
      <c r="J504" s="81"/>
      <c r="K504" s="81"/>
      <c r="L504" s="81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81"/>
      <c r="Y504" s="81"/>
      <c r="Z504" s="81"/>
      <c r="AA504" s="81"/>
      <c r="AB504" s="81"/>
      <c r="AC504" s="81"/>
      <c r="AD504" s="81"/>
      <c r="AE504" s="81"/>
      <c r="AF504" s="81"/>
      <c r="AG504" s="81"/>
      <c r="AH504" s="81"/>
    </row>
    <row r="505" spans="4:34" ht="14.25" customHeight="1">
      <c r="D505" s="81"/>
      <c r="E505" s="81"/>
      <c r="F505" s="81"/>
      <c r="G505" s="81"/>
      <c r="H505" s="81"/>
      <c r="I505" s="81"/>
      <c r="J505" s="81"/>
      <c r="K505" s="81"/>
      <c r="L505" s="81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1"/>
      <c r="Y505" s="81"/>
      <c r="Z505" s="81"/>
      <c r="AA505" s="81"/>
      <c r="AB505" s="81"/>
      <c r="AC505" s="81"/>
      <c r="AD505" s="81"/>
      <c r="AE505" s="81"/>
      <c r="AF505" s="81"/>
      <c r="AG505" s="81"/>
      <c r="AH505" s="81"/>
    </row>
    <row r="506" spans="4:34" ht="14.25" customHeight="1"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81"/>
      <c r="Y506" s="81"/>
      <c r="Z506" s="81"/>
      <c r="AA506" s="81"/>
      <c r="AB506" s="81"/>
      <c r="AC506" s="81"/>
      <c r="AD506" s="81"/>
      <c r="AE506" s="81"/>
      <c r="AF506" s="81"/>
      <c r="AG506" s="81"/>
      <c r="AH506" s="81"/>
    </row>
    <row r="507" spans="4:34" ht="14.25" customHeight="1">
      <c r="D507" s="81"/>
      <c r="E507" s="81"/>
      <c r="F507" s="81"/>
      <c r="G507" s="81"/>
      <c r="H507" s="81"/>
      <c r="I507" s="81"/>
      <c r="J507" s="81"/>
      <c r="K507" s="81"/>
      <c r="L507" s="81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1"/>
      <c r="Y507" s="81"/>
      <c r="Z507" s="81"/>
      <c r="AA507" s="81"/>
      <c r="AB507" s="81"/>
      <c r="AC507" s="81"/>
      <c r="AD507" s="81"/>
      <c r="AE507" s="81"/>
      <c r="AF507" s="81"/>
      <c r="AG507" s="81"/>
      <c r="AH507" s="81"/>
    </row>
    <row r="508" spans="4:34" ht="14.25" customHeight="1">
      <c r="D508" s="81"/>
      <c r="E508" s="81"/>
      <c r="F508" s="81"/>
      <c r="G508" s="81"/>
      <c r="H508" s="81"/>
      <c r="I508" s="81"/>
      <c r="J508" s="81"/>
      <c r="K508" s="81"/>
      <c r="L508" s="81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81"/>
      <c r="Y508" s="81"/>
      <c r="Z508" s="81"/>
      <c r="AA508" s="81"/>
      <c r="AB508" s="81"/>
      <c r="AC508" s="81"/>
      <c r="AD508" s="81"/>
      <c r="AE508" s="81"/>
      <c r="AF508" s="81"/>
      <c r="AG508" s="81"/>
      <c r="AH508" s="81"/>
    </row>
    <row r="509" spans="4:34" ht="14.25" customHeight="1">
      <c r="D509" s="81"/>
      <c r="E509" s="81"/>
      <c r="F509" s="81"/>
      <c r="G509" s="81"/>
      <c r="H509" s="81"/>
      <c r="I509" s="81"/>
      <c r="J509" s="81"/>
      <c r="K509" s="81"/>
      <c r="L509" s="81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1"/>
      <c r="Y509" s="81"/>
      <c r="Z509" s="81"/>
      <c r="AA509" s="81"/>
      <c r="AB509" s="81"/>
      <c r="AC509" s="81"/>
      <c r="AD509" s="81"/>
      <c r="AE509" s="81"/>
      <c r="AF509" s="81"/>
      <c r="AG509" s="81"/>
      <c r="AH509" s="81"/>
    </row>
    <row r="510" spans="4:34" ht="14.25" customHeight="1"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81"/>
      <c r="Y510" s="81"/>
      <c r="Z510" s="81"/>
      <c r="AA510" s="81"/>
      <c r="AB510" s="81"/>
      <c r="AC510" s="81"/>
      <c r="AD510" s="81"/>
      <c r="AE510" s="81"/>
      <c r="AF510" s="81"/>
      <c r="AG510" s="81"/>
      <c r="AH510" s="81"/>
    </row>
    <row r="511" spans="4:34" ht="14.25" customHeight="1">
      <c r="D511" s="81"/>
      <c r="E511" s="81"/>
      <c r="F511" s="81"/>
      <c r="G511" s="81"/>
      <c r="H511" s="81"/>
      <c r="I511" s="81"/>
      <c r="J511" s="81"/>
      <c r="K511" s="81"/>
      <c r="L511" s="81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1"/>
      <c r="Y511" s="81"/>
      <c r="Z511" s="81"/>
      <c r="AA511" s="81"/>
      <c r="AB511" s="81"/>
      <c r="AC511" s="81"/>
      <c r="AD511" s="81"/>
      <c r="AE511" s="81"/>
      <c r="AF511" s="81"/>
      <c r="AG511" s="81"/>
      <c r="AH511" s="81"/>
    </row>
    <row r="512" spans="4:34" ht="14.25" customHeight="1">
      <c r="D512" s="81"/>
      <c r="E512" s="81"/>
      <c r="F512" s="81"/>
      <c r="G512" s="81"/>
      <c r="H512" s="81"/>
      <c r="I512" s="81"/>
      <c r="J512" s="81"/>
      <c r="K512" s="81"/>
      <c r="L512" s="81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81"/>
      <c r="Y512" s="81"/>
      <c r="Z512" s="81"/>
      <c r="AA512" s="81"/>
      <c r="AB512" s="81"/>
      <c r="AC512" s="81"/>
      <c r="AD512" s="81"/>
      <c r="AE512" s="81"/>
      <c r="AF512" s="81"/>
      <c r="AG512" s="81"/>
      <c r="AH512" s="81"/>
    </row>
    <row r="513" spans="4:34" ht="14.25" customHeight="1">
      <c r="D513" s="81"/>
      <c r="E513" s="81"/>
      <c r="F513" s="81"/>
      <c r="G513" s="81"/>
      <c r="H513" s="81"/>
      <c r="I513" s="81"/>
      <c r="J513" s="81"/>
      <c r="K513" s="81"/>
      <c r="L513" s="81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1"/>
      <c r="Y513" s="81"/>
      <c r="Z513" s="81"/>
      <c r="AA513" s="81"/>
      <c r="AB513" s="81"/>
      <c r="AC513" s="81"/>
      <c r="AD513" s="81"/>
      <c r="AE513" s="81"/>
      <c r="AF513" s="81"/>
      <c r="AG513" s="81"/>
      <c r="AH513" s="81"/>
    </row>
    <row r="514" spans="4:34" ht="14.25" customHeight="1"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81"/>
      <c r="Y514" s="81"/>
      <c r="Z514" s="81"/>
      <c r="AA514" s="81"/>
      <c r="AB514" s="81"/>
      <c r="AC514" s="81"/>
      <c r="AD514" s="81"/>
      <c r="AE514" s="81"/>
      <c r="AF514" s="81"/>
      <c r="AG514" s="81"/>
      <c r="AH514" s="81"/>
    </row>
    <row r="515" spans="4:34" ht="14.25" customHeight="1">
      <c r="D515" s="81"/>
      <c r="E515" s="81"/>
      <c r="F515" s="81"/>
      <c r="G515" s="81"/>
      <c r="H515" s="81"/>
      <c r="I515" s="81"/>
      <c r="J515" s="81"/>
      <c r="K515" s="81"/>
      <c r="L515" s="81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1"/>
      <c r="Y515" s="81"/>
      <c r="Z515" s="81"/>
      <c r="AA515" s="81"/>
      <c r="AB515" s="81"/>
      <c r="AC515" s="81"/>
      <c r="AD515" s="81"/>
      <c r="AE515" s="81"/>
      <c r="AF515" s="81"/>
      <c r="AG515" s="81"/>
      <c r="AH515" s="81"/>
    </row>
    <row r="516" spans="4:34" ht="14.25" customHeight="1">
      <c r="D516" s="81"/>
      <c r="E516" s="81"/>
      <c r="F516" s="81"/>
      <c r="G516" s="81"/>
      <c r="H516" s="81"/>
      <c r="I516" s="81"/>
      <c r="J516" s="81"/>
      <c r="K516" s="81"/>
      <c r="L516" s="81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81"/>
      <c r="Y516" s="81"/>
      <c r="Z516" s="81"/>
      <c r="AA516" s="81"/>
      <c r="AB516" s="81"/>
      <c r="AC516" s="81"/>
      <c r="AD516" s="81"/>
      <c r="AE516" s="81"/>
      <c r="AF516" s="81"/>
      <c r="AG516" s="81"/>
      <c r="AH516" s="81"/>
    </row>
    <row r="517" spans="4:34" ht="14.25" customHeight="1">
      <c r="D517" s="81"/>
      <c r="E517" s="81"/>
      <c r="F517" s="81"/>
      <c r="G517" s="81"/>
      <c r="H517" s="81"/>
      <c r="I517" s="81"/>
      <c r="J517" s="81"/>
      <c r="K517" s="81"/>
      <c r="L517" s="81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1"/>
      <c r="Y517" s="81"/>
      <c r="Z517" s="81"/>
      <c r="AA517" s="81"/>
      <c r="AB517" s="81"/>
      <c r="AC517" s="81"/>
      <c r="AD517" s="81"/>
      <c r="AE517" s="81"/>
      <c r="AF517" s="81"/>
      <c r="AG517" s="81"/>
      <c r="AH517" s="81"/>
    </row>
    <row r="518" spans="4:34" ht="14.25" customHeight="1"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81"/>
      <c r="Y518" s="81"/>
      <c r="Z518" s="81"/>
      <c r="AA518" s="81"/>
      <c r="AB518" s="81"/>
      <c r="AC518" s="81"/>
      <c r="AD518" s="81"/>
      <c r="AE518" s="81"/>
      <c r="AF518" s="81"/>
      <c r="AG518" s="81"/>
      <c r="AH518" s="81"/>
    </row>
    <row r="519" spans="4:34" ht="14.25" customHeight="1">
      <c r="D519" s="81"/>
      <c r="E519" s="81"/>
      <c r="F519" s="81"/>
      <c r="G519" s="81"/>
      <c r="H519" s="81"/>
      <c r="I519" s="81"/>
      <c r="J519" s="81"/>
      <c r="K519" s="81"/>
      <c r="L519" s="81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1"/>
      <c r="Y519" s="81"/>
      <c r="Z519" s="81"/>
      <c r="AA519" s="81"/>
      <c r="AB519" s="81"/>
      <c r="AC519" s="81"/>
      <c r="AD519" s="81"/>
      <c r="AE519" s="81"/>
      <c r="AF519" s="81"/>
      <c r="AG519" s="81"/>
      <c r="AH519" s="81"/>
    </row>
    <row r="520" spans="4:34" ht="14.25" customHeight="1">
      <c r="D520" s="81"/>
      <c r="E520" s="81"/>
      <c r="F520" s="81"/>
      <c r="G520" s="81"/>
      <c r="H520" s="81"/>
      <c r="I520" s="81"/>
      <c r="J520" s="81"/>
      <c r="K520" s="81"/>
      <c r="L520" s="81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81"/>
      <c r="Y520" s="81"/>
      <c r="Z520" s="81"/>
      <c r="AA520" s="81"/>
      <c r="AB520" s="81"/>
      <c r="AC520" s="81"/>
      <c r="AD520" s="81"/>
      <c r="AE520" s="81"/>
      <c r="AF520" s="81"/>
      <c r="AG520" s="81"/>
      <c r="AH520" s="81"/>
    </row>
    <row r="521" spans="4:34" ht="14.25" customHeight="1">
      <c r="D521" s="81"/>
      <c r="E521" s="81"/>
      <c r="F521" s="81"/>
      <c r="G521" s="81"/>
      <c r="H521" s="81"/>
      <c r="I521" s="81"/>
      <c r="J521" s="81"/>
      <c r="K521" s="81"/>
      <c r="L521" s="81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1"/>
      <c r="Y521" s="81"/>
      <c r="Z521" s="81"/>
      <c r="AA521" s="81"/>
      <c r="AB521" s="81"/>
      <c r="AC521" s="81"/>
      <c r="AD521" s="81"/>
      <c r="AE521" s="81"/>
      <c r="AF521" s="81"/>
      <c r="AG521" s="81"/>
      <c r="AH521" s="81"/>
    </row>
    <row r="522" spans="4:34" ht="14.25" customHeight="1"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81"/>
      <c r="Y522" s="81"/>
      <c r="Z522" s="81"/>
      <c r="AA522" s="81"/>
      <c r="AB522" s="81"/>
      <c r="AC522" s="81"/>
      <c r="AD522" s="81"/>
      <c r="AE522" s="81"/>
      <c r="AF522" s="81"/>
      <c r="AG522" s="81"/>
      <c r="AH522" s="81"/>
    </row>
    <row r="523" spans="4:34" ht="14.25" customHeight="1">
      <c r="D523" s="81"/>
      <c r="E523" s="81"/>
      <c r="F523" s="81"/>
      <c r="G523" s="81"/>
      <c r="H523" s="81"/>
      <c r="I523" s="81"/>
      <c r="J523" s="81"/>
      <c r="K523" s="81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1"/>
      <c r="Y523" s="81"/>
      <c r="Z523" s="81"/>
      <c r="AA523" s="81"/>
      <c r="AB523" s="81"/>
      <c r="AC523" s="81"/>
      <c r="AD523" s="81"/>
      <c r="AE523" s="81"/>
      <c r="AF523" s="81"/>
      <c r="AG523" s="81"/>
      <c r="AH523" s="81"/>
    </row>
    <row r="524" spans="4:34" ht="14.25" customHeight="1">
      <c r="D524" s="81"/>
      <c r="E524" s="81"/>
      <c r="F524" s="81"/>
      <c r="G524" s="81"/>
      <c r="H524" s="81"/>
      <c r="I524" s="81"/>
      <c r="J524" s="81"/>
      <c r="K524" s="81"/>
      <c r="L524" s="81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81"/>
      <c r="Y524" s="81"/>
      <c r="Z524" s="81"/>
      <c r="AA524" s="81"/>
      <c r="AB524" s="81"/>
      <c r="AC524" s="81"/>
      <c r="AD524" s="81"/>
      <c r="AE524" s="81"/>
      <c r="AF524" s="81"/>
      <c r="AG524" s="81"/>
      <c r="AH524" s="81"/>
    </row>
    <row r="525" spans="4:34" ht="14.25" customHeight="1">
      <c r="D525" s="81"/>
      <c r="E525" s="81"/>
      <c r="F525" s="81"/>
      <c r="G525" s="81"/>
      <c r="H525" s="81"/>
      <c r="I525" s="81"/>
      <c r="J525" s="81"/>
      <c r="K525" s="81"/>
      <c r="L525" s="81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1"/>
      <c r="Y525" s="81"/>
      <c r="Z525" s="81"/>
      <c r="AA525" s="81"/>
      <c r="AB525" s="81"/>
      <c r="AC525" s="81"/>
      <c r="AD525" s="81"/>
      <c r="AE525" s="81"/>
      <c r="AF525" s="81"/>
      <c r="AG525" s="81"/>
      <c r="AH525" s="81"/>
    </row>
    <row r="526" spans="4:34" ht="14.25" customHeight="1"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81"/>
      <c r="Y526" s="81"/>
      <c r="Z526" s="81"/>
      <c r="AA526" s="81"/>
      <c r="AB526" s="81"/>
      <c r="AC526" s="81"/>
      <c r="AD526" s="81"/>
      <c r="AE526" s="81"/>
      <c r="AF526" s="81"/>
      <c r="AG526" s="81"/>
      <c r="AH526" s="81"/>
    </row>
    <row r="527" spans="4:34" ht="14.25" customHeight="1">
      <c r="D527" s="81"/>
      <c r="E527" s="81"/>
      <c r="F527" s="81"/>
      <c r="G527" s="81"/>
      <c r="H527" s="81"/>
      <c r="I527" s="81"/>
      <c r="J527" s="81"/>
      <c r="K527" s="81"/>
      <c r="L527" s="81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1"/>
      <c r="Y527" s="81"/>
      <c r="Z527" s="81"/>
      <c r="AA527" s="81"/>
      <c r="AB527" s="81"/>
      <c r="AC527" s="81"/>
      <c r="AD527" s="81"/>
      <c r="AE527" s="81"/>
      <c r="AF527" s="81"/>
      <c r="AG527" s="81"/>
      <c r="AH527" s="81"/>
    </row>
    <row r="528" spans="4:34" ht="14.25" customHeight="1">
      <c r="D528" s="81"/>
      <c r="E528" s="81"/>
      <c r="F528" s="81"/>
      <c r="G528" s="81"/>
      <c r="H528" s="81"/>
      <c r="I528" s="81"/>
      <c r="J528" s="81"/>
      <c r="K528" s="81"/>
      <c r="L528" s="81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81"/>
      <c r="Y528" s="81"/>
      <c r="Z528" s="81"/>
      <c r="AA528" s="81"/>
      <c r="AB528" s="81"/>
      <c r="AC528" s="81"/>
      <c r="AD528" s="81"/>
      <c r="AE528" s="81"/>
      <c r="AF528" s="81"/>
      <c r="AG528" s="81"/>
      <c r="AH528" s="81"/>
    </row>
    <row r="529" spans="4:34" ht="14.25" customHeight="1">
      <c r="D529" s="81"/>
      <c r="E529" s="81"/>
      <c r="F529" s="81"/>
      <c r="G529" s="81"/>
      <c r="H529" s="81"/>
      <c r="I529" s="81"/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1"/>
      <c r="Y529" s="81"/>
      <c r="Z529" s="81"/>
      <c r="AA529" s="81"/>
      <c r="AB529" s="81"/>
      <c r="AC529" s="81"/>
      <c r="AD529" s="81"/>
      <c r="AE529" s="81"/>
      <c r="AF529" s="81"/>
      <c r="AG529" s="81"/>
      <c r="AH529" s="81"/>
    </row>
    <row r="530" spans="4:34" ht="14.25" customHeight="1"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1"/>
      <c r="Y530" s="81"/>
      <c r="Z530" s="81"/>
      <c r="AA530" s="81"/>
      <c r="AB530" s="81"/>
      <c r="AC530" s="81"/>
      <c r="AD530" s="81"/>
      <c r="AE530" s="81"/>
      <c r="AF530" s="81"/>
      <c r="AG530" s="81"/>
      <c r="AH530" s="81"/>
    </row>
    <row r="531" spans="4:34" ht="14.25" customHeight="1">
      <c r="D531" s="81"/>
      <c r="E531" s="81"/>
      <c r="F531" s="81"/>
      <c r="G531" s="81"/>
      <c r="H531" s="81"/>
      <c r="I531" s="81"/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1"/>
      <c r="Y531" s="81"/>
      <c r="Z531" s="81"/>
      <c r="AA531" s="81"/>
      <c r="AB531" s="81"/>
      <c r="AC531" s="81"/>
      <c r="AD531" s="81"/>
      <c r="AE531" s="81"/>
      <c r="AF531" s="81"/>
      <c r="AG531" s="81"/>
      <c r="AH531" s="81"/>
    </row>
    <row r="532" spans="4:34" ht="14.25" customHeight="1">
      <c r="D532" s="81"/>
      <c r="E532" s="81"/>
      <c r="F532" s="81"/>
      <c r="G532" s="81"/>
      <c r="H532" s="81"/>
      <c r="I532" s="81"/>
      <c r="J532" s="81"/>
      <c r="K532" s="81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1"/>
      <c r="Y532" s="81"/>
      <c r="Z532" s="81"/>
      <c r="AA532" s="81"/>
      <c r="AB532" s="81"/>
      <c r="AC532" s="81"/>
      <c r="AD532" s="81"/>
      <c r="AE532" s="81"/>
      <c r="AF532" s="81"/>
      <c r="AG532" s="81"/>
      <c r="AH532" s="81"/>
    </row>
    <row r="533" spans="4:34" ht="14.25" customHeight="1">
      <c r="D533" s="81"/>
      <c r="E533" s="81"/>
      <c r="F533" s="81"/>
      <c r="G533" s="81"/>
      <c r="H533" s="81"/>
      <c r="I533" s="81"/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1"/>
      <c r="Y533" s="81"/>
      <c r="Z533" s="81"/>
      <c r="AA533" s="81"/>
      <c r="AB533" s="81"/>
      <c r="AC533" s="81"/>
      <c r="AD533" s="81"/>
      <c r="AE533" s="81"/>
      <c r="AF533" s="81"/>
      <c r="AG533" s="81"/>
      <c r="AH533" s="81"/>
    </row>
    <row r="534" spans="4:34" ht="14.25" customHeight="1"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1"/>
      <c r="Y534" s="81"/>
      <c r="Z534" s="81"/>
      <c r="AA534" s="81"/>
      <c r="AB534" s="81"/>
      <c r="AC534" s="81"/>
      <c r="AD534" s="81"/>
      <c r="AE534" s="81"/>
      <c r="AF534" s="81"/>
      <c r="AG534" s="81"/>
      <c r="AH534" s="81"/>
    </row>
    <row r="535" spans="4:34" ht="14.25" customHeight="1">
      <c r="D535" s="81"/>
      <c r="E535" s="81"/>
      <c r="F535" s="81"/>
      <c r="G535" s="81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1"/>
      <c r="Y535" s="81"/>
      <c r="Z535" s="81"/>
      <c r="AA535" s="81"/>
      <c r="AB535" s="81"/>
      <c r="AC535" s="81"/>
      <c r="AD535" s="81"/>
      <c r="AE535" s="81"/>
      <c r="AF535" s="81"/>
      <c r="AG535" s="81"/>
      <c r="AH535" s="81"/>
    </row>
    <row r="536" spans="4:34" ht="14.25" customHeight="1">
      <c r="D536" s="81"/>
      <c r="E536" s="81"/>
      <c r="F536" s="81"/>
      <c r="G536" s="81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1"/>
      <c r="Y536" s="81"/>
      <c r="Z536" s="81"/>
      <c r="AA536" s="81"/>
      <c r="AB536" s="81"/>
      <c r="AC536" s="81"/>
      <c r="AD536" s="81"/>
      <c r="AE536" s="81"/>
      <c r="AF536" s="81"/>
      <c r="AG536" s="81"/>
      <c r="AH536" s="81"/>
    </row>
    <row r="537" spans="4:34" ht="14.25" customHeight="1">
      <c r="D537" s="81"/>
      <c r="E537" s="81"/>
      <c r="F537" s="81"/>
      <c r="G537" s="81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1"/>
      <c r="Y537" s="81"/>
      <c r="Z537" s="81"/>
      <c r="AA537" s="81"/>
      <c r="AB537" s="81"/>
      <c r="AC537" s="81"/>
      <c r="AD537" s="81"/>
      <c r="AE537" s="81"/>
      <c r="AF537" s="81"/>
      <c r="AG537" s="81"/>
      <c r="AH537" s="81"/>
    </row>
    <row r="538" spans="4:34" ht="14.25" customHeight="1"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1"/>
      <c r="Y538" s="81"/>
      <c r="Z538" s="81"/>
      <c r="AA538" s="81"/>
      <c r="AB538" s="81"/>
      <c r="AC538" s="81"/>
      <c r="AD538" s="81"/>
      <c r="AE538" s="81"/>
      <c r="AF538" s="81"/>
      <c r="AG538" s="81"/>
      <c r="AH538" s="81"/>
    </row>
    <row r="539" spans="4:34" ht="14.25" customHeight="1">
      <c r="D539" s="81"/>
      <c r="E539" s="81"/>
      <c r="F539" s="81"/>
      <c r="G539" s="81"/>
      <c r="H539" s="81"/>
      <c r="I539" s="81"/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1"/>
      <c r="Y539" s="81"/>
      <c r="Z539" s="81"/>
      <c r="AA539" s="81"/>
      <c r="AB539" s="81"/>
      <c r="AC539" s="81"/>
      <c r="AD539" s="81"/>
      <c r="AE539" s="81"/>
      <c r="AF539" s="81"/>
      <c r="AG539" s="81"/>
      <c r="AH539" s="81"/>
    </row>
    <row r="540" spans="4:34" ht="14.25" customHeight="1">
      <c r="D540" s="81"/>
      <c r="E540" s="81"/>
      <c r="F540" s="81"/>
      <c r="G540" s="81"/>
      <c r="H540" s="81"/>
      <c r="I540" s="81"/>
      <c r="J540" s="81"/>
      <c r="K540" s="81"/>
      <c r="L540" s="81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81"/>
      <c r="Y540" s="81"/>
      <c r="Z540" s="81"/>
      <c r="AA540" s="81"/>
      <c r="AB540" s="81"/>
      <c r="AC540" s="81"/>
      <c r="AD540" s="81"/>
      <c r="AE540" s="81"/>
      <c r="AF540" s="81"/>
      <c r="AG540" s="81"/>
      <c r="AH540" s="81"/>
    </row>
    <row r="541" spans="4:34" ht="14.25" customHeight="1">
      <c r="D541" s="81"/>
      <c r="E541" s="81"/>
      <c r="F541" s="81"/>
      <c r="G541" s="81"/>
      <c r="H541" s="81"/>
      <c r="I541" s="81"/>
      <c r="J541" s="81"/>
      <c r="K541" s="81"/>
      <c r="L541" s="81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1"/>
      <c r="Y541" s="81"/>
      <c r="Z541" s="81"/>
      <c r="AA541" s="81"/>
      <c r="AB541" s="81"/>
      <c r="AC541" s="81"/>
      <c r="AD541" s="81"/>
      <c r="AE541" s="81"/>
      <c r="AF541" s="81"/>
      <c r="AG541" s="81"/>
      <c r="AH541" s="81"/>
    </row>
    <row r="542" spans="4:34" ht="14.25" customHeight="1"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81"/>
      <c r="Y542" s="81"/>
      <c r="Z542" s="81"/>
      <c r="AA542" s="81"/>
      <c r="AB542" s="81"/>
      <c r="AC542" s="81"/>
      <c r="AD542" s="81"/>
      <c r="AE542" s="81"/>
      <c r="AF542" s="81"/>
      <c r="AG542" s="81"/>
      <c r="AH542" s="81"/>
    </row>
    <row r="543" spans="4:34" ht="14.25" customHeight="1">
      <c r="D543" s="81"/>
      <c r="E543" s="81"/>
      <c r="F543" s="81"/>
      <c r="G543" s="81"/>
      <c r="H543" s="81"/>
      <c r="I543" s="81"/>
      <c r="J543" s="81"/>
      <c r="K543" s="81"/>
      <c r="L543" s="81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1"/>
      <c r="Y543" s="81"/>
      <c r="Z543" s="81"/>
      <c r="AA543" s="81"/>
      <c r="AB543" s="81"/>
      <c r="AC543" s="81"/>
      <c r="AD543" s="81"/>
      <c r="AE543" s="81"/>
      <c r="AF543" s="81"/>
      <c r="AG543" s="81"/>
      <c r="AH543" s="81"/>
    </row>
    <row r="544" spans="4:34" ht="14.25" customHeight="1">
      <c r="D544" s="81"/>
      <c r="E544" s="81"/>
      <c r="F544" s="81"/>
      <c r="G544" s="81"/>
      <c r="H544" s="81"/>
      <c r="I544" s="81"/>
      <c r="J544" s="81"/>
      <c r="K544" s="81"/>
      <c r="L544" s="81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81"/>
      <c r="Y544" s="81"/>
      <c r="Z544" s="81"/>
      <c r="AA544" s="81"/>
      <c r="AB544" s="81"/>
      <c r="AC544" s="81"/>
      <c r="AD544" s="81"/>
      <c r="AE544" s="81"/>
      <c r="AF544" s="81"/>
      <c r="AG544" s="81"/>
      <c r="AH544" s="81"/>
    </row>
    <row r="545" spans="4:34" ht="14.25" customHeight="1">
      <c r="D545" s="81"/>
      <c r="E545" s="81"/>
      <c r="F545" s="81"/>
      <c r="G545" s="81"/>
      <c r="H545" s="81"/>
      <c r="I545" s="81"/>
      <c r="J545" s="81"/>
      <c r="K545" s="81"/>
      <c r="L545" s="81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1"/>
      <c r="Y545" s="81"/>
      <c r="Z545" s="81"/>
      <c r="AA545" s="81"/>
      <c r="AB545" s="81"/>
      <c r="AC545" s="81"/>
      <c r="AD545" s="81"/>
      <c r="AE545" s="81"/>
      <c r="AF545" s="81"/>
      <c r="AG545" s="81"/>
      <c r="AH545" s="81"/>
    </row>
    <row r="546" spans="4:34" ht="14.25" customHeight="1"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81"/>
      <c r="Y546" s="81"/>
      <c r="Z546" s="81"/>
      <c r="AA546" s="81"/>
      <c r="AB546" s="81"/>
      <c r="AC546" s="81"/>
      <c r="AD546" s="81"/>
      <c r="AE546" s="81"/>
      <c r="AF546" s="81"/>
      <c r="AG546" s="81"/>
      <c r="AH546" s="81"/>
    </row>
    <row r="547" spans="4:34" ht="14.25" customHeight="1">
      <c r="D547" s="81"/>
      <c r="E547" s="81"/>
      <c r="F547" s="81"/>
      <c r="G547" s="81"/>
      <c r="H547" s="81"/>
      <c r="I547" s="81"/>
      <c r="J547" s="81"/>
      <c r="K547" s="81"/>
      <c r="L547" s="81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1"/>
      <c r="Y547" s="81"/>
      <c r="Z547" s="81"/>
      <c r="AA547" s="81"/>
      <c r="AB547" s="81"/>
      <c r="AC547" s="81"/>
      <c r="AD547" s="81"/>
      <c r="AE547" s="81"/>
      <c r="AF547" s="81"/>
      <c r="AG547" s="81"/>
      <c r="AH547" s="81"/>
    </row>
    <row r="548" spans="4:34" ht="14.25" customHeight="1">
      <c r="D548" s="81"/>
      <c r="E548" s="81"/>
      <c r="F548" s="81"/>
      <c r="G548" s="81"/>
      <c r="H548" s="81"/>
      <c r="I548" s="81"/>
      <c r="J548" s="81"/>
      <c r="K548" s="81"/>
      <c r="L548" s="81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81"/>
      <c r="Y548" s="81"/>
      <c r="Z548" s="81"/>
      <c r="AA548" s="81"/>
      <c r="AB548" s="81"/>
      <c r="AC548" s="81"/>
      <c r="AD548" s="81"/>
      <c r="AE548" s="81"/>
      <c r="AF548" s="81"/>
      <c r="AG548" s="81"/>
      <c r="AH548" s="81"/>
    </row>
    <row r="549" spans="4:34" ht="14.25" customHeight="1">
      <c r="D549" s="81"/>
      <c r="E549" s="81"/>
      <c r="F549" s="81"/>
      <c r="G549" s="81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1"/>
      <c r="Y549" s="81"/>
      <c r="Z549" s="81"/>
      <c r="AA549" s="81"/>
      <c r="AB549" s="81"/>
      <c r="AC549" s="81"/>
      <c r="AD549" s="81"/>
      <c r="AE549" s="81"/>
      <c r="AF549" s="81"/>
      <c r="AG549" s="81"/>
      <c r="AH549" s="81"/>
    </row>
    <row r="550" spans="4:34" ht="14.25" customHeight="1"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1"/>
      <c r="Y550" s="81"/>
      <c r="Z550" s="81"/>
      <c r="AA550" s="81"/>
      <c r="AB550" s="81"/>
      <c r="AC550" s="81"/>
      <c r="AD550" s="81"/>
      <c r="AE550" s="81"/>
      <c r="AF550" s="81"/>
      <c r="AG550" s="81"/>
      <c r="AH550" s="81"/>
    </row>
    <row r="551" spans="4:34" ht="14.25" customHeight="1">
      <c r="D551" s="81"/>
      <c r="E551" s="81"/>
      <c r="F551" s="81"/>
      <c r="G551" s="81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1"/>
      <c r="Y551" s="81"/>
      <c r="Z551" s="81"/>
      <c r="AA551" s="81"/>
      <c r="AB551" s="81"/>
      <c r="AC551" s="81"/>
      <c r="AD551" s="81"/>
      <c r="AE551" s="81"/>
      <c r="AF551" s="81"/>
      <c r="AG551" s="81"/>
      <c r="AH551" s="81"/>
    </row>
    <row r="552" spans="4:34" ht="14.25" customHeight="1">
      <c r="D552" s="81"/>
      <c r="E552" s="81"/>
      <c r="F552" s="81"/>
      <c r="G552" s="81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1"/>
      <c r="Y552" s="81"/>
      <c r="Z552" s="81"/>
      <c r="AA552" s="81"/>
      <c r="AB552" s="81"/>
      <c r="AC552" s="81"/>
      <c r="AD552" s="81"/>
      <c r="AE552" s="81"/>
      <c r="AF552" s="81"/>
      <c r="AG552" s="81"/>
      <c r="AH552" s="81"/>
    </row>
    <row r="553" spans="4:34" ht="14.25" customHeight="1">
      <c r="D553" s="81"/>
      <c r="E553" s="81"/>
      <c r="F553" s="81"/>
      <c r="G553" s="81"/>
      <c r="H553" s="81"/>
      <c r="I553" s="81"/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1"/>
      <c r="Y553" s="81"/>
      <c r="Z553" s="81"/>
      <c r="AA553" s="81"/>
      <c r="AB553" s="81"/>
      <c r="AC553" s="81"/>
      <c r="AD553" s="81"/>
      <c r="AE553" s="81"/>
      <c r="AF553" s="81"/>
      <c r="AG553" s="81"/>
      <c r="AH553" s="81"/>
    </row>
    <row r="554" spans="4:34" ht="14.25" customHeight="1"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1"/>
      <c r="Y554" s="81"/>
      <c r="Z554" s="81"/>
      <c r="AA554" s="81"/>
      <c r="AB554" s="81"/>
      <c r="AC554" s="81"/>
      <c r="AD554" s="81"/>
      <c r="AE554" s="81"/>
      <c r="AF554" s="81"/>
      <c r="AG554" s="81"/>
      <c r="AH554" s="81"/>
    </row>
    <row r="555" spans="4:34" ht="14.25" customHeight="1">
      <c r="D555" s="81"/>
      <c r="E555" s="81"/>
      <c r="F555" s="81"/>
      <c r="G555" s="81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1"/>
      <c r="Y555" s="81"/>
      <c r="Z555" s="81"/>
      <c r="AA555" s="81"/>
      <c r="AB555" s="81"/>
      <c r="AC555" s="81"/>
      <c r="AD555" s="81"/>
      <c r="AE555" s="81"/>
      <c r="AF555" s="81"/>
      <c r="AG555" s="81"/>
      <c r="AH555" s="81"/>
    </row>
    <row r="556" spans="4:34" ht="14.25" customHeight="1">
      <c r="D556" s="81"/>
      <c r="E556" s="81"/>
      <c r="F556" s="81"/>
      <c r="G556" s="81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1"/>
      <c r="Y556" s="81"/>
      <c r="Z556" s="81"/>
      <c r="AA556" s="81"/>
      <c r="AB556" s="81"/>
      <c r="AC556" s="81"/>
      <c r="AD556" s="81"/>
      <c r="AE556" s="81"/>
      <c r="AF556" s="81"/>
      <c r="AG556" s="81"/>
      <c r="AH556" s="81"/>
    </row>
    <row r="557" spans="4:34" ht="14.25" customHeight="1">
      <c r="D557" s="81"/>
      <c r="E557" s="81"/>
      <c r="F557" s="81"/>
      <c r="G557" s="81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1"/>
      <c r="Y557" s="81"/>
      <c r="Z557" s="81"/>
      <c r="AA557" s="81"/>
      <c r="AB557" s="81"/>
      <c r="AC557" s="81"/>
      <c r="AD557" s="81"/>
      <c r="AE557" s="81"/>
      <c r="AF557" s="81"/>
      <c r="AG557" s="81"/>
      <c r="AH557" s="81"/>
    </row>
    <row r="558" spans="4:34" ht="14.25" customHeight="1"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1"/>
      <c r="Y558" s="81"/>
      <c r="Z558" s="81"/>
      <c r="AA558" s="81"/>
      <c r="AB558" s="81"/>
      <c r="AC558" s="81"/>
      <c r="AD558" s="81"/>
      <c r="AE558" s="81"/>
      <c r="AF558" s="81"/>
      <c r="AG558" s="81"/>
      <c r="AH558" s="81"/>
    </row>
    <row r="559" spans="4:34" ht="14.25" customHeight="1">
      <c r="D559" s="81"/>
      <c r="E559" s="81"/>
      <c r="F559" s="81"/>
      <c r="G559" s="81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1"/>
      <c r="Y559" s="81"/>
      <c r="Z559" s="81"/>
      <c r="AA559" s="81"/>
      <c r="AB559" s="81"/>
      <c r="AC559" s="81"/>
      <c r="AD559" s="81"/>
      <c r="AE559" s="81"/>
      <c r="AF559" s="81"/>
      <c r="AG559" s="81"/>
      <c r="AH559" s="81"/>
    </row>
    <row r="560" spans="4:34" ht="14.25" customHeight="1">
      <c r="D560" s="81"/>
      <c r="E560" s="81"/>
      <c r="F560" s="81"/>
      <c r="G560" s="81"/>
      <c r="H560" s="81"/>
      <c r="I560" s="81"/>
      <c r="J560" s="81"/>
      <c r="K560" s="81"/>
      <c r="L560" s="81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81"/>
      <c r="Y560" s="81"/>
      <c r="Z560" s="81"/>
      <c r="AA560" s="81"/>
      <c r="AB560" s="81"/>
      <c r="AC560" s="81"/>
      <c r="AD560" s="81"/>
      <c r="AE560" s="81"/>
      <c r="AF560" s="81"/>
      <c r="AG560" s="81"/>
      <c r="AH560" s="81"/>
    </row>
    <row r="561" spans="4:34" ht="14.25" customHeight="1">
      <c r="D561" s="81"/>
      <c r="E561" s="81"/>
      <c r="F561" s="81"/>
      <c r="G561" s="81"/>
      <c r="H561" s="81"/>
      <c r="I561" s="81"/>
      <c r="J561" s="81"/>
      <c r="K561" s="81"/>
      <c r="L561" s="81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1"/>
      <c r="Y561" s="81"/>
      <c r="Z561" s="81"/>
      <c r="AA561" s="81"/>
      <c r="AB561" s="81"/>
      <c r="AC561" s="81"/>
      <c r="AD561" s="81"/>
      <c r="AE561" s="81"/>
      <c r="AF561" s="81"/>
      <c r="AG561" s="81"/>
      <c r="AH561" s="81"/>
    </row>
    <row r="562" spans="4:34" ht="14.25" customHeight="1"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81"/>
      <c r="Y562" s="81"/>
      <c r="Z562" s="81"/>
      <c r="AA562" s="81"/>
      <c r="AB562" s="81"/>
      <c r="AC562" s="81"/>
      <c r="AD562" s="81"/>
      <c r="AE562" s="81"/>
      <c r="AF562" s="81"/>
      <c r="AG562" s="81"/>
      <c r="AH562" s="81"/>
    </row>
    <row r="563" spans="4:34" ht="14.25" customHeight="1">
      <c r="D563" s="81"/>
      <c r="E563" s="81"/>
      <c r="F563" s="81"/>
      <c r="G563" s="81"/>
      <c r="H563" s="81"/>
      <c r="I563" s="81"/>
      <c r="J563" s="81"/>
      <c r="K563" s="81"/>
      <c r="L563" s="81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1"/>
      <c r="Y563" s="81"/>
      <c r="Z563" s="81"/>
      <c r="AA563" s="81"/>
      <c r="AB563" s="81"/>
      <c r="AC563" s="81"/>
      <c r="AD563" s="81"/>
      <c r="AE563" s="81"/>
      <c r="AF563" s="81"/>
      <c r="AG563" s="81"/>
      <c r="AH563" s="81"/>
    </row>
    <row r="564" spans="4:34" ht="14.25" customHeight="1">
      <c r="D564" s="81"/>
      <c r="E564" s="81"/>
      <c r="F564" s="81"/>
      <c r="G564" s="81"/>
      <c r="H564" s="81"/>
      <c r="I564" s="81"/>
      <c r="J564" s="81"/>
      <c r="K564" s="81"/>
      <c r="L564" s="81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81"/>
      <c r="Y564" s="81"/>
      <c r="Z564" s="81"/>
      <c r="AA564" s="81"/>
      <c r="AB564" s="81"/>
      <c r="AC564" s="81"/>
      <c r="AD564" s="81"/>
      <c r="AE564" s="81"/>
      <c r="AF564" s="81"/>
      <c r="AG564" s="81"/>
      <c r="AH564" s="81"/>
    </row>
    <row r="565" spans="4:34" ht="14.25" customHeight="1">
      <c r="D565" s="81"/>
      <c r="E565" s="81"/>
      <c r="F565" s="81"/>
      <c r="G565" s="81"/>
      <c r="H565" s="81"/>
      <c r="I565" s="81"/>
      <c r="J565" s="81"/>
      <c r="K565" s="81"/>
      <c r="L565" s="81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1"/>
      <c r="Y565" s="81"/>
      <c r="Z565" s="81"/>
      <c r="AA565" s="81"/>
      <c r="AB565" s="81"/>
      <c r="AC565" s="81"/>
      <c r="AD565" s="81"/>
      <c r="AE565" s="81"/>
      <c r="AF565" s="81"/>
      <c r="AG565" s="81"/>
      <c r="AH565" s="81"/>
    </row>
    <row r="566" spans="4:34" ht="14.25" customHeight="1"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81"/>
      <c r="Y566" s="81"/>
      <c r="Z566" s="81"/>
      <c r="AA566" s="81"/>
      <c r="AB566" s="81"/>
      <c r="AC566" s="81"/>
      <c r="AD566" s="81"/>
      <c r="AE566" s="81"/>
      <c r="AF566" s="81"/>
      <c r="AG566" s="81"/>
      <c r="AH566" s="81"/>
    </row>
    <row r="567" spans="4:34" ht="14.25" customHeight="1">
      <c r="D567" s="81"/>
      <c r="E567" s="81"/>
      <c r="F567" s="81"/>
      <c r="G567" s="81"/>
      <c r="H567" s="81"/>
      <c r="I567" s="81"/>
      <c r="J567" s="81"/>
      <c r="K567" s="81"/>
      <c r="L567" s="81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1"/>
      <c r="Y567" s="81"/>
      <c r="Z567" s="81"/>
      <c r="AA567" s="81"/>
      <c r="AB567" s="81"/>
      <c r="AC567" s="81"/>
      <c r="AD567" s="81"/>
      <c r="AE567" s="81"/>
      <c r="AF567" s="81"/>
      <c r="AG567" s="81"/>
      <c r="AH567" s="81"/>
    </row>
    <row r="568" spans="4:34" ht="14.25" customHeight="1">
      <c r="D568" s="81"/>
      <c r="E568" s="81"/>
      <c r="F568" s="81"/>
      <c r="G568" s="81"/>
      <c r="H568" s="81"/>
      <c r="I568" s="81"/>
      <c r="J568" s="81"/>
      <c r="K568" s="81"/>
      <c r="L568" s="81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81"/>
      <c r="Y568" s="81"/>
      <c r="Z568" s="81"/>
      <c r="AA568" s="81"/>
      <c r="AB568" s="81"/>
      <c r="AC568" s="81"/>
      <c r="AD568" s="81"/>
      <c r="AE568" s="81"/>
      <c r="AF568" s="81"/>
      <c r="AG568" s="81"/>
      <c r="AH568" s="81"/>
    </row>
    <row r="569" spans="4:34" ht="14.25" customHeight="1">
      <c r="D569" s="81"/>
      <c r="E569" s="81"/>
      <c r="F569" s="81"/>
      <c r="G569" s="81"/>
      <c r="H569" s="81"/>
      <c r="I569" s="81"/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1"/>
      <c r="Y569" s="81"/>
      <c r="Z569" s="81"/>
      <c r="AA569" s="81"/>
      <c r="AB569" s="81"/>
      <c r="AC569" s="81"/>
      <c r="AD569" s="81"/>
      <c r="AE569" s="81"/>
      <c r="AF569" s="81"/>
      <c r="AG569" s="81"/>
      <c r="AH569" s="81"/>
    </row>
    <row r="570" spans="4:34" ht="14.25" customHeight="1"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81"/>
      <c r="Y570" s="81"/>
      <c r="Z570" s="81"/>
      <c r="AA570" s="81"/>
      <c r="AB570" s="81"/>
      <c r="AC570" s="81"/>
      <c r="AD570" s="81"/>
      <c r="AE570" s="81"/>
      <c r="AF570" s="81"/>
      <c r="AG570" s="81"/>
      <c r="AH570" s="81"/>
    </row>
    <row r="571" spans="4:34" ht="14.25" customHeight="1">
      <c r="D571" s="81"/>
      <c r="E571" s="81"/>
      <c r="F571" s="81"/>
      <c r="G571" s="81"/>
      <c r="H571" s="81"/>
      <c r="I571" s="81"/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1"/>
      <c r="Y571" s="81"/>
      <c r="Z571" s="81"/>
      <c r="AA571" s="81"/>
      <c r="AB571" s="81"/>
      <c r="AC571" s="81"/>
      <c r="AD571" s="81"/>
      <c r="AE571" s="81"/>
      <c r="AF571" s="81"/>
      <c r="AG571" s="81"/>
      <c r="AH571" s="81"/>
    </row>
    <row r="572" spans="4:34" ht="14.25" customHeight="1">
      <c r="D572" s="81"/>
      <c r="E572" s="81"/>
      <c r="F572" s="81"/>
      <c r="G572" s="81"/>
      <c r="H572" s="81"/>
      <c r="I572" s="81"/>
      <c r="J572" s="81"/>
      <c r="K572" s="81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81"/>
      <c r="Y572" s="81"/>
      <c r="Z572" s="81"/>
      <c r="AA572" s="81"/>
      <c r="AB572" s="81"/>
      <c r="AC572" s="81"/>
      <c r="AD572" s="81"/>
      <c r="AE572" s="81"/>
      <c r="AF572" s="81"/>
      <c r="AG572" s="81"/>
      <c r="AH572" s="81"/>
    </row>
    <row r="573" spans="4:34" ht="14.25" customHeight="1">
      <c r="D573" s="81"/>
      <c r="E573" s="81"/>
      <c r="F573" s="81"/>
      <c r="G573" s="81"/>
      <c r="H573" s="81"/>
      <c r="I573" s="81"/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1"/>
      <c r="Y573" s="81"/>
      <c r="Z573" s="81"/>
      <c r="AA573" s="81"/>
      <c r="AB573" s="81"/>
      <c r="AC573" s="81"/>
      <c r="AD573" s="81"/>
      <c r="AE573" s="81"/>
      <c r="AF573" s="81"/>
      <c r="AG573" s="81"/>
      <c r="AH573" s="81"/>
    </row>
    <row r="574" spans="4:34" ht="14.25" customHeight="1"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81"/>
      <c r="Y574" s="81"/>
      <c r="Z574" s="81"/>
      <c r="AA574" s="81"/>
      <c r="AB574" s="81"/>
      <c r="AC574" s="81"/>
      <c r="AD574" s="81"/>
      <c r="AE574" s="81"/>
      <c r="AF574" s="81"/>
      <c r="AG574" s="81"/>
      <c r="AH574" s="81"/>
    </row>
    <row r="575" spans="4:34" ht="14.25" customHeight="1">
      <c r="D575" s="81"/>
      <c r="E575" s="81"/>
      <c r="F575" s="81"/>
      <c r="G575" s="81"/>
      <c r="H575" s="81"/>
      <c r="I575" s="81"/>
      <c r="J575" s="81"/>
      <c r="K575" s="81"/>
      <c r="L575" s="81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1"/>
      <c r="Y575" s="81"/>
      <c r="Z575" s="81"/>
      <c r="AA575" s="81"/>
      <c r="AB575" s="81"/>
      <c r="AC575" s="81"/>
      <c r="AD575" s="81"/>
      <c r="AE575" s="81"/>
      <c r="AF575" s="81"/>
      <c r="AG575" s="81"/>
      <c r="AH575" s="81"/>
    </row>
    <row r="576" spans="4:34" ht="14.25" customHeight="1">
      <c r="D576" s="81"/>
      <c r="E576" s="81"/>
      <c r="F576" s="81"/>
      <c r="G576" s="81"/>
      <c r="H576" s="81"/>
      <c r="I576" s="81"/>
      <c r="J576" s="81"/>
      <c r="K576" s="81"/>
      <c r="L576" s="81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81"/>
      <c r="Y576" s="81"/>
      <c r="Z576" s="81"/>
      <c r="AA576" s="81"/>
      <c r="AB576" s="81"/>
      <c r="AC576" s="81"/>
      <c r="AD576" s="81"/>
      <c r="AE576" s="81"/>
      <c r="AF576" s="81"/>
      <c r="AG576" s="81"/>
      <c r="AH576" s="81"/>
    </row>
    <row r="577" spans="4:34" ht="14.25" customHeight="1">
      <c r="D577" s="81"/>
      <c r="E577" s="81"/>
      <c r="F577" s="81"/>
      <c r="G577" s="81"/>
      <c r="H577" s="81"/>
      <c r="I577" s="81"/>
      <c r="J577" s="81"/>
      <c r="K577" s="81"/>
      <c r="L577" s="81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1"/>
      <c r="Y577" s="81"/>
      <c r="Z577" s="81"/>
      <c r="AA577" s="81"/>
      <c r="AB577" s="81"/>
      <c r="AC577" s="81"/>
      <c r="AD577" s="81"/>
      <c r="AE577" s="81"/>
      <c r="AF577" s="81"/>
      <c r="AG577" s="81"/>
      <c r="AH577" s="81"/>
    </row>
    <row r="578" spans="4:34" ht="14.25" customHeight="1"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81"/>
      <c r="Y578" s="81"/>
      <c r="Z578" s="81"/>
      <c r="AA578" s="81"/>
      <c r="AB578" s="81"/>
      <c r="AC578" s="81"/>
      <c r="AD578" s="81"/>
      <c r="AE578" s="81"/>
      <c r="AF578" s="81"/>
      <c r="AG578" s="81"/>
      <c r="AH578" s="81"/>
    </row>
    <row r="579" spans="4:34" ht="14.25" customHeight="1">
      <c r="D579" s="81"/>
      <c r="E579" s="81"/>
      <c r="F579" s="81"/>
      <c r="G579" s="81"/>
      <c r="H579" s="81"/>
      <c r="I579" s="81"/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1"/>
      <c r="Y579" s="81"/>
      <c r="Z579" s="81"/>
      <c r="AA579" s="81"/>
      <c r="AB579" s="81"/>
      <c r="AC579" s="81"/>
      <c r="AD579" s="81"/>
      <c r="AE579" s="81"/>
      <c r="AF579" s="81"/>
      <c r="AG579" s="81"/>
      <c r="AH579" s="81"/>
    </row>
    <row r="580" spans="4:34" ht="14.25" customHeight="1">
      <c r="D580" s="81"/>
      <c r="E580" s="81"/>
      <c r="F580" s="81"/>
      <c r="G580" s="81"/>
      <c r="H580" s="81"/>
      <c r="I580" s="81"/>
      <c r="J580" s="81"/>
      <c r="K580" s="81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81"/>
      <c r="Y580" s="81"/>
      <c r="Z580" s="81"/>
      <c r="AA580" s="81"/>
      <c r="AB580" s="81"/>
      <c r="AC580" s="81"/>
      <c r="AD580" s="81"/>
      <c r="AE580" s="81"/>
      <c r="AF580" s="81"/>
      <c r="AG580" s="81"/>
      <c r="AH580" s="81"/>
    </row>
    <row r="581" spans="4:34" ht="14.25" customHeight="1">
      <c r="D581" s="81"/>
      <c r="E581" s="81"/>
      <c r="F581" s="81"/>
      <c r="G581" s="81"/>
      <c r="H581" s="81"/>
      <c r="I581" s="81"/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1"/>
      <c r="Y581" s="81"/>
      <c r="Z581" s="81"/>
      <c r="AA581" s="81"/>
      <c r="AB581" s="81"/>
      <c r="AC581" s="81"/>
      <c r="AD581" s="81"/>
      <c r="AE581" s="81"/>
      <c r="AF581" s="81"/>
      <c r="AG581" s="81"/>
      <c r="AH581" s="81"/>
    </row>
    <row r="582" spans="4:34" ht="14.25" customHeight="1"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81"/>
      <c r="Y582" s="81"/>
      <c r="Z582" s="81"/>
      <c r="AA582" s="81"/>
      <c r="AB582" s="81"/>
      <c r="AC582" s="81"/>
      <c r="AD582" s="81"/>
      <c r="AE582" s="81"/>
      <c r="AF582" s="81"/>
      <c r="AG582" s="81"/>
      <c r="AH582" s="81"/>
    </row>
    <row r="583" spans="4:34" ht="14.25" customHeight="1">
      <c r="D583" s="81"/>
      <c r="E583" s="81"/>
      <c r="F583" s="81"/>
      <c r="G583" s="81"/>
      <c r="H583" s="81"/>
      <c r="I583" s="81"/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1"/>
      <c r="Y583" s="81"/>
      <c r="Z583" s="81"/>
      <c r="AA583" s="81"/>
      <c r="AB583" s="81"/>
      <c r="AC583" s="81"/>
      <c r="AD583" s="81"/>
      <c r="AE583" s="81"/>
      <c r="AF583" s="81"/>
      <c r="AG583" s="81"/>
      <c r="AH583" s="81"/>
    </row>
    <row r="584" spans="4:34" ht="14.25" customHeight="1">
      <c r="D584" s="81"/>
      <c r="E584" s="81"/>
      <c r="F584" s="81"/>
      <c r="G584" s="81"/>
      <c r="H584" s="81"/>
      <c r="I584" s="81"/>
      <c r="J584" s="81"/>
      <c r="K584" s="81"/>
      <c r="L584" s="81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81"/>
      <c r="Y584" s="81"/>
      <c r="Z584" s="81"/>
      <c r="AA584" s="81"/>
      <c r="AB584" s="81"/>
      <c r="AC584" s="81"/>
      <c r="AD584" s="81"/>
      <c r="AE584" s="81"/>
      <c r="AF584" s="81"/>
      <c r="AG584" s="81"/>
      <c r="AH584" s="81"/>
    </row>
    <row r="585" spans="4:34" ht="14.25" customHeight="1">
      <c r="D585" s="81"/>
      <c r="E585" s="81"/>
      <c r="F585" s="81"/>
      <c r="G585" s="81"/>
      <c r="H585" s="81"/>
      <c r="I585" s="81"/>
      <c r="J585" s="81"/>
      <c r="K585" s="81"/>
      <c r="L585" s="81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1"/>
      <c r="Y585" s="81"/>
      <c r="Z585" s="81"/>
      <c r="AA585" s="81"/>
      <c r="AB585" s="81"/>
      <c r="AC585" s="81"/>
      <c r="AD585" s="81"/>
      <c r="AE585" s="81"/>
      <c r="AF585" s="81"/>
      <c r="AG585" s="81"/>
      <c r="AH585" s="81"/>
    </row>
    <row r="586" spans="4:34" ht="14.25" customHeight="1"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81"/>
      <c r="Y586" s="81"/>
      <c r="Z586" s="81"/>
      <c r="AA586" s="81"/>
      <c r="AB586" s="81"/>
      <c r="AC586" s="81"/>
      <c r="AD586" s="81"/>
      <c r="AE586" s="81"/>
      <c r="AF586" s="81"/>
      <c r="AG586" s="81"/>
      <c r="AH586" s="81"/>
    </row>
    <row r="587" spans="4:34" ht="14.25" customHeight="1">
      <c r="D587" s="81"/>
      <c r="E587" s="81"/>
      <c r="F587" s="81"/>
      <c r="G587" s="81"/>
      <c r="H587" s="81"/>
      <c r="I587" s="81"/>
      <c r="J587" s="81"/>
      <c r="K587" s="81"/>
      <c r="L587" s="81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1"/>
      <c r="Y587" s="81"/>
      <c r="Z587" s="81"/>
      <c r="AA587" s="81"/>
      <c r="AB587" s="81"/>
      <c r="AC587" s="81"/>
      <c r="AD587" s="81"/>
      <c r="AE587" s="81"/>
      <c r="AF587" s="81"/>
      <c r="AG587" s="81"/>
      <c r="AH587" s="81"/>
    </row>
    <row r="588" spans="4:34" ht="14.25" customHeight="1">
      <c r="D588" s="81"/>
      <c r="E588" s="81"/>
      <c r="F588" s="81"/>
      <c r="G588" s="81"/>
      <c r="H588" s="81"/>
      <c r="I588" s="81"/>
      <c r="J588" s="81"/>
      <c r="K588" s="81"/>
      <c r="L588" s="81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81"/>
      <c r="Y588" s="81"/>
      <c r="Z588" s="81"/>
      <c r="AA588" s="81"/>
      <c r="AB588" s="81"/>
      <c r="AC588" s="81"/>
      <c r="AD588" s="81"/>
      <c r="AE588" s="81"/>
      <c r="AF588" s="81"/>
      <c r="AG588" s="81"/>
      <c r="AH588" s="81"/>
    </row>
    <row r="589" spans="4:34" ht="14.25" customHeight="1">
      <c r="D589" s="81"/>
      <c r="E589" s="81"/>
      <c r="F589" s="81"/>
      <c r="G589" s="81"/>
      <c r="H589" s="81"/>
      <c r="I589" s="81"/>
      <c r="J589" s="81"/>
      <c r="K589" s="81"/>
      <c r="L589" s="81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1"/>
      <c r="Y589" s="81"/>
      <c r="Z589" s="81"/>
      <c r="AA589" s="81"/>
      <c r="AB589" s="81"/>
      <c r="AC589" s="81"/>
      <c r="AD589" s="81"/>
      <c r="AE589" s="81"/>
      <c r="AF589" s="81"/>
      <c r="AG589" s="81"/>
      <c r="AH589" s="81"/>
    </row>
    <row r="590" spans="4:34" ht="14.25" customHeight="1"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81"/>
      <c r="Y590" s="81"/>
      <c r="Z590" s="81"/>
      <c r="AA590" s="81"/>
      <c r="AB590" s="81"/>
      <c r="AC590" s="81"/>
      <c r="AD590" s="81"/>
      <c r="AE590" s="81"/>
      <c r="AF590" s="81"/>
      <c r="AG590" s="81"/>
      <c r="AH590" s="81"/>
    </row>
    <row r="591" spans="4:34" ht="14.25" customHeight="1">
      <c r="D591" s="81"/>
      <c r="E591" s="81"/>
      <c r="F591" s="81"/>
      <c r="G591" s="81"/>
      <c r="H591" s="81"/>
      <c r="I591" s="81"/>
      <c r="J591" s="81"/>
      <c r="K591" s="81"/>
      <c r="L591" s="81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1"/>
      <c r="Y591" s="81"/>
      <c r="Z591" s="81"/>
      <c r="AA591" s="81"/>
      <c r="AB591" s="81"/>
      <c r="AC591" s="81"/>
      <c r="AD591" s="81"/>
      <c r="AE591" s="81"/>
      <c r="AF591" s="81"/>
      <c r="AG591" s="81"/>
      <c r="AH591" s="81"/>
    </row>
    <row r="592" spans="4:34" ht="14.25" customHeight="1">
      <c r="D592" s="81"/>
      <c r="E592" s="81"/>
      <c r="F592" s="81"/>
      <c r="G592" s="81"/>
      <c r="H592" s="81"/>
      <c r="I592" s="81"/>
      <c r="J592" s="81"/>
      <c r="K592" s="81"/>
      <c r="L592" s="81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81"/>
      <c r="Y592" s="81"/>
      <c r="Z592" s="81"/>
      <c r="AA592" s="81"/>
      <c r="AB592" s="81"/>
      <c r="AC592" s="81"/>
      <c r="AD592" s="81"/>
      <c r="AE592" s="81"/>
      <c r="AF592" s="81"/>
      <c r="AG592" s="81"/>
      <c r="AH592" s="81"/>
    </row>
    <row r="593" spans="4:34" ht="14.25" customHeight="1">
      <c r="D593" s="81"/>
      <c r="E593" s="81"/>
      <c r="F593" s="81"/>
      <c r="G593" s="81"/>
      <c r="H593" s="81"/>
      <c r="I593" s="81"/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1"/>
      <c r="Y593" s="81"/>
      <c r="Z593" s="81"/>
      <c r="AA593" s="81"/>
      <c r="AB593" s="81"/>
      <c r="AC593" s="81"/>
      <c r="AD593" s="81"/>
      <c r="AE593" s="81"/>
      <c r="AF593" s="81"/>
      <c r="AG593" s="81"/>
      <c r="AH593" s="81"/>
    </row>
    <row r="594" spans="4:34" ht="14.25" customHeight="1"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1"/>
      <c r="Y594" s="81"/>
      <c r="Z594" s="81"/>
      <c r="AA594" s="81"/>
      <c r="AB594" s="81"/>
      <c r="AC594" s="81"/>
      <c r="AD594" s="81"/>
      <c r="AE594" s="81"/>
      <c r="AF594" s="81"/>
      <c r="AG594" s="81"/>
      <c r="AH594" s="81"/>
    </row>
    <row r="595" spans="4:34" ht="14.25" customHeight="1">
      <c r="D595" s="81"/>
      <c r="E595" s="81"/>
      <c r="F595" s="81"/>
      <c r="G595" s="81"/>
      <c r="H595" s="81"/>
      <c r="I595" s="81"/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1"/>
      <c r="Y595" s="81"/>
      <c r="Z595" s="81"/>
      <c r="AA595" s="81"/>
      <c r="AB595" s="81"/>
      <c r="AC595" s="81"/>
      <c r="AD595" s="81"/>
      <c r="AE595" s="81"/>
      <c r="AF595" s="81"/>
      <c r="AG595" s="81"/>
      <c r="AH595" s="81"/>
    </row>
    <row r="596" spans="4:34" ht="14.25" customHeight="1">
      <c r="D596" s="81"/>
      <c r="E596" s="81"/>
      <c r="F596" s="81"/>
      <c r="G596" s="81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1"/>
      <c r="Y596" s="81"/>
      <c r="Z596" s="81"/>
      <c r="AA596" s="81"/>
      <c r="AB596" s="81"/>
      <c r="AC596" s="81"/>
      <c r="AD596" s="81"/>
      <c r="AE596" s="81"/>
      <c r="AF596" s="81"/>
      <c r="AG596" s="81"/>
      <c r="AH596" s="81"/>
    </row>
    <row r="597" spans="4:34" ht="14.25" customHeight="1">
      <c r="D597" s="81"/>
      <c r="E597" s="81"/>
      <c r="F597" s="81"/>
      <c r="G597" s="81"/>
      <c r="H597" s="81"/>
      <c r="I597" s="81"/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1"/>
      <c r="Y597" s="81"/>
      <c r="Z597" s="81"/>
      <c r="AA597" s="81"/>
      <c r="AB597" s="81"/>
      <c r="AC597" s="81"/>
      <c r="AD597" s="81"/>
      <c r="AE597" s="81"/>
      <c r="AF597" s="81"/>
      <c r="AG597" s="81"/>
      <c r="AH597" s="81"/>
    </row>
    <row r="598" spans="4:34" ht="14.25" customHeight="1"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81"/>
      <c r="Y598" s="81"/>
      <c r="Z598" s="81"/>
      <c r="AA598" s="81"/>
      <c r="AB598" s="81"/>
      <c r="AC598" s="81"/>
      <c r="AD598" s="81"/>
      <c r="AE598" s="81"/>
      <c r="AF598" s="81"/>
      <c r="AG598" s="81"/>
      <c r="AH598" s="81"/>
    </row>
    <row r="599" spans="4:34" ht="14.25" customHeight="1">
      <c r="D599" s="81"/>
      <c r="E599" s="81"/>
      <c r="F599" s="81"/>
      <c r="G599" s="81"/>
      <c r="H599" s="81"/>
      <c r="I599" s="81"/>
      <c r="J599" s="81"/>
      <c r="K599" s="81"/>
      <c r="L599" s="81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1"/>
      <c r="Y599" s="81"/>
      <c r="Z599" s="81"/>
      <c r="AA599" s="81"/>
      <c r="AB599" s="81"/>
      <c r="AC599" s="81"/>
      <c r="AD599" s="81"/>
      <c r="AE599" s="81"/>
      <c r="AF599" s="81"/>
      <c r="AG599" s="81"/>
      <c r="AH599" s="81"/>
    </row>
    <row r="600" spans="4:34" ht="14.25" customHeight="1">
      <c r="D600" s="81"/>
      <c r="E600" s="81"/>
      <c r="F600" s="81"/>
      <c r="G600" s="81"/>
      <c r="H600" s="81"/>
      <c r="I600" s="81"/>
      <c r="J600" s="81"/>
      <c r="K600" s="81"/>
      <c r="L600" s="81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81"/>
      <c r="Y600" s="81"/>
      <c r="Z600" s="81"/>
      <c r="AA600" s="81"/>
      <c r="AB600" s="81"/>
      <c r="AC600" s="81"/>
      <c r="AD600" s="81"/>
      <c r="AE600" s="81"/>
      <c r="AF600" s="81"/>
      <c r="AG600" s="81"/>
      <c r="AH600" s="81"/>
    </row>
    <row r="601" spans="4:34" ht="14.25" customHeight="1">
      <c r="D601" s="81"/>
      <c r="E601" s="81"/>
      <c r="F601" s="81"/>
      <c r="G601" s="81"/>
      <c r="H601" s="81"/>
      <c r="I601" s="81"/>
      <c r="J601" s="81"/>
      <c r="K601" s="81"/>
      <c r="L601" s="81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1"/>
      <c r="Y601" s="81"/>
      <c r="Z601" s="81"/>
      <c r="AA601" s="81"/>
      <c r="AB601" s="81"/>
      <c r="AC601" s="81"/>
      <c r="AD601" s="81"/>
      <c r="AE601" s="81"/>
      <c r="AF601" s="81"/>
      <c r="AG601" s="81"/>
      <c r="AH601" s="81"/>
    </row>
    <row r="602" spans="4:34" ht="14.25" customHeight="1"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1"/>
      <c r="Y602" s="81"/>
      <c r="Z602" s="81"/>
      <c r="AA602" s="81"/>
      <c r="AB602" s="81"/>
      <c r="AC602" s="81"/>
      <c r="AD602" s="81"/>
      <c r="AE602" s="81"/>
      <c r="AF602" s="81"/>
      <c r="AG602" s="81"/>
      <c r="AH602" s="81"/>
    </row>
    <row r="603" spans="4:34" ht="14.25" customHeight="1">
      <c r="D603" s="81"/>
      <c r="E603" s="81"/>
      <c r="F603" s="81"/>
      <c r="G603" s="81"/>
      <c r="H603" s="81"/>
      <c r="I603" s="81"/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1"/>
      <c r="Y603" s="81"/>
      <c r="Z603" s="81"/>
      <c r="AA603" s="81"/>
      <c r="AB603" s="81"/>
      <c r="AC603" s="81"/>
      <c r="AD603" s="81"/>
      <c r="AE603" s="81"/>
      <c r="AF603" s="81"/>
      <c r="AG603" s="81"/>
      <c r="AH603" s="81"/>
    </row>
    <row r="604" spans="4:34" ht="14.25" customHeight="1">
      <c r="D604" s="81"/>
      <c r="E604" s="81"/>
      <c r="F604" s="81"/>
      <c r="G604" s="81"/>
      <c r="H604" s="81"/>
      <c r="I604" s="81"/>
      <c r="J604" s="81"/>
      <c r="K604" s="81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1"/>
      <c r="Y604" s="81"/>
      <c r="Z604" s="81"/>
      <c r="AA604" s="81"/>
      <c r="AB604" s="81"/>
      <c r="AC604" s="81"/>
      <c r="AD604" s="81"/>
      <c r="AE604" s="81"/>
      <c r="AF604" s="81"/>
      <c r="AG604" s="81"/>
      <c r="AH604" s="81"/>
    </row>
    <row r="605" spans="4:34" ht="14.25" customHeight="1">
      <c r="D605" s="81"/>
      <c r="E605" s="81"/>
      <c r="F605" s="81"/>
      <c r="G605" s="81"/>
      <c r="H605" s="81"/>
      <c r="I605" s="81"/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1"/>
      <c r="Y605" s="81"/>
      <c r="Z605" s="81"/>
      <c r="AA605" s="81"/>
      <c r="AB605" s="81"/>
      <c r="AC605" s="81"/>
      <c r="AD605" s="81"/>
      <c r="AE605" s="81"/>
      <c r="AF605" s="81"/>
      <c r="AG605" s="81"/>
      <c r="AH605" s="81"/>
    </row>
    <row r="606" spans="4:34" ht="14.25" customHeight="1"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1"/>
      <c r="Y606" s="81"/>
      <c r="Z606" s="81"/>
      <c r="AA606" s="81"/>
      <c r="AB606" s="81"/>
      <c r="AC606" s="81"/>
      <c r="AD606" s="81"/>
      <c r="AE606" s="81"/>
      <c r="AF606" s="81"/>
      <c r="AG606" s="81"/>
      <c r="AH606" s="81"/>
    </row>
    <row r="607" spans="4:34" ht="14.25" customHeight="1">
      <c r="D607" s="81"/>
      <c r="E607" s="81"/>
      <c r="F607" s="81"/>
      <c r="G607" s="81"/>
      <c r="H607" s="81"/>
      <c r="I607" s="81"/>
      <c r="J607" s="81"/>
      <c r="K607" s="81"/>
      <c r="L607" s="81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1"/>
      <c r="Y607" s="81"/>
      <c r="Z607" s="81"/>
      <c r="AA607" s="81"/>
      <c r="AB607" s="81"/>
      <c r="AC607" s="81"/>
      <c r="AD607" s="81"/>
      <c r="AE607" s="81"/>
      <c r="AF607" s="81"/>
      <c r="AG607" s="81"/>
      <c r="AH607" s="81"/>
    </row>
    <row r="608" spans="4:34" ht="14.25" customHeight="1">
      <c r="D608" s="81"/>
      <c r="E608" s="81"/>
      <c r="F608" s="81"/>
      <c r="G608" s="81"/>
      <c r="H608" s="81"/>
      <c r="I608" s="81"/>
      <c r="J608" s="81"/>
      <c r="K608" s="81"/>
      <c r="L608" s="81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81"/>
      <c r="Y608" s="81"/>
      <c r="Z608" s="81"/>
      <c r="AA608" s="81"/>
      <c r="AB608" s="81"/>
      <c r="AC608" s="81"/>
      <c r="AD608" s="81"/>
      <c r="AE608" s="81"/>
      <c r="AF608" s="81"/>
      <c r="AG608" s="81"/>
      <c r="AH608" s="81"/>
    </row>
    <row r="609" spans="4:34" ht="14.25" customHeight="1">
      <c r="D609" s="81"/>
      <c r="E609" s="81"/>
      <c r="F609" s="81"/>
      <c r="G609" s="81"/>
      <c r="H609" s="81"/>
      <c r="I609" s="81"/>
      <c r="J609" s="81"/>
      <c r="K609" s="81"/>
      <c r="L609" s="81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1"/>
      <c r="Y609" s="81"/>
      <c r="Z609" s="81"/>
      <c r="AA609" s="81"/>
      <c r="AB609" s="81"/>
      <c r="AC609" s="81"/>
      <c r="AD609" s="81"/>
      <c r="AE609" s="81"/>
      <c r="AF609" s="81"/>
      <c r="AG609" s="81"/>
      <c r="AH609" s="81"/>
    </row>
    <row r="610" spans="4:34" ht="14.25" customHeight="1"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81"/>
      <c r="Y610" s="81"/>
      <c r="Z610" s="81"/>
      <c r="AA610" s="81"/>
      <c r="AB610" s="81"/>
      <c r="AC610" s="81"/>
      <c r="AD610" s="81"/>
      <c r="AE610" s="81"/>
      <c r="AF610" s="81"/>
      <c r="AG610" s="81"/>
      <c r="AH610" s="81"/>
    </row>
    <row r="611" spans="4:34" ht="14.25" customHeight="1">
      <c r="D611" s="81"/>
      <c r="E611" s="81"/>
      <c r="F611" s="81"/>
      <c r="G611" s="81"/>
      <c r="H611" s="81"/>
      <c r="I611" s="81"/>
      <c r="J611" s="81"/>
      <c r="K611" s="81"/>
      <c r="L611" s="81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1"/>
      <c r="Y611" s="81"/>
      <c r="Z611" s="81"/>
      <c r="AA611" s="81"/>
      <c r="AB611" s="81"/>
      <c r="AC611" s="81"/>
      <c r="AD611" s="81"/>
      <c r="AE611" s="81"/>
      <c r="AF611" s="81"/>
      <c r="AG611" s="81"/>
      <c r="AH611" s="81"/>
    </row>
    <row r="612" spans="4:34" ht="14.25" customHeight="1">
      <c r="D612" s="81"/>
      <c r="E612" s="81"/>
      <c r="F612" s="81"/>
      <c r="G612" s="81"/>
      <c r="H612" s="81"/>
      <c r="I612" s="81"/>
      <c r="J612" s="81"/>
      <c r="K612" s="81"/>
      <c r="L612" s="81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81"/>
      <c r="Y612" s="81"/>
      <c r="Z612" s="81"/>
      <c r="AA612" s="81"/>
      <c r="AB612" s="81"/>
      <c r="AC612" s="81"/>
      <c r="AD612" s="81"/>
      <c r="AE612" s="81"/>
      <c r="AF612" s="81"/>
      <c r="AG612" s="81"/>
      <c r="AH612" s="81"/>
    </row>
    <row r="613" spans="4:34" ht="14.25" customHeight="1">
      <c r="D613" s="81"/>
      <c r="E613" s="81"/>
      <c r="F613" s="81"/>
      <c r="G613" s="81"/>
      <c r="H613" s="81"/>
      <c r="I613" s="81"/>
      <c r="J613" s="81"/>
      <c r="K613" s="81"/>
      <c r="L613" s="81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1"/>
      <c r="Y613" s="81"/>
      <c r="Z613" s="81"/>
      <c r="AA613" s="81"/>
      <c r="AB613" s="81"/>
      <c r="AC613" s="81"/>
      <c r="AD613" s="81"/>
      <c r="AE613" s="81"/>
      <c r="AF613" s="81"/>
      <c r="AG613" s="81"/>
      <c r="AH613" s="81"/>
    </row>
    <row r="614" spans="4:34" ht="14.25" customHeight="1"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81"/>
      <c r="Y614" s="81"/>
      <c r="Z614" s="81"/>
      <c r="AA614" s="81"/>
      <c r="AB614" s="81"/>
      <c r="AC614" s="81"/>
      <c r="AD614" s="81"/>
      <c r="AE614" s="81"/>
      <c r="AF614" s="81"/>
      <c r="AG614" s="81"/>
      <c r="AH614" s="81"/>
    </row>
    <row r="615" spans="4:34" ht="14.25" customHeight="1">
      <c r="D615" s="81"/>
      <c r="E615" s="81"/>
      <c r="F615" s="81"/>
      <c r="G615" s="81"/>
      <c r="H615" s="81"/>
      <c r="I615" s="81"/>
      <c r="J615" s="81"/>
      <c r="K615" s="81"/>
      <c r="L615" s="81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1"/>
      <c r="Y615" s="81"/>
      <c r="Z615" s="81"/>
      <c r="AA615" s="81"/>
      <c r="AB615" s="81"/>
      <c r="AC615" s="81"/>
      <c r="AD615" s="81"/>
      <c r="AE615" s="81"/>
      <c r="AF615" s="81"/>
      <c r="AG615" s="81"/>
      <c r="AH615" s="81"/>
    </row>
    <row r="616" spans="4:34" ht="14.25" customHeight="1">
      <c r="D616" s="81"/>
      <c r="E616" s="81"/>
      <c r="F616" s="81"/>
      <c r="G616" s="81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1"/>
      <c r="Y616" s="81"/>
      <c r="Z616" s="81"/>
      <c r="AA616" s="81"/>
      <c r="AB616" s="81"/>
      <c r="AC616" s="81"/>
      <c r="AD616" s="81"/>
      <c r="AE616" s="81"/>
      <c r="AF616" s="81"/>
      <c r="AG616" s="81"/>
      <c r="AH616" s="81"/>
    </row>
    <row r="617" spans="4:34" ht="14.25" customHeight="1">
      <c r="D617" s="81"/>
      <c r="E617" s="81"/>
      <c r="F617" s="81"/>
      <c r="G617" s="81"/>
      <c r="H617" s="81"/>
      <c r="I617" s="81"/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1"/>
      <c r="Y617" s="81"/>
      <c r="Z617" s="81"/>
      <c r="AA617" s="81"/>
      <c r="AB617" s="81"/>
      <c r="AC617" s="81"/>
      <c r="AD617" s="81"/>
      <c r="AE617" s="81"/>
      <c r="AF617" s="81"/>
      <c r="AG617" s="81"/>
      <c r="AH617" s="81"/>
    </row>
    <row r="618" spans="4:34" ht="14.25" customHeight="1"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1"/>
      <c r="Y618" s="81"/>
      <c r="Z618" s="81"/>
      <c r="AA618" s="81"/>
      <c r="AB618" s="81"/>
      <c r="AC618" s="81"/>
      <c r="AD618" s="81"/>
      <c r="AE618" s="81"/>
      <c r="AF618" s="81"/>
      <c r="AG618" s="81"/>
      <c r="AH618" s="81"/>
    </row>
    <row r="619" spans="4:34" ht="14.25" customHeight="1">
      <c r="D619" s="81"/>
      <c r="E619" s="81"/>
      <c r="F619" s="81"/>
      <c r="G619" s="81"/>
      <c r="H619" s="81"/>
      <c r="I619" s="81"/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1"/>
      <c r="Y619" s="81"/>
      <c r="Z619" s="81"/>
      <c r="AA619" s="81"/>
      <c r="AB619" s="81"/>
      <c r="AC619" s="81"/>
      <c r="AD619" s="81"/>
      <c r="AE619" s="81"/>
      <c r="AF619" s="81"/>
      <c r="AG619" s="81"/>
      <c r="AH619" s="81"/>
    </row>
    <row r="620" spans="4:34" ht="14.25" customHeight="1">
      <c r="D620" s="81"/>
      <c r="E620" s="81"/>
      <c r="F620" s="81"/>
      <c r="G620" s="81"/>
      <c r="H620" s="81"/>
      <c r="I620" s="81"/>
      <c r="J620" s="81"/>
      <c r="K620" s="81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1"/>
      <c r="Y620" s="81"/>
      <c r="Z620" s="81"/>
      <c r="AA620" s="81"/>
      <c r="AB620" s="81"/>
      <c r="AC620" s="81"/>
      <c r="AD620" s="81"/>
      <c r="AE620" s="81"/>
      <c r="AF620" s="81"/>
      <c r="AG620" s="81"/>
      <c r="AH620" s="81"/>
    </row>
    <row r="621" spans="4:34" ht="14.25" customHeight="1">
      <c r="D621" s="81"/>
      <c r="E621" s="81"/>
      <c r="F621" s="81"/>
      <c r="G621" s="81"/>
      <c r="H621" s="81"/>
      <c r="I621" s="81"/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1"/>
      <c r="Y621" s="81"/>
      <c r="Z621" s="81"/>
      <c r="AA621" s="81"/>
      <c r="AB621" s="81"/>
      <c r="AC621" s="81"/>
      <c r="AD621" s="81"/>
      <c r="AE621" s="81"/>
      <c r="AF621" s="81"/>
      <c r="AG621" s="81"/>
      <c r="AH621" s="81"/>
    </row>
    <row r="622" spans="4:34" ht="14.25" customHeight="1"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81"/>
      <c r="Y622" s="81"/>
      <c r="Z622" s="81"/>
      <c r="AA622" s="81"/>
      <c r="AB622" s="81"/>
      <c r="AC622" s="81"/>
      <c r="AD622" s="81"/>
      <c r="AE622" s="81"/>
      <c r="AF622" s="81"/>
      <c r="AG622" s="81"/>
      <c r="AH622" s="81"/>
    </row>
    <row r="623" spans="4:34" ht="14.25" customHeight="1">
      <c r="D623" s="81"/>
      <c r="E623" s="81"/>
      <c r="F623" s="81"/>
      <c r="G623" s="81"/>
      <c r="H623" s="81"/>
      <c r="I623" s="81"/>
      <c r="J623" s="81"/>
      <c r="K623" s="81"/>
      <c r="L623" s="81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81"/>
      <c r="Y623" s="81"/>
      <c r="Z623" s="81"/>
      <c r="AA623" s="81"/>
      <c r="AB623" s="81"/>
      <c r="AC623" s="81"/>
      <c r="AD623" s="81"/>
      <c r="AE623" s="81"/>
      <c r="AF623" s="81"/>
      <c r="AG623" s="81"/>
      <c r="AH623" s="81"/>
    </row>
    <row r="624" spans="4:34" ht="14.25" customHeight="1">
      <c r="D624" s="81"/>
      <c r="E624" s="81"/>
      <c r="F624" s="81"/>
      <c r="G624" s="81"/>
      <c r="H624" s="81"/>
      <c r="I624" s="81"/>
      <c r="J624" s="81"/>
      <c r="K624" s="81"/>
      <c r="L624" s="81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81"/>
      <c r="Y624" s="81"/>
      <c r="Z624" s="81"/>
      <c r="AA624" s="81"/>
      <c r="AB624" s="81"/>
      <c r="AC624" s="81"/>
      <c r="AD624" s="81"/>
      <c r="AE624" s="81"/>
      <c r="AF624" s="81"/>
      <c r="AG624" s="81"/>
      <c r="AH624" s="81"/>
    </row>
    <row r="625" spans="4:34" ht="14.25" customHeight="1">
      <c r="D625" s="81"/>
      <c r="E625" s="81"/>
      <c r="F625" s="81"/>
      <c r="G625" s="81"/>
      <c r="H625" s="81"/>
      <c r="I625" s="81"/>
      <c r="J625" s="81"/>
      <c r="K625" s="81"/>
      <c r="L625" s="81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81"/>
      <c r="Y625" s="81"/>
      <c r="Z625" s="81"/>
      <c r="AA625" s="81"/>
      <c r="AB625" s="81"/>
      <c r="AC625" s="81"/>
      <c r="AD625" s="81"/>
      <c r="AE625" s="81"/>
      <c r="AF625" s="81"/>
      <c r="AG625" s="81"/>
      <c r="AH625" s="81"/>
    </row>
    <row r="626" spans="4:34" ht="14.25" customHeight="1"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1"/>
      <c r="Y626" s="81"/>
      <c r="Z626" s="81"/>
      <c r="AA626" s="81"/>
      <c r="AB626" s="81"/>
      <c r="AC626" s="81"/>
      <c r="AD626" s="81"/>
      <c r="AE626" s="81"/>
      <c r="AF626" s="81"/>
      <c r="AG626" s="81"/>
      <c r="AH626" s="81"/>
    </row>
    <row r="627" spans="4:34" ht="14.25" customHeight="1">
      <c r="D627" s="81"/>
      <c r="E627" s="81"/>
      <c r="F627" s="81"/>
      <c r="G627" s="81"/>
      <c r="H627" s="81"/>
      <c r="I627" s="81"/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1"/>
      <c r="Y627" s="81"/>
      <c r="Z627" s="81"/>
      <c r="AA627" s="81"/>
      <c r="AB627" s="81"/>
      <c r="AC627" s="81"/>
      <c r="AD627" s="81"/>
      <c r="AE627" s="81"/>
      <c r="AF627" s="81"/>
      <c r="AG627" s="81"/>
      <c r="AH627" s="81"/>
    </row>
    <row r="628" spans="4:34" ht="14.25" customHeight="1">
      <c r="D628" s="81"/>
      <c r="E628" s="81"/>
      <c r="F628" s="81"/>
      <c r="G628" s="81"/>
      <c r="H628" s="81"/>
      <c r="I628" s="81"/>
      <c r="J628" s="81"/>
      <c r="K628" s="81"/>
      <c r="L628" s="81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1"/>
      <c r="Y628" s="81"/>
      <c r="Z628" s="81"/>
      <c r="AA628" s="81"/>
      <c r="AB628" s="81"/>
      <c r="AC628" s="81"/>
      <c r="AD628" s="81"/>
      <c r="AE628" s="81"/>
      <c r="AF628" s="81"/>
      <c r="AG628" s="81"/>
      <c r="AH628" s="81"/>
    </row>
    <row r="629" spans="4:34" ht="14.25" customHeight="1">
      <c r="D629" s="81"/>
      <c r="E629" s="81"/>
      <c r="F629" s="81"/>
      <c r="G629" s="81"/>
      <c r="H629" s="81"/>
      <c r="I629" s="81"/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1"/>
      <c r="Y629" s="81"/>
      <c r="Z629" s="81"/>
      <c r="AA629" s="81"/>
      <c r="AB629" s="81"/>
      <c r="AC629" s="81"/>
      <c r="AD629" s="81"/>
      <c r="AE629" s="81"/>
      <c r="AF629" s="81"/>
      <c r="AG629" s="81"/>
      <c r="AH629" s="81"/>
    </row>
    <row r="630" spans="4:34" ht="14.25" customHeight="1"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1"/>
      <c r="Y630" s="81"/>
      <c r="Z630" s="81"/>
      <c r="AA630" s="81"/>
      <c r="AB630" s="81"/>
      <c r="AC630" s="81"/>
      <c r="AD630" s="81"/>
      <c r="AE630" s="81"/>
      <c r="AF630" s="81"/>
      <c r="AG630" s="81"/>
      <c r="AH630" s="81"/>
    </row>
    <row r="631" spans="4:34" ht="14.25" customHeight="1">
      <c r="D631" s="81"/>
      <c r="E631" s="81"/>
      <c r="F631" s="81"/>
      <c r="G631" s="81"/>
      <c r="H631" s="81"/>
      <c r="I631" s="81"/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1"/>
      <c r="Y631" s="81"/>
      <c r="Z631" s="81"/>
      <c r="AA631" s="81"/>
      <c r="AB631" s="81"/>
      <c r="AC631" s="81"/>
      <c r="AD631" s="81"/>
      <c r="AE631" s="81"/>
      <c r="AF631" s="81"/>
      <c r="AG631" s="81"/>
      <c r="AH631" s="81"/>
    </row>
    <row r="632" spans="4:34" ht="14.25" customHeight="1">
      <c r="D632" s="81"/>
      <c r="E632" s="81"/>
      <c r="F632" s="81"/>
      <c r="G632" s="81"/>
      <c r="H632" s="81"/>
      <c r="I632" s="81"/>
      <c r="J632" s="81"/>
      <c r="K632" s="81"/>
      <c r="L632" s="81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1"/>
      <c r="Y632" s="81"/>
      <c r="Z632" s="81"/>
      <c r="AA632" s="81"/>
      <c r="AB632" s="81"/>
      <c r="AC632" s="81"/>
      <c r="AD632" s="81"/>
      <c r="AE632" s="81"/>
      <c r="AF632" s="81"/>
      <c r="AG632" s="81"/>
      <c r="AH632" s="81"/>
    </row>
    <row r="633" spans="4:34" ht="14.25" customHeight="1">
      <c r="D633" s="81"/>
      <c r="E633" s="81"/>
      <c r="F633" s="81"/>
      <c r="G633" s="81"/>
      <c r="H633" s="81"/>
      <c r="I633" s="81"/>
      <c r="J633" s="81"/>
      <c r="K633" s="81"/>
      <c r="L633" s="81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81"/>
      <c r="Y633" s="81"/>
      <c r="Z633" s="81"/>
      <c r="AA633" s="81"/>
      <c r="AB633" s="81"/>
      <c r="AC633" s="81"/>
      <c r="AD633" s="81"/>
      <c r="AE633" s="81"/>
      <c r="AF633" s="81"/>
      <c r="AG633" s="81"/>
      <c r="AH633" s="81"/>
    </row>
    <row r="634" spans="4:34" ht="14.25" customHeight="1"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  <c r="S634" s="81"/>
      <c r="T634" s="81"/>
      <c r="U634" s="81"/>
      <c r="V634" s="81"/>
      <c r="W634" s="81"/>
      <c r="X634" s="81"/>
      <c r="Y634" s="81"/>
      <c r="Z634" s="81"/>
      <c r="AA634" s="81"/>
      <c r="AB634" s="81"/>
      <c r="AC634" s="81"/>
      <c r="AD634" s="81"/>
      <c r="AE634" s="81"/>
      <c r="AF634" s="81"/>
      <c r="AG634" s="81"/>
      <c r="AH634" s="81"/>
    </row>
    <row r="635" spans="4:34" ht="14.25" customHeight="1">
      <c r="D635" s="81"/>
      <c r="E635" s="81"/>
      <c r="F635" s="81"/>
      <c r="G635" s="81"/>
      <c r="H635" s="81"/>
      <c r="I635" s="81"/>
      <c r="J635" s="81"/>
      <c r="K635" s="81"/>
      <c r="L635" s="81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81"/>
      <c r="Y635" s="81"/>
      <c r="Z635" s="81"/>
      <c r="AA635" s="81"/>
      <c r="AB635" s="81"/>
      <c r="AC635" s="81"/>
      <c r="AD635" s="81"/>
      <c r="AE635" s="81"/>
      <c r="AF635" s="81"/>
      <c r="AG635" s="81"/>
      <c r="AH635" s="81"/>
    </row>
    <row r="636" spans="4:34" ht="14.25" customHeight="1">
      <c r="D636" s="81"/>
      <c r="E636" s="81"/>
      <c r="F636" s="81"/>
      <c r="G636" s="81"/>
      <c r="H636" s="81"/>
      <c r="I636" s="81"/>
      <c r="J636" s="81"/>
      <c r="K636" s="81"/>
      <c r="L636" s="81"/>
      <c r="M636" s="81"/>
      <c r="N636" s="81"/>
      <c r="O636" s="81"/>
      <c r="P636" s="81"/>
      <c r="Q636" s="81"/>
      <c r="R636" s="81"/>
      <c r="S636" s="81"/>
      <c r="T636" s="81"/>
      <c r="U636" s="81"/>
      <c r="V636" s="81"/>
      <c r="W636" s="81"/>
      <c r="X636" s="81"/>
      <c r="Y636" s="81"/>
      <c r="Z636" s="81"/>
      <c r="AA636" s="81"/>
      <c r="AB636" s="81"/>
      <c r="AC636" s="81"/>
      <c r="AD636" s="81"/>
      <c r="AE636" s="81"/>
      <c r="AF636" s="81"/>
      <c r="AG636" s="81"/>
      <c r="AH636" s="81"/>
    </row>
    <row r="637" spans="4:34" ht="14.25" customHeight="1">
      <c r="D637" s="81"/>
      <c r="E637" s="81"/>
      <c r="F637" s="81"/>
      <c r="G637" s="81"/>
      <c r="H637" s="81"/>
      <c r="I637" s="81"/>
      <c r="J637" s="81"/>
      <c r="K637" s="81"/>
      <c r="L637" s="81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81"/>
      <c r="Y637" s="81"/>
      <c r="Z637" s="81"/>
      <c r="AA637" s="81"/>
      <c r="AB637" s="81"/>
      <c r="AC637" s="81"/>
      <c r="AD637" s="81"/>
      <c r="AE637" s="81"/>
      <c r="AF637" s="81"/>
      <c r="AG637" s="81"/>
      <c r="AH637" s="81"/>
    </row>
    <row r="638" spans="4:34" ht="14.25" customHeight="1"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  <c r="S638" s="81"/>
      <c r="T638" s="81"/>
      <c r="U638" s="81"/>
      <c r="V638" s="81"/>
      <c r="W638" s="81"/>
      <c r="X638" s="81"/>
      <c r="Y638" s="81"/>
      <c r="Z638" s="81"/>
      <c r="AA638" s="81"/>
      <c r="AB638" s="81"/>
      <c r="AC638" s="81"/>
      <c r="AD638" s="81"/>
      <c r="AE638" s="81"/>
      <c r="AF638" s="81"/>
      <c r="AG638" s="81"/>
      <c r="AH638" s="81"/>
    </row>
    <row r="639" spans="4:34" ht="14.25" customHeight="1">
      <c r="D639" s="81"/>
      <c r="E639" s="81"/>
      <c r="F639" s="81"/>
      <c r="G639" s="81"/>
      <c r="H639" s="81"/>
      <c r="I639" s="81"/>
      <c r="J639" s="81"/>
      <c r="K639" s="81"/>
      <c r="L639" s="81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81"/>
      <c r="Y639" s="81"/>
      <c r="Z639" s="81"/>
      <c r="AA639" s="81"/>
      <c r="AB639" s="81"/>
      <c r="AC639" s="81"/>
      <c r="AD639" s="81"/>
      <c r="AE639" s="81"/>
      <c r="AF639" s="81"/>
      <c r="AG639" s="81"/>
      <c r="AH639" s="81"/>
    </row>
    <row r="640" spans="4:34" ht="14.25" customHeight="1">
      <c r="D640" s="81"/>
      <c r="E640" s="81"/>
      <c r="F640" s="81"/>
      <c r="G640" s="81"/>
      <c r="H640" s="81"/>
      <c r="I640" s="81"/>
      <c r="J640" s="81"/>
      <c r="K640" s="81"/>
      <c r="L640" s="81"/>
      <c r="M640" s="81"/>
      <c r="N640" s="81"/>
      <c r="O640" s="81"/>
      <c r="P640" s="81"/>
      <c r="Q640" s="81"/>
      <c r="R640" s="81"/>
      <c r="S640" s="81"/>
      <c r="T640" s="81"/>
      <c r="U640" s="81"/>
      <c r="V640" s="81"/>
      <c r="W640" s="81"/>
      <c r="X640" s="81"/>
      <c r="Y640" s="81"/>
      <c r="Z640" s="81"/>
      <c r="AA640" s="81"/>
      <c r="AB640" s="81"/>
      <c r="AC640" s="81"/>
      <c r="AD640" s="81"/>
      <c r="AE640" s="81"/>
      <c r="AF640" s="81"/>
      <c r="AG640" s="81"/>
      <c r="AH640" s="81"/>
    </row>
    <row r="641" spans="4:34" ht="14.25" customHeight="1">
      <c r="D641" s="81"/>
      <c r="E641" s="81"/>
      <c r="F641" s="81"/>
      <c r="G641" s="81"/>
      <c r="H641" s="81"/>
      <c r="I641" s="81"/>
      <c r="J641" s="81"/>
      <c r="K641" s="81"/>
      <c r="L641" s="81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81"/>
      <c r="Y641" s="81"/>
      <c r="Z641" s="81"/>
      <c r="AA641" s="81"/>
      <c r="AB641" s="81"/>
      <c r="AC641" s="81"/>
      <c r="AD641" s="81"/>
      <c r="AE641" s="81"/>
      <c r="AF641" s="81"/>
      <c r="AG641" s="81"/>
      <c r="AH641" s="81"/>
    </row>
    <row r="642" spans="4:34" ht="14.25" customHeight="1"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1"/>
      <c r="Y642" s="81"/>
      <c r="Z642" s="81"/>
      <c r="AA642" s="81"/>
      <c r="AB642" s="81"/>
      <c r="AC642" s="81"/>
      <c r="AD642" s="81"/>
      <c r="AE642" s="81"/>
      <c r="AF642" s="81"/>
      <c r="AG642" s="81"/>
      <c r="AH642" s="81"/>
    </row>
    <row r="643" spans="4:34" ht="14.25" customHeight="1">
      <c r="D643" s="81"/>
      <c r="E643" s="81"/>
      <c r="F643" s="81"/>
      <c r="G643" s="81"/>
      <c r="H643" s="81"/>
      <c r="I643" s="81"/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1"/>
      <c r="Y643" s="81"/>
      <c r="Z643" s="81"/>
      <c r="AA643" s="81"/>
      <c r="AB643" s="81"/>
      <c r="AC643" s="81"/>
      <c r="AD643" s="81"/>
      <c r="AE643" s="81"/>
      <c r="AF643" s="81"/>
      <c r="AG643" s="81"/>
      <c r="AH643" s="81"/>
    </row>
    <row r="644" spans="4:34" ht="14.25" customHeight="1">
      <c r="D644" s="81"/>
      <c r="E644" s="81"/>
      <c r="F644" s="81"/>
      <c r="G644" s="81"/>
      <c r="H644" s="81"/>
      <c r="I644" s="81"/>
      <c r="J644" s="81"/>
      <c r="K644" s="81"/>
      <c r="L644" s="81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1"/>
      <c r="Y644" s="81"/>
      <c r="Z644" s="81"/>
      <c r="AA644" s="81"/>
      <c r="AB644" s="81"/>
      <c r="AC644" s="81"/>
      <c r="AD644" s="81"/>
      <c r="AE644" s="81"/>
      <c r="AF644" s="81"/>
      <c r="AG644" s="81"/>
      <c r="AH644" s="81"/>
    </row>
    <row r="645" spans="4:34" ht="14.25" customHeight="1">
      <c r="D645" s="81"/>
      <c r="E645" s="81"/>
      <c r="F645" s="81"/>
      <c r="G645" s="81"/>
      <c r="H645" s="81"/>
      <c r="I645" s="81"/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1"/>
      <c r="Y645" s="81"/>
      <c r="Z645" s="81"/>
      <c r="AA645" s="81"/>
      <c r="AB645" s="81"/>
      <c r="AC645" s="81"/>
      <c r="AD645" s="81"/>
      <c r="AE645" s="81"/>
      <c r="AF645" s="81"/>
      <c r="AG645" s="81"/>
      <c r="AH645" s="81"/>
    </row>
    <row r="646" spans="4:34" ht="14.25" customHeight="1"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1"/>
      <c r="Y646" s="81"/>
      <c r="Z646" s="81"/>
      <c r="AA646" s="81"/>
      <c r="AB646" s="81"/>
      <c r="AC646" s="81"/>
      <c r="AD646" s="81"/>
      <c r="AE646" s="81"/>
      <c r="AF646" s="81"/>
      <c r="AG646" s="81"/>
      <c r="AH646" s="81"/>
    </row>
    <row r="647" spans="4:34" ht="14.25" customHeight="1">
      <c r="D647" s="81"/>
      <c r="E647" s="81"/>
      <c r="F647" s="81"/>
      <c r="G647" s="81"/>
      <c r="H647" s="81"/>
      <c r="I647" s="81"/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1"/>
      <c r="Y647" s="81"/>
      <c r="Z647" s="81"/>
      <c r="AA647" s="81"/>
      <c r="AB647" s="81"/>
      <c r="AC647" s="81"/>
      <c r="AD647" s="81"/>
      <c r="AE647" s="81"/>
      <c r="AF647" s="81"/>
      <c r="AG647" s="81"/>
      <c r="AH647" s="81"/>
    </row>
    <row r="648" spans="4:34" ht="14.25" customHeight="1">
      <c r="D648" s="81"/>
      <c r="E648" s="81"/>
      <c r="F648" s="81"/>
      <c r="G648" s="81"/>
      <c r="H648" s="81"/>
      <c r="I648" s="81"/>
      <c r="J648" s="81"/>
      <c r="K648" s="81"/>
      <c r="L648" s="81"/>
      <c r="M648" s="81"/>
      <c r="N648" s="81"/>
      <c r="O648" s="81"/>
      <c r="P648" s="81"/>
      <c r="Q648" s="81"/>
      <c r="R648" s="81"/>
      <c r="S648" s="81"/>
      <c r="T648" s="81"/>
      <c r="U648" s="81"/>
      <c r="V648" s="81"/>
      <c r="W648" s="81"/>
      <c r="X648" s="81"/>
      <c r="Y648" s="81"/>
      <c r="Z648" s="81"/>
      <c r="AA648" s="81"/>
      <c r="AB648" s="81"/>
      <c r="AC648" s="81"/>
      <c r="AD648" s="81"/>
      <c r="AE648" s="81"/>
      <c r="AF648" s="81"/>
      <c r="AG648" s="81"/>
      <c r="AH648" s="81"/>
    </row>
    <row r="649" spans="4:34" ht="14.25" customHeight="1">
      <c r="D649" s="81"/>
      <c r="E649" s="81"/>
      <c r="F649" s="81"/>
      <c r="G649" s="81"/>
      <c r="H649" s="81"/>
      <c r="I649" s="81"/>
      <c r="J649" s="81"/>
      <c r="K649" s="81"/>
      <c r="L649" s="81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81"/>
      <c r="Y649" s="81"/>
      <c r="Z649" s="81"/>
      <c r="AA649" s="81"/>
      <c r="AB649" s="81"/>
      <c r="AC649" s="81"/>
      <c r="AD649" s="81"/>
      <c r="AE649" s="81"/>
      <c r="AF649" s="81"/>
      <c r="AG649" s="81"/>
      <c r="AH649" s="81"/>
    </row>
    <row r="650" spans="4:34" ht="14.25" customHeight="1"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  <c r="S650" s="81"/>
      <c r="T650" s="81"/>
      <c r="U650" s="81"/>
      <c r="V650" s="81"/>
      <c r="W650" s="81"/>
      <c r="X650" s="81"/>
      <c r="Y650" s="81"/>
      <c r="Z650" s="81"/>
      <c r="AA650" s="81"/>
      <c r="AB650" s="81"/>
      <c r="AC650" s="81"/>
      <c r="AD650" s="81"/>
      <c r="AE650" s="81"/>
      <c r="AF650" s="81"/>
      <c r="AG650" s="81"/>
      <c r="AH650" s="81"/>
    </row>
    <row r="651" spans="4:34" ht="14.25" customHeight="1">
      <c r="D651" s="81"/>
      <c r="E651" s="81"/>
      <c r="F651" s="81"/>
      <c r="G651" s="81"/>
      <c r="H651" s="81"/>
      <c r="I651" s="81"/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1"/>
      <c r="Y651" s="81"/>
      <c r="Z651" s="81"/>
      <c r="AA651" s="81"/>
      <c r="AB651" s="81"/>
      <c r="AC651" s="81"/>
      <c r="AD651" s="81"/>
      <c r="AE651" s="81"/>
      <c r="AF651" s="81"/>
      <c r="AG651" s="81"/>
      <c r="AH651" s="81"/>
    </row>
    <row r="652" spans="4:34" ht="14.25" customHeight="1">
      <c r="D652" s="81"/>
      <c r="E652" s="81"/>
      <c r="F652" s="81"/>
      <c r="G652" s="81"/>
      <c r="H652" s="81"/>
      <c r="I652" s="81"/>
      <c r="J652" s="81"/>
      <c r="K652" s="81"/>
      <c r="L652" s="81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1"/>
      <c r="Y652" s="81"/>
      <c r="Z652" s="81"/>
      <c r="AA652" s="81"/>
      <c r="AB652" s="81"/>
      <c r="AC652" s="81"/>
      <c r="AD652" s="81"/>
      <c r="AE652" s="81"/>
      <c r="AF652" s="81"/>
      <c r="AG652" s="81"/>
      <c r="AH652" s="81"/>
    </row>
    <row r="653" spans="4:34" ht="14.25" customHeight="1">
      <c r="D653" s="81"/>
      <c r="E653" s="81"/>
      <c r="F653" s="81"/>
      <c r="G653" s="81"/>
      <c r="H653" s="81"/>
      <c r="I653" s="81"/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1"/>
      <c r="Y653" s="81"/>
      <c r="Z653" s="81"/>
      <c r="AA653" s="81"/>
      <c r="AB653" s="81"/>
      <c r="AC653" s="81"/>
      <c r="AD653" s="81"/>
      <c r="AE653" s="81"/>
      <c r="AF653" s="81"/>
      <c r="AG653" s="81"/>
      <c r="AH653" s="81"/>
    </row>
    <row r="654" spans="4:34" ht="14.25" customHeight="1"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1"/>
      <c r="Y654" s="81"/>
      <c r="Z654" s="81"/>
      <c r="AA654" s="81"/>
      <c r="AB654" s="81"/>
      <c r="AC654" s="81"/>
      <c r="AD654" s="81"/>
      <c r="AE654" s="81"/>
      <c r="AF654" s="81"/>
      <c r="AG654" s="81"/>
      <c r="AH654" s="81"/>
    </row>
    <row r="655" spans="4:34" ht="14.25" customHeight="1">
      <c r="D655" s="81"/>
      <c r="E655" s="81"/>
      <c r="F655" s="81"/>
      <c r="G655" s="81"/>
      <c r="H655" s="81"/>
      <c r="I655" s="81"/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1"/>
      <c r="Y655" s="81"/>
      <c r="Z655" s="81"/>
      <c r="AA655" s="81"/>
      <c r="AB655" s="81"/>
      <c r="AC655" s="81"/>
      <c r="AD655" s="81"/>
      <c r="AE655" s="81"/>
      <c r="AF655" s="81"/>
      <c r="AG655" s="81"/>
      <c r="AH655" s="81"/>
    </row>
    <row r="656" spans="4:34" ht="14.25" customHeight="1">
      <c r="D656" s="81"/>
      <c r="E656" s="81"/>
      <c r="F656" s="81"/>
      <c r="G656" s="81"/>
      <c r="H656" s="81"/>
      <c r="I656" s="81"/>
      <c r="J656" s="81"/>
      <c r="K656" s="81"/>
      <c r="L656" s="81"/>
      <c r="M656" s="81"/>
      <c r="N656" s="81"/>
      <c r="O656" s="81"/>
      <c r="P656" s="81"/>
      <c r="Q656" s="81"/>
      <c r="R656" s="81"/>
      <c r="S656" s="81"/>
      <c r="T656" s="81"/>
      <c r="U656" s="81"/>
      <c r="V656" s="81"/>
      <c r="W656" s="81"/>
      <c r="X656" s="81"/>
      <c r="Y656" s="81"/>
      <c r="Z656" s="81"/>
      <c r="AA656" s="81"/>
      <c r="AB656" s="81"/>
      <c r="AC656" s="81"/>
      <c r="AD656" s="81"/>
      <c r="AE656" s="81"/>
      <c r="AF656" s="81"/>
      <c r="AG656" s="81"/>
      <c r="AH656" s="81"/>
    </row>
    <row r="657" spans="4:34" ht="14.25" customHeight="1">
      <c r="D657" s="81"/>
      <c r="E657" s="81"/>
      <c r="F657" s="81"/>
      <c r="G657" s="81"/>
      <c r="H657" s="81"/>
      <c r="I657" s="81"/>
      <c r="J657" s="81"/>
      <c r="K657" s="81"/>
      <c r="L657" s="81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81"/>
      <c r="Y657" s="81"/>
      <c r="Z657" s="81"/>
      <c r="AA657" s="81"/>
      <c r="AB657" s="81"/>
      <c r="AC657" s="81"/>
      <c r="AD657" s="81"/>
      <c r="AE657" s="81"/>
      <c r="AF657" s="81"/>
      <c r="AG657" s="81"/>
      <c r="AH657" s="81"/>
    </row>
    <row r="658" spans="4:34" ht="14.25" customHeight="1"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  <c r="S658" s="81"/>
      <c r="T658" s="81"/>
      <c r="U658" s="81"/>
      <c r="V658" s="81"/>
      <c r="W658" s="81"/>
      <c r="X658" s="81"/>
      <c r="Y658" s="81"/>
      <c r="Z658" s="81"/>
      <c r="AA658" s="81"/>
      <c r="AB658" s="81"/>
      <c r="AC658" s="81"/>
      <c r="AD658" s="81"/>
      <c r="AE658" s="81"/>
      <c r="AF658" s="81"/>
      <c r="AG658" s="81"/>
      <c r="AH658" s="81"/>
    </row>
    <row r="659" spans="4:34" ht="14.25" customHeight="1">
      <c r="D659" s="81"/>
      <c r="E659" s="81"/>
      <c r="F659" s="81"/>
      <c r="G659" s="81"/>
      <c r="H659" s="81"/>
      <c r="I659" s="81"/>
      <c r="J659" s="81"/>
      <c r="K659" s="81"/>
      <c r="L659" s="81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81"/>
      <c r="Y659" s="81"/>
      <c r="Z659" s="81"/>
      <c r="AA659" s="81"/>
      <c r="AB659" s="81"/>
      <c r="AC659" s="81"/>
      <c r="AD659" s="81"/>
      <c r="AE659" s="81"/>
      <c r="AF659" s="81"/>
      <c r="AG659" s="81"/>
      <c r="AH659" s="81"/>
    </row>
    <row r="660" spans="4:34" ht="14.25" customHeight="1">
      <c r="D660" s="81"/>
      <c r="E660" s="81"/>
      <c r="F660" s="81"/>
      <c r="G660" s="81"/>
      <c r="H660" s="81"/>
      <c r="I660" s="81"/>
      <c r="J660" s="81"/>
      <c r="K660" s="81"/>
      <c r="L660" s="81"/>
      <c r="M660" s="81"/>
      <c r="N660" s="81"/>
      <c r="O660" s="81"/>
      <c r="P660" s="81"/>
      <c r="Q660" s="81"/>
      <c r="R660" s="81"/>
      <c r="S660" s="81"/>
      <c r="T660" s="81"/>
      <c r="U660" s="81"/>
      <c r="V660" s="81"/>
      <c r="W660" s="81"/>
      <c r="X660" s="81"/>
      <c r="Y660" s="81"/>
      <c r="Z660" s="81"/>
      <c r="AA660" s="81"/>
      <c r="AB660" s="81"/>
      <c r="AC660" s="81"/>
      <c r="AD660" s="81"/>
      <c r="AE660" s="81"/>
      <c r="AF660" s="81"/>
      <c r="AG660" s="81"/>
      <c r="AH660" s="81"/>
    </row>
    <row r="661" spans="4:34" ht="14.25" customHeight="1">
      <c r="D661" s="81"/>
      <c r="E661" s="81"/>
      <c r="F661" s="81"/>
      <c r="G661" s="81"/>
      <c r="H661" s="81"/>
      <c r="I661" s="81"/>
      <c r="J661" s="81"/>
      <c r="K661" s="81"/>
      <c r="L661" s="81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81"/>
      <c r="Y661" s="81"/>
      <c r="Z661" s="81"/>
      <c r="AA661" s="81"/>
      <c r="AB661" s="81"/>
      <c r="AC661" s="81"/>
      <c r="AD661" s="81"/>
      <c r="AE661" s="81"/>
      <c r="AF661" s="81"/>
      <c r="AG661" s="81"/>
      <c r="AH661" s="81"/>
    </row>
    <row r="662" spans="4:34" ht="14.25" customHeight="1"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  <c r="S662" s="81"/>
      <c r="T662" s="81"/>
      <c r="U662" s="81"/>
      <c r="V662" s="81"/>
      <c r="W662" s="81"/>
      <c r="X662" s="81"/>
      <c r="Y662" s="81"/>
      <c r="Z662" s="81"/>
      <c r="AA662" s="81"/>
      <c r="AB662" s="81"/>
      <c r="AC662" s="81"/>
      <c r="AD662" s="81"/>
      <c r="AE662" s="81"/>
      <c r="AF662" s="81"/>
      <c r="AG662" s="81"/>
      <c r="AH662" s="81"/>
    </row>
    <row r="663" spans="4:34" ht="14.25" customHeight="1">
      <c r="D663" s="81"/>
      <c r="E663" s="81"/>
      <c r="F663" s="81"/>
      <c r="G663" s="81"/>
      <c r="H663" s="81"/>
      <c r="I663" s="81"/>
      <c r="J663" s="81"/>
      <c r="K663" s="81"/>
      <c r="L663" s="81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81"/>
      <c r="Y663" s="81"/>
      <c r="Z663" s="81"/>
      <c r="AA663" s="81"/>
      <c r="AB663" s="81"/>
      <c r="AC663" s="81"/>
      <c r="AD663" s="81"/>
      <c r="AE663" s="81"/>
      <c r="AF663" s="81"/>
      <c r="AG663" s="81"/>
      <c r="AH663" s="81"/>
    </row>
    <row r="664" spans="4:34" ht="14.25" customHeight="1">
      <c r="D664" s="81"/>
      <c r="E664" s="81"/>
      <c r="F664" s="81"/>
      <c r="G664" s="81"/>
      <c r="H664" s="81"/>
      <c r="I664" s="81"/>
      <c r="J664" s="81"/>
      <c r="K664" s="81"/>
      <c r="L664" s="81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1"/>
      <c r="Y664" s="81"/>
      <c r="Z664" s="81"/>
      <c r="AA664" s="81"/>
      <c r="AB664" s="81"/>
      <c r="AC664" s="81"/>
      <c r="AD664" s="81"/>
      <c r="AE664" s="81"/>
      <c r="AF664" s="81"/>
      <c r="AG664" s="81"/>
      <c r="AH664" s="81"/>
    </row>
    <row r="665" spans="4:34" ht="14.25" customHeight="1">
      <c r="D665" s="81"/>
      <c r="E665" s="81"/>
      <c r="F665" s="81"/>
      <c r="G665" s="81"/>
      <c r="H665" s="81"/>
      <c r="I665" s="81"/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1"/>
      <c r="Y665" s="81"/>
      <c r="Z665" s="81"/>
      <c r="AA665" s="81"/>
      <c r="AB665" s="81"/>
      <c r="AC665" s="81"/>
      <c r="AD665" s="81"/>
      <c r="AE665" s="81"/>
      <c r="AF665" s="81"/>
      <c r="AG665" s="81"/>
      <c r="AH665" s="81"/>
    </row>
    <row r="666" spans="4:34" ht="14.25" customHeight="1"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1"/>
      <c r="Y666" s="81"/>
      <c r="Z666" s="81"/>
      <c r="AA666" s="81"/>
      <c r="AB666" s="81"/>
      <c r="AC666" s="81"/>
      <c r="AD666" s="81"/>
      <c r="AE666" s="81"/>
      <c r="AF666" s="81"/>
      <c r="AG666" s="81"/>
      <c r="AH666" s="81"/>
    </row>
    <row r="667" spans="4:34" ht="14.25" customHeight="1">
      <c r="D667" s="81"/>
      <c r="E667" s="81"/>
      <c r="F667" s="81"/>
      <c r="G667" s="81"/>
      <c r="H667" s="81"/>
      <c r="I667" s="81"/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1"/>
      <c r="Y667" s="81"/>
      <c r="Z667" s="81"/>
      <c r="AA667" s="81"/>
      <c r="AB667" s="81"/>
      <c r="AC667" s="81"/>
      <c r="AD667" s="81"/>
      <c r="AE667" s="81"/>
      <c r="AF667" s="81"/>
      <c r="AG667" s="81"/>
      <c r="AH667" s="81"/>
    </row>
    <row r="668" spans="4:34" ht="14.25" customHeight="1">
      <c r="D668" s="81"/>
      <c r="E668" s="81"/>
      <c r="F668" s="81"/>
      <c r="G668" s="81"/>
      <c r="H668" s="81"/>
      <c r="I668" s="81"/>
      <c r="J668" s="81"/>
      <c r="K668" s="81"/>
      <c r="L668" s="81"/>
      <c r="M668" s="81"/>
      <c r="N668" s="81"/>
      <c r="O668" s="81"/>
      <c r="P668" s="81"/>
      <c r="Q668" s="81"/>
      <c r="R668" s="81"/>
      <c r="S668" s="81"/>
      <c r="T668" s="81"/>
      <c r="U668" s="81"/>
      <c r="V668" s="81"/>
      <c r="W668" s="81"/>
      <c r="X668" s="81"/>
      <c r="Y668" s="81"/>
      <c r="Z668" s="81"/>
      <c r="AA668" s="81"/>
      <c r="AB668" s="81"/>
      <c r="AC668" s="81"/>
      <c r="AD668" s="81"/>
      <c r="AE668" s="81"/>
      <c r="AF668" s="81"/>
      <c r="AG668" s="81"/>
      <c r="AH668" s="81"/>
    </row>
    <row r="669" spans="4:34" ht="14.25" customHeight="1">
      <c r="D669" s="81"/>
      <c r="E669" s="81"/>
      <c r="F669" s="81"/>
      <c r="G669" s="81"/>
      <c r="H669" s="81"/>
      <c r="I669" s="81"/>
      <c r="J669" s="81"/>
      <c r="K669" s="81"/>
      <c r="L669" s="81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81"/>
      <c r="Y669" s="81"/>
      <c r="Z669" s="81"/>
      <c r="AA669" s="81"/>
      <c r="AB669" s="81"/>
      <c r="AC669" s="81"/>
      <c r="AD669" s="81"/>
      <c r="AE669" s="81"/>
      <c r="AF669" s="81"/>
      <c r="AG669" s="81"/>
      <c r="AH669" s="81"/>
    </row>
    <row r="670" spans="4:34" ht="14.25" customHeight="1"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  <c r="S670" s="81"/>
      <c r="T670" s="81"/>
      <c r="U670" s="81"/>
      <c r="V670" s="81"/>
      <c r="W670" s="81"/>
      <c r="X670" s="81"/>
      <c r="Y670" s="81"/>
      <c r="Z670" s="81"/>
      <c r="AA670" s="81"/>
      <c r="AB670" s="81"/>
      <c r="AC670" s="81"/>
      <c r="AD670" s="81"/>
      <c r="AE670" s="81"/>
      <c r="AF670" s="81"/>
      <c r="AG670" s="81"/>
      <c r="AH670" s="81"/>
    </row>
    <row r="671" spans="4:34" ht="14.25" customHeight="1">
      <c r="D671" s="81"/>
      <c r="E671" s="81"/>
      <c r="F671" s="81"/>
      <c r="G671" s="81"/>
      <c r="H671" s="81"/>
      <c r="I671" s="81"/>
      <c r="J671" s="81"/>
      <c r="K671" s="81"/>
      <c r="L671" s="81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81"/>
      <c r="Y671" s="81"/>
      <c r="Z671" s="81"/>
      <c r="AA671" s="81"/>
      <c r="AB671" s="81"/>
      <c r="AC671" s="81"/>
      <c r="AD671" s="81"/>
      <c r="AE671" s="81"/>
      <c r="AF671" s="81"/>
      <c r="AG671" s="81"/>
      <c r="AH671" s="81"/>
    </row>
    <row r="672" spans="4:34" ht="14.25" customHeight="1">
      <c r="D672" s="81"/>
      <c r="E672" s="81"/>
      <c r="F672" s="81"/>
      <c r="G672" s="81"/>
      <c r="H672" s="81"/>
      <c r="I672" s="81"/>
      <c r="J672" s="81"/>
      <c r="K672" s="81"/>
      <c r="L672" s="81"/>
      <c r="M672" s="81"/>
      <c r="N672" s="81"/>
      <c r="O672" s="81"/>
      <c r="P672" s="81"/>
      <c r="Q672" s="81"/>
      <c r="R672" s="81"/>
      <c r="S672" s="81"/>
      <c r="T672" s="81"/>
      <c r="U672" s="81"/>
      <c r="V672" s="81"/>
      <c r="W672" s="81"/>
      <c r="X672" s="81"/>
      <c r="Y672" s="81"/>
      <c r="Z672" s="81"/>
      <c r="AA672" s="81"/>
      <c r="AB672" s="81"/>
      <c r="AC672" s="81"/>
      <c r="AD672" s="81"/>
      <c r="AE672" s="81"/>
      <c r="AF672" s="81"/>
      <c r="AG672" s="81"/>
      <c r="AH672" s="81"/>
    </row>
    <row r="673" spans="4:34" ht="14.25" customHeight="1">
      <c r="D673" s="81"/>
      <c r="E673" s="81"/>
      <c r="F673" s="81"/>
      <c r="G673" s="81"/>
      <c r="H673" s="81"/>
      <c r="I673" s="81"/>
      <c r="J673" s="81"/>
      <c r="K673" s="81"/>
      <c r="L673" s="81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81"/>
      <c r="Y673" s="81"/>
      <c r="Z673" s="81"/>
      <c r="AA673" s="81"/>
      <c r="AB673" s="81"/>
      <c r="AC673" s="81"/>
      <c r="AD673" s="81"/>
      <c r="AE673" s="81"/>
      <c r="AF673" s="81"/>
      <c r="AG673" s="81"/>
      <c r="AH673" s="81"/>
    </row>
    <row r="674" spans="4:34" ht="14.25" customHeight="1"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  <c r="S674" s="81"/>
      <c r="T674" s="81"/>
      <c r="U674" s="81"/>
      <c r="V674" s="81"/>
      <c r="W674" s="81"/>
      <c r="X674" s="81"/>
      <c r="Y674" s="81"/>
      <c r="Z674" s="81"/>
      <c r="AA674" s="81"/>
      <c r="AB674" s="81"/>
      <c r="AC674" s="81"/>
      <c r="AD674" s="81"/>
      <c r="AE674" s="81"/>
      <c r="AF674" s="81"/>
      <c r="AG674" s="81"/>
      <c r="AH674" s="81"/>
    </row>
    <row r="675" spans="4:34" ht="14.25" customHeight="1">
      <c r="D675" s="81"/>
      <c r="E675" s="81"/>
      <c r="F675" s="81"/>
      <c r="G675" s="81"/>
      <c r="H675" s="81"/>
      <c r="I675" s="81"/>
      <c r="J675" s="81"/>
      <c r="K675" s="81"/>
      <c r="L675" s="81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81"/>
      <c r="Y675" s="81"/>
      <c r="Z675" s="81"/>
      <c r="AA675" s="81"/>
      <c r="AB675" s="81"/>
      <c r="AC675" s="81"/>
      <c r="AD675" s="81"/>
      <c r="AE675" s="81"/>
      <c r="AF675" s="81"/>
      <c r="AG675" s="81"/>
      <c r="AH675" s="81"/>
    </row>
    <row r="676" spans="4:34" ht="14.25" customHeight="1">
      <c r="D676" s="81"/>
      <c r="E676" s="81"/>
      <c r="F676" s="81"/>
      <c r="G676" s="81"/>
      <c r="H676" s="81"/>
      <c r="I676" s="81"/>
      <c r="J676" s="81"/>
      <c r="K676" s="81"/>
      <c r="L676" s="81"/>
      <c r="M676" s="81"/>
      <c r="N676" s="81"/>
      <c r="O676" s="81"/>
      <c r="P676" s="81"/>
      <c r="Q676" s="81"/>
      <c r="R676" s="81"/>
      <c r="S676" s="81"/>
      <c r="T676" s="81"/>
      <c r="U676" s="81"/>
      <c r="V676" s="81"/>
      <c r="W676" s="81"/>
      <c r="X676" s="81"/>
      <c r="Y676" s="81"/>
      <c r="Z676" s="81"/>
      <c r="AA676" s="81"/>
      <c r="AB676" s="81"/>
      <c r="AC676" s="81"/>
      <c r="AD676" s="81"/>
      <c r="AE676" s="81"/>
      <c r="AF676" s="81"/>
      <c r="AG676" s="81"/>
      <c r="AH676" s="81"/>
    </row>
    <row r="677" spans="4:34" ht="14.25" customHeight="1">
      <c r="D677" s="81"/>
      <c r="E677" s="81"/>
      <c r="F677" s="81"/>
      <c r="G677" s="81"/>
      <c r="H677" s="81"/>
      <c r="I677" s="81"/>
      <c r="J677" s="81"/>
      <c r="K677" s="81"/>
      <c r="L677" s="81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81"/>
      <c r="Y677" s="81"/>
      <c r="Z677" s="81"/>
      <c r="AA677" s="81"/>
      <c r="AB677" s="81"/>
      <c r="AC677" s="81"/>
      <c r="AD677" s="81"/>
      <c r="AE677" s="81"/>
      <c r="AF677" s="81"/>
      <c r="AG677" s="81"/>
      <c r="AH677" s="81"/>
    </row>
    <row r="678" spans="4:34" ht="14.25" customHeight="1"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  <c r="S678" s="81"/>
      <c r="T678" s="81"/>
      <c r="U678" s="81"/>
      <c r="V678" s="81"/>
      <c r="W678" s="81"/>
      <c r="X678" s="81"/>
      <c r="Y678" s="81"/>
      <c r="Z678" s="81"/>
      <c r="AA678" s="81"/>
      <c r="AB678" s="81"/>
      <c r="AC678" s="81"/>
      <c r="AD678" s="81"/>
      <c r="AE678" s="81"/>
      <c r="AF678" s="81"/>
      <c r="AG678" s="81"/>
      <c r="AH678" s="81"/>
    </row>
    <row r="679" spans="4:34" ht="14.25" customHeight="1">
      <c r="D679" s="81"/>
      <c r="E679" s="81"/>
      <c r="F679" s="81"/>
      <c r="G679" s="81"/>
      <c r="H679" s="81"/>
      <c r="I679" s="81"/>
      <c r="J679" s="81"/>
      <c r="K679" s="81"/>
      <c r="L679" s="81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81"/>
      <c r="Y679" s="81"/>
      <c r="Z679" s="81"/>
      <c r="AA679" s="81"/>
      <c r="AB679" s="81"/>
      <c r="AC679" s="81"/>
      <c r="AD679" s="81"/>
      <c r="AE679" s="81"/>
      <c r="AF679" s="81"/>
      <c r="AG679" s="81"/>
      <c r="AH679" s="81"/>
    </row>
    <row r="680" spans="4:34" ht="14.25" customHeight="1">
      <c r="D680" s="81"/>
      <c r="E680" s="81"/>
      <c r="F680" s="81"/>
      <c r="G680" s="81"/>
      <c r="H680" s="81"/>
      <c r="I680" s="81"/>
      <c r="J680" s="81"/>
      <c r="K680" s="81"/>
      <c r="L680" s="81"/>
      <c r="M680" s="81"/>
      <c r="N680" s="81"/>
      <c r="O680" s="81"/>
      <c r="P680" s="81"/>
      <c r="Q680" s="81"/>
      <c r="R680" s="81"/>
      <c r="S680" s="81"/>
      <c r="T680" s="81"/>
      <c r="U680" s="81"/>
      <c r="V680" s="81"/>
      <c r="W680" s="81"/>
      <c r="X680" s="81"/>
      <c r="Y680" s="81"/>
      <c r="Z680" s="81"/>
      <c r="AA680" s="81"/>
      <c r="AB680" s="81"/>
      <c r="AC680" s="81"/>
      <c r="AD680" s="81"/>
      <c r="AE680" s="81"/>
      <c r="AF680" s="81"/>
      <c r="AG680" s="81"/>
      <c r="AH680" s="81"/>
    </row>
    <row r="681" spans="4:34" ht="14.25" customHeight="1">
      <c r="D681" s="81"/>
      <c r="E681" s="81"/>
      <c r="F681" s="81"/>
      <c r="G681" s="81"/>
      <c r="H681" s="81"/>
      <c r="I681" s="81"/>
      <c r="J681" s="81"/>
      <c r="K681" s="81"/>
      <c r="L681" s="81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81"/>
      <c r="Y681" s="81"/>
      <c r="Z681" s="81"/>
      <c r="AA681" s="81"/>
      <c r="AB681" s="81"/>
      <c r="AC681" s="81"/>
      <c r="AD681" s="81"/>
      <c r="AE681" s="81"/>
      <c r="AF681" s="81"/>
      <c r="AG681" s="81"/>
      <c r="AH681" s="81"/>
    </row>
    <row r="682" spans="4:34" ht="14.25" customHeight="1"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  <c r="S682" s="81"/>
      <c r="T682" s="81"/>
      <c r="U682" s="81"/>
      <c r="V682" s="81"/>
      <c r="W682" s="81"/>
      <c r="X682" s="81"/>
      <c r="Y682" s="81"/>
      <c r="Z682" s="81"/>
      <c r="AA682" s="81"/>
      <c r="AB682" s="81"/>
      <c r="AC682" s="81"/>
      <c r="AD682" s="81"/>
      <c r="AE682" s="81"/>
      <c r="AF682" s="81"/>
      <c r="AG682" s="81"/>
      <c r="AH682" s="81"/>
    </row>
    <row r="683" spans="4:34" ht="14.25" customHeight="1">
      <c r="D683" s="81"/>
      <c r="E683" s="81"/>
      <c r="F683" s="81"/>
      <c r="G683" s="81"/>
      <c r="H683" s="81"/>
      <c r="I683" s="81"/>
      <c r="J683" s="81"/>
      <c r="K683" s="81"/>
      <c r="L683" s="81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81"/>
      <c r="Y683" s="81"/>
      <c r="Z683" s="81"/>
      <c r="AA683" s="81"/>
      <c r="AB683" s="81"/>
      <c r="AC683" s="81"/>
      <c r="AD683" s="81"/>
      <c r="AE683" s="81"/>
      <c r="AF683" s="81"/>
      <c r="AG683" s="81"/>
      <c r="AH683" s="81"/>
    </row>
    <row r="684" spans="4:34" ht="14.25" customHeight="1">
      <c r="D684" s="81"/>
      <c r="E684" s="81"/>
      <c r="F684" s="81"/>
      <c r="G684" s="81"/>
      <c r="H684" s="81"/>
      <c r="I684" s="81"/>
      <c r="J684" s="81"/>
      <c r="K684" s="81"/>
      <c r="L684" s="81"/>
      <c r="M684" s="81"/>
      <c r="N684" s="81"/>
      <c r="O684" s="81"/>
      <c r="P684" s="81"/>
      <c r="Q684" s="81"/>
      <c r="R684" s="81"/>
      <c r="S684" s="81"/>
      <c r="T684" s="81"/>
      <c r="U684" s="81"/>
      <c r="V684" s="81"/>
      <c r="W684" s="81"/>
      <c r="X684" s="81"/>
      <c r="Y684" s="81"/>
      <c r="Z684" s="81"/>
      <c r="AA684" s="81"/>
      <c r="AB684" s="81"/>
      <c r="AC684" s="81"/>
      <c r="AD684" s="81"/>
      <c r="AE684" s="81"/>
      <c r="AF684" s="81"/>
      <c r="AG684" s="81"/>
      <c r="AH684" s="81"/>
    </row>
    <row r="685" spans="4:34" ht="14.25" customHeight="1">
      <c r="D685" s="81"/>
      <c r="E685" s="81"/>
      <c r="F685" s="81"/>
      <c r="G685" s="81"/>
      <c r="H685" s="81"/>
      <c r="I685" s="81"/>
      <c r="J685" s="81"/>
      <c r="K685" s="81"/>
      <c r="L685" s="81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81"/>
      <c r="Y685" s="81"/>
      <c r="Z685" s="81"/>
      <c r="AA685" s="81"/>
      <c r="AB685" s="81"/>
      <c r="AC685" s="81"/>
      <c r="AD685" s="81"/>
      <c r="AE685" s="81"/>
      <c r="AF685" s="81"/>
      <c r="AG685" s="81"/>
      <c r="AH685" s="81"/>
    </row>
    <row r="686" spans="4:34" ht="14.25" customHeight="1"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  <c r="S686" s="81"/>
      <c r="T686" s="81"/>
      <c r="U686" s="81"/>
      <c r="V686" s="81"/>
      <c r="W686" s="81"/>
      <c r="X686" s="81"/>
      <c r="Y686" s="81"/>
      <c r="Z686" s="81"/>
      <c r="AA686" s="81"/>
      <c r="AB686" s="81"/>
      <c r="AC686" s="81"/>
      <c r="AD686" s="81"/>
      <c r="AE686" s="81"/>
      <c r="AF686" s="81"/>
      <c r="AG686" s="81"/>
      <c r="AH686" s="81"/>
    </row>
    <row r="687" spans="4:34" ht="14.25" customHeight="1">
      <c r="D687" s="81"/>
      <c r="E687" s="81"/>
      <c r="F687" s="81"/>
      <c r="G687" s="81"/>
      <c r="H687" s="81"/>
      <c r="I687" s="81"/>
      <c r="J687" s="81"/>
      <c r="K687" s="81"/>
      <c r="L687" s="81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81"/>
      <c r="Y687" s="81"/>
      <c r="Z687" s="81"/>
      <c r="AA687" s="81"/>
      <c r="AB687" s="81"/>
      <c r="AC687" s="81"/>
      <c r="AD687" s="81"/>
      <c r="AE687" s="81"/>
      <c r="AF687" s="81"/>
      <c r="AG687" s="81"/>
      <c r="AH687" s="81"/>
    </row>
    <row r="688" spans="4:34" ht="14.25" customHeight="1">
      <c r="D688" s="81"/>
      <c r="E688" s="81"/>
      <c r="F688" s="81"/>
      <c r="G688" s="81"/>
      <c r="H688" s="81"/>
      <c r="I688" s="81"/>
      <c r="J688" s="81"/>
      <c r="K688" s="81"/>
      <c r="L688" s="81"/>
      <c r="M688" s="81"/>
      <c r="N688" s="81"/>
      <c r="O688" s="81"/>
      <c r="P688" s="81"/>
      <c r="Q688" s="81"/>
      <c r="R688" s="81"/>
      <c r="S688" s="81"/>
      <c r="T688" s="81"/>
      <c r="U688" s="81"/>
      <c r="V688" s="81"/>
      <c r="W688" s="81"/>
      <c r="X688" s="81"/>
      <c r="Y688" s="81"/>
      <c r="Z688" s="81"/>
      <c r="AA688" s="81"/>
      <c r="AB688" s="81"/>
      <c r="AC688" s="81"/>
      <c r="AD688" s="81"/>
      <c r="AE688" s="81"/>
      <c r="AF688" s="81"/>
      <c r="AG688" s="81"/>
      <c r="AH688" s="81"/>
    </row>
    <row r="689" spans="4:34" ht="14.25" customHeight="1">
      <c r="D689" s="81"/>
      <c r="E689" s="81"/>
      <c r="F689" s="81"/>
      <c r="G689" s="81"/>
      <c r="H689" s="81"/>
      <c r="I689" s="81"/>
      <c r="J689" s="81"/>
      <c r="K689" s="81"/>
      <c r="L689" s="81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81"/>
      <c r="Y689" s="81"/>
      <c r="Z689" s="81"/>
      <c r="AA689" s="81"/>
      <c r="AB689" s="81"/>
      <c r="AC689" s="81"/>
      <c r="AD689" s="81"/>
      <c r="AE689" s="81"/>
      <c r="AF689" s="81"/>
      <c r="AG689" s="81"/>
      <c r="AH689" s="81"/>
    </row>
    <row r="690" spans="4:34" ht="14.25" customHeight="1"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  <c r="S690" s="81"/>
      <c r="T690" s="81"/>
      <c r="U690" s="81"/>
      <c r="V690" s="81"/>
      <c r="W690" s="81"/>
      <c r="X690" s="81"/>
      <c r="Y690" s="81"/>
      <c r="Z690" s="81"/>
      <c r="AA690" s="81"/>
      <c r="AB690" s="81"/>
      <c r="AC690" s="81"/>
      <c r="AD690" s="81"/>
      <c r="AE690" s="81"/>
      <c r="AF690" s="81"/>
      <c r="AG690" s="81"/>
      <c r="AH690" s="81"/>
    </row>
    <row r="691" spans="4:34" ht="14.25" customHeight="1">
      <c r="D691" s="81"/>
      <c r="E691" s="81"/>
      <c r="F691" s="81"/>
      <c r="G691" s="81"/>
      <c r="H691" s="81"/>
      <c r="I691" s="81"/>
      <c r="J691" s="81"/>
      <c r="K691" s="81"/>
      <c r="L691" s="81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81"/>
      <c r="Y691" s="81"/>
      <c r="Z691" s="81"/>
      <c r="AA691" s="81"/>
      <c r="AB691" s="81"/>
      <c r="AC691" s="81"/>
      <c r="AD691" s="81"/>
      <c r="AE691" s="81"/>
      <c r="AF691" s="81"/>
      <c r="AG691" s="81"/>
      <c r="AH691" s="81"/>
    </row>
    <row r="692" spans="4:34" ht="14.25" customHeight="1">
      <c r="D692" s="81"/>
      <c r="E692" s="81"/>
      <c r="F692" s="81"/>
      <c r="G692" s="81"/>
      <c r="H692" s="81"/>
      <c r="I692" s="81"/>
      <c r="J692" s="81"/>
      <c r="K692" s="81"/>
      <c r="L692" s="81"/>
      <c r="M692" s="81"/>
      <c r="N692" s="81"/>
      <c r="O692" s="81"/>
      <c r="P692" s="81"/>
      <c r="Q692" s="81"/>
      <c r="R692" s="81"/>
      <c r="S692" s="81"/>
      <c r="T692" s="81"/>
      <c r="U692" s="81"/>
      <c r="V692" s="81"/>
      <c r="W692" s="81"/>
      <c r="X692" s="81"/>
      <c r="Y692" s="81"/>
      <c r="Z692" s="81"/>
      <c r="AA692" s="81"/>
      <c r="AB692" s="81"/>
      <c r="AC692" s="81"/>
      <c r="AD692" s="81"/>
      <c r="AE692" s="81"/>
      <c r="AF692" s="81"/>
      <c r="AG692" s="81"/>
      <c r="AH692" s="81"/>
    </row>
    <row r="693" spans="4:34" ht="14.25" customHeight="1">
      <c r="D693" s="81"/>
      <c r="E693" s="81"/>
      <c r="F693" s="81"/>
      <c r="G693" s="81"/>
      <c r="H693" s="81"/>
      <c r="I693" s="81"/>
      <c r="J693" s="81"/>
      <c r="K693" s="81"/>
      <c r="L693" s="81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81"/>
      <c r="Y693" s="81"/>
      <c r="Z693" s="81"/>
      <c r="AA693" s="81"/>
      <c r="AB693" s="81"/>
      <c r="AC693" s="81"/>
      <c r="AD693" s="81"/>
      <c r="AE693" s="81"/>
      <c r="AF693" s="81"/>
      <c r="AG693" s="81"/>
      <c r="AH693" s="81"/>
    </row>
    <row r="694" spans="4:34" ht="14.25" customHeight="1"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  <c r="S694" s="81"/>
      <c r="T694" s="81"/>
      <c r="U694" s="81"/>
      <c r="V694" s="81"/>
      <c r="W694" s="81"/>
      <c r="X694" s="81"/>
      <c r="Y694" s="81"/>
      <c r="Z694" s="81"/>
      <c r="AA694" s="81"/>
      <c r="AB694" s="81"/>
      <c r="AC694" s="81"/>
      <c r="AD694" s="81"/>
      <c r="AE694" s="81"/>
      <c r="AF694" s="81"/>
      <c r="AG694" s="81"/>
      <c r="AH694" s="81"/>
    </row>
    <row r="695" spans="4:34" ht="14.25" customHeight="1">
      <c r="D695" s="81"/>
      <c r="E695" s="81"/>
      <c r="F695" s="81"/>
      <c r="G695" s="81"/>
      <c r="H695" s="81"/>
      <c r="I695" s="81"/>
      <c r="J695" s="81"/>
      <c r="K695" s="81"/>
      <c r="L695" s="81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81"/>
      <c r="Y695" s="81"/>
      <c r="Z695" s="81"/>
      <c r="AA695" s="81"/>
      <c r="AB695" s="81"/>
      <c r="AC695" s="81"/>
      <c r="AD695" s="81"/>
      <c r="AE695" s="81"/>
      <c r="AF695" s="81"/>
      <c r="AG695" s="81"/>
      <c r="AH695" s="81"/>
    </row>
    <row r="696" spans="4:34" ht="14.25" customHeight="1">
      <c r="D696" s="81"/>
      <c r="E696" s="81"/>
      <c r="F696" s="81"/>
      <c r="G696" s="81"/>
      <c r="H696" s="81"/>
      <c r="I696" s="81"/>
      <c r="J696" s="81"/>
      <c r="K696" s="81"/>
      <c r="L696" s="81"/>
      <c r="M696" s="81"/>
      <c r="N696" s="81"/>
      <c r="O696" s="81"/>
      <c r="P696" s="81"/>
      <c r="Q696" s="81"/>
      <c r="R696" s="81"/>
      <c r="S696" s="81"/>
      <c r="T696" s="81"/>
      <c r="U696" s="81"/>
      <c r="V696" s="81"/>
      <c r="W696" s="81"/>
      <c r="X696" s="81"/>
      <c r="Y696" s="81"/>
      <c r="Z696" s="81"/>
      <c r="AA696" s="81"/>
      <c r="AB696" s="81"/>
      <c r="AC696" s="81"/>
      <c r="AD696" s="81"/>
      <c r="AE696" s="81"/>
      <c r="AF696" s="81"/>
      <c r="AG696" s="81"/>
      <c r="AH696" s="81"/>
    </row>
    <row r="697" spans="4:34" ht="14.25" customHeight="1">
      <c r="D697" s="81"/>
      <c r="E697" s="81"/>
      <c r="F697" s="81"/>
      <c r="G697" s="81"/>
      <c r="H697" s="81"/>
      <c r="I697" s="81"/>
      <c r="J697" s="81"/>
      <c r="K697" s="81"/>
      <c r="L697" s="81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81"/>
      <c r="Y697" s="81"/>
      <c r="Z697" s="81"/>
      <c r="AA697" s="81"/>
      <c r="AB697" s="81"/>
      <c r="AC697" s="81"/>
      <c r="AD697" s="81"/>
      <c r="AE697" s="81"/>
      <c r="AF697" s="81"/>
      <c r="AG697" s="81"/>
      <c r="AH697" s="81"/>
    </row>
    <row r="698" spans="4:34" ht="14.25" customHeight="1"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  <c r="S698" s="81"/>
      <c r="T698" s="81"/>
      <c r="U698" s="81"/>
      <c r="V698" s="81"/>
      <c r="W698" s="81"/>
      <c r="X698" s="81"/>
      <c r="Y698" s="81"/>
      <c r="Z698" s="81"/>
      <c r="AA698" s="81"/>
      <c r="AB698" s="81"/>
      <c r="AC698" s="81"/>
      <c r="AD698" s="81"/>
      <c r="AE698" s="81"/>
      <c r="AF698" s="81"/>
      <c r="AG698" s="81"/>
      <c r="AH698" s="81"/>
    </row>
    <row r="699" spans="4:34" ht="14.25" customHeight="1">
      <c r="D699" s="81"/>
      <c r="E699" s="81"/>
      <c r="F699" s="81"/>
      <c r="G699" s="81"/>
      <c r="H699" s="81"/>
      <c r="I699" s="81"/>
      <c r="J699" s="81"/>
      <c r="K699" s="81"/>
      <c r="L699" s="81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81"/>
      <c r="Y699" s="81"/>
      <c r="Z699" s="81"/>
      <c r="AA699" s="81"/>
      <c r="AB699" s="81"/>
      <c r="AC699" s="81"/>
      <c r="AD699" s="81"/>
      <c r="AE699" s="81"/>
      <c r="AF699" s="81"/>
      <c r="AG699" s="81"/>
      <c r="AH699" s="81"/>
    </row>
    <row r="700" spans="4:34" ht="14.25" customHeight="1">
      <c r="D700" s="81"/>
      <c r="E700" s="81"/>
      <c r="F700" s="81"/>
      <c r="G700" s="81"/>
      <c r="H700" s="81"/>
      <c r="I700" s="81"/>
      <c r="J700" s="81"/>
      <c r="K700" s="81"/>
      <c r="L700" s="81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1"/>
      <c r="Y700" s="81"/>
      <c r="Z700" s="81"/>
      <c r="AA700" s="81"/>
      <c r="AB700" s="81"/>
      <c r="AC700" s="81"/>
      <c r="AD700" s="81"/>
      <c r="AE700" s="81"/>
      <c r="AF700" s="81"/>
      <c r="AG700" s="81"/>
      <c r="AH700" s="81"/>
    </row>
    <row r="701" spans="4:34" ht="14.25" customHeight="1">
      <c r="D701" s="81"/>
      <c r="E701" s="81"/>
      <c r="F701" s="81"/>
      <c r="G701" s="81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1"/>
      <c r="Y701" s="81"/>
      <c r="Z701" s="81"/>
      <c r="AA701" s="81"/>
      <c r="AB701" s="81"/>
      <c r="AC701" s="81"/>
      <c r="AD701" s="81"/>
      <c r="AE701" s="81"/>
      <c r="AF701" s="81"/>
      <c r="AG701" s="81"/>
      <c r="AH701" s="81"/>
    </row>
    <row r="702" spans="4:34" ht="14.25" customHeight="1"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1"/>
      <c r="Y702" s="81"/>
      <c r="Z702" s="81"/>
      <c r="AA702" s="81"/>
      <c r="AB702" s="81"/>
      <c r="AC702" s="81"/>
      <c r="AD702" s="81"/>
      <c r="AE702" s="81"/>
      <c r="AF702" s="81"/>
      <c r="AG702" s="81"/>
      <c r="AH702" s="81"/>
    </row>
    <row r="703" spans="4:34" ht="14.25" customHeight="1">
      <c r="D703" s="81"/>
      <c r="E703" s="81"/>
      <c r="F703" s="81"/>
      <c r="G703" s="81"/>
      <c r="H703" s="81"/>
      <c r="I703" s="81"/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1"/>
      <c r="Y703" s="81"/>
      <c r="Z703" s="81"/>
      <c r="AA703" s="81"/>
      <c r="AB703" s="81"/>
      <c r="AC703" s="81"/>
      <c r="AD703" s="81"/>
      <c r="AE703" s="81"/>
      <c r="AF703" s="81"/>
      <c r="AG703" s="81"/>
      <c r="AH703" s="81"/>
    </row>
    <row r="704" spans="4:34" ht="14.25" customHeight="1">
      <c r="D704" s="81"/>
      <c r="E704" s="81"/>
      <c r="F704" s="81"/>
      <c r="G704" s="81"/>
      <c r="H704" s="81"/>
      <c r="I704" s="81"/>
      <c r="J704" s="81"/>
      <c r="K704" s="81"/>
      <c r="L704" s="81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1"/>
      <c r="Y704" s="81"/>
      <c r="Z704" s="81"/>
      <c r="AA704" s="81"/>
      <c r="AB704" s="81"/>
      <c r="AC704" s="81"/>
      <c r="AD704" s="81"/>
      <c r="AE704" s="81"/>
      <c r="AF704" s="81"/>
      <c r="AG704" s="81"/>
      <c r="AH704" s="81"/>
    </row>
    <row r="705" spans="4:34" ht="14.25" customHeight="1">
      <c r="D705" s="81"/>
      <c r="E705" s="81"/>
      <c r="F705" s="81"/>
      <c r="G705" s="81"/>
      <c r="H705" s="81"/>
      <c r="I705" s="81"/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1"/>
      <c r="Y705" s="81"/>
      <c r="Z705" s="81"/>
      <c r="AA705" s="81"/>
      <c r="AB705" s="81"/>
      <c r="AC705" s="81"/>
      <c r="AD705" s="81"/>
      <c r="AE705" s="81"/>
      <c r="AF705" s="81"/>
      <c r="AG705" s="81"/>
      <c r="AH705" s="81"/>
    </row>
    <row r="706" spans="4:34" ht="14.25" customHeight="1"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1"/>
      <c r="Y706" s="81"/>
      <c r="Z706" s="81"/>
      <c r="AA706" s="81"/>
      <c r="AB706" s="81"/>
      <c r="AC706" s="81"/>
      <c r="AD706" s="81"/>
      <c r="AE706" s="81"/>
      <c r="AF706" s="81"/>
      <c r="AG706" s="81"/>
      <c r="AH706" s="81"/>
    </row>
    <row r="707" spans="4:34" ht="14.25" customHeight="1">
      <c r="D707" s="81"/>
      <c r="E707" s="81"/>
      <c r="F707" s="81"/>
      <c r="G707" s="81"/>
      <c r="H707" s="81"/>
      <c r="I707" s="81"/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1"/>
      <c r="Y707" s="81"/>
      <c r="Z707" s="81"/>
      <c r="AA707" s="81"/>
      <c r="AB707" s="81"/>
      <c r="AC707" s="81"/>
      <c r="AD707" s="81"/>
      <c r="AE707" s="81"/>
      <c r="AF707" s="81"/>
      <c r="AG707" s="81"/>
      <c r="AH707" s="81"/>
    </row>
    <row r="708" spans="4:34" ht="14.25" customHeight="1">
      <c r="D708" s="81"/>
      <c r="E708" s="81"/>
      <c r="F708" s="81"/>
      <c r="G708" s="81"/>
      <c r="H708" s="81"/>
      <c r="I708" s="81"/>
      <c r="J708" s="81"/>
      <c r="K708" s="81"/>
      <c r="L708" s="81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1"/>
      <c r="Y708" s="81"/>
      <c r="Z708" s="81"/>
      <c r="AA708" s="81"/>
      <c r="AB708" s="81"/>
      <c r="AC708" s="81"/>
      <c r="AD708" s="81"/>
      <c r="AE708" s="81"/>
      <c r="AF708" s="81"/>
      <c r="AG708" s="81"/>
      <c r="AH708" s="81"/>
    </row>
    <row r="709" spans="4:34" ht="14.25" customHeight="1">
      <c r="D709" s="81"/>
      <c r="E709" s="81"/>
      <c r="F709" s="81"/>
      <c r="G709" s="81"/>
      <c r="H709" s="81"/>
      <c r="I709" s="81"/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1"/>
      <c r="Y709" s="81"/>
      <c r="Z709" s="81"/>
      <c r="AA709" s="81"/>
      <c r="AB709" s="81"/>
      <c r="AC709" s="81"/>
      <c r="AD709" s="81"/>
      <c r="AE709" s="81"/>
      <c r="AF709" s="81"/>
      <c r="AG709" s="81"/>
      <c r="AH709" s="81"/>
    </row>
    <row r="710" spans="4:34" ht="14.25" customHeight="1"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1"/>
      <c r="Y710" s="81"/>
      <c r="Z710" s="81"/>
      <c r="AA710" s="81"/>
      <c r="AB710" s="81"/>
      <c r="AC710" s="81"/>
      <c r="AD710" s="81"/>
      <c r="AE710" s="81"/>
      <c r="AF710" s="81"/>
      <c r="AG710" s="81"/>
      <c r="AH710" s="81"/>
    </row>
    <row r="711" spans="4:34" ht="14.25" customHeight="1">
      <c r="D711" s="81"/>
      <c r="E711" s="81"/>
      <c r="F711" s="81"/>
      <c r="G711" s="81"/>
      <c r="H711" s="81"/>
      <c r="I711" s="81"/>
      <c r="J711" s="81"/>
      <c r="K711" s="81"/>
      <c r="L711" s="81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81"/>
      <c r="Y711" s="81"/>
      <c r="Z711" s="81"/>
      <c r="AA711" s="81"/>
      <c r="AB711" s="81"/>
      <c r="AC711" s="81"/>
      <c r="AD711" s="81"/>
      <c r="AE711" s="81"/>
      <c r="AF711" s="81"/>
      <c r="AG711" s="81"/>
      <c r="AH711" s="81"/>
    </row>
    <row r="712" spans="4:34" ht="14.25" customHeight="1">
      <c r="D712" s="81"/>
      <c r="E712" s="81"/>
      <c r="F712" s="81"/>
      <c r="G712" s="81"/>
      <c r="H712" s="81"/>
      <c r="I712" s="81"/>
      <c r="J712" s="81"/>
      <c r="K712" s="81"/>
      <c r="L712" s="81"/>
      <c r="M712" s="81"/>
      <c r="N712" s="81"/>
      <c r="O712" s="81"/>
      <c r="P712" s="81"/>
      <c r="Q712" s="81"/>
      <c r="R712" s="81"/>
      <c r="S712" s="81"/>
      <c r="T712" s="81"/>
      <c r="U712" s="81"/>
      <c r="V712" s="81"/>
      <c r="W712" s="81"/>
      <c r="X712" s="81"/>
      <c r="Y712" s="81"/>
      <c r="Z712" s="81"/>
      <c r="AA712" s="81"/>
      <c r="AB712" s="81"/>
      <c r="AC712" s="81"/>
      <c r="AD712" s="81"/>
      <c r="AE712" s="81"/>
      <c r="AF712" s="81"/>
      <c r="AG712" s="81"/>
      <c r="AH712" s="81"/>
    </row>
    <row r="713" spans="4:34" ht="14.25" customHeight="1">
      <c r="D713" s="81"/>
      <c r="E713" s="81"/>
      <c r="F713" s="81"/>
      <c r="G713" s="81"/>
      <c r="H713" s="81"/>
      <c r="I713" s="81"/>
      <c r="J713" s="81"/>
      <c r="K713" s="81"/>
      <c r="L713" s="81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81"/>
      <c r="Y713" s="81"/>
      <c r="Z713" s="81"/>
      <c r="AA713" s="81"/>
      <c r="AB713" s="81"/>
      <c r="AC713" s="81"/>
      <c r="AD713" s="81"/>
      <c r="AE713" s="81"/>
      <c r="AF713" s="81"/>
      <c r="AG713" s="81"/>
      <c r="AH713" s="81"/>
    </row>
    <row r="714" spans="4:34" ht="14.25" customHeight="1"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  <c r="S714" s="81"/>
      <c r="T714" s="81"/>
      <c r="U714" s="81"/>
      <c r="V714" s="81"/>
      <c r="W714" s="81"/>
      <c r="X714" s="81"/>
      <c r="Y714" s="81"/>
      <c r="Z714" s="81"/>
      <c r="AA714" s="81"/>
      <c r="AB714" s="81"/>
      <c r="AC714" s="81"/>
      <c r="AD714" s="81"/>
      <c r="AE714" s="81"/>
      <c r="AF714" s="81"/>
      <c r="AG714" s="81"/>
      <c r="AH714" s="81"/>
    </row>
    <row r="715" spans="4:34" ht="14.25" customHeight="1">
      <c r="D715" s="81"/>
      <c r="E715" s="81"/>
      <c r="F715" s="81"/>
      <c r="G715" s="81"/>
      <c r="H715" s="81"/>
      <c r="I715" s="81"/>
      <c r="J715" s="81"/>
      <c r="K715" s="81"/>
      <c r="L715" s="81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81"/>
      <c r="Y715" s="81"/>
      <c r="Z715" s="81"/>
      <c r="AA715" s="81"/>
      <c r="AB715" s="81"/>
      <c r="AC715" s="81"/>
      <c r="AD715" s="81"/>
      <c r="AE715" s="81"/>
      <c r="AF715" s="81"/>
      <c r="AG715" s="81"/>
      <c r="AH715" s="81"/>
    </row>
    <row r="716" spans="4:34" ht="14.25" customHeight="1">
      <c r="D716" s="81"/>
      <c r="E716" s="81"/>
      <c r="F716" s="81"/>
      <c r="G716" s="81"/>
      <c r="H716" s="81"/>
      <c r="I716" s="81"/>
      <c r="J716" s="81"/>
      <c r="K716" s="81"/>
      <c r="L716" s="81"/>
      <c r="M716" s="81"/>
      <c r="N716" s="81"/>
      <c r="O716" s="81"/>
      <c r="P716" s="81"/>
      <c r="Q716" s="81"/>
      <c r="R716" s="81"/>
      <c r="S716" s="81"/>
      <c r="T716" s="81"/>
      <c r="U716" s="81"/>
      <c r="V716" s="81"/>
      <c r="W716" s="81"/>
      <c r="X716" s="81"/>
      <c r="Y716" s="81"/>
      <c r="Z716" s="81"/>
      <c r="AA716" s="81"/>
      <c r="AB716" s="81"/>
      <c r="AC716" s="81"/>
      <c r="AD716" s="81"/>
      <c r="AE716" s="81"/>
      <c r="AF716" s="81"/>
      <c r="AG716" s="81"/>
      <c r="AH716" s="81"/>
    </row>
    <row r="717" spans="4:34" ht="14.25" customHeight="1">
      <c r="D717" s="81"/>
      <c r="E717" s="81"/>
      <c r="F717" s="81"/>
      <c r="G717" s="81"/>
      <c r="H717" s="81"/>
      <c r="I717" s="81"/>
      <c r="J717" s="81"/>
      <c r="K717" s="81"/>
      <c r="L717" s="81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81"/>
      <c r="Y717" s="81"/>
      <c r="Z717" s="81"/>
      <c r="AA717" s="81"/>
      <c r="AB717" s="81"/>
      <c r="AC717" s="81"/>
      <c r="AD717" s="81"/>
      <c r="AE717" s="81"/>
      <c r="AF717" s="81"/>
      <c r="AG717" s="81"/>
      <c r="AH717" s="81"/>
    </row>
    <row r="718" spans="4:34" ht="14.25" customHeight="1"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  <c r="S718" s="81"/>
      <c r="T718" s="81"/>
      <c r="U718" s="81"/>
      <c r="V718" s="81"/>
      <c r="W718" s="81"/>
      <c r="X718" s="81"/>
      <c r="Y718" s="81"/>
      <c r="Z718" s="81"/>
      <c r="AA718" s="81"/>
      <c r="AB718" s="81"/>
      <c r="AC718" s="81"/>
      <c r="AD718" s="81"/>
      <c r="AE718" s="81"/>
      <c r="AF718" s="81"/>
      <c r="AG718" s="81"/>
      <c r="AH718" s="81"/>
    </row>
    <row r="719" spans="4:34" ht="14.25" customHeight="1">
      <c r="D719" s="81"/>
      <c r="E719" s="81"/>
      <c r="F719" s="81"/>
      <c r="G719" s="81"/>
      <c r="H719" s="81"/>
      <c r="I719" s="81"/>
      <c r="J719" s="81"/>
      <c r="K719" s="81"/>
      <c r="L719" s="81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81"/>
      <c r="Y719" s="81"/>
      <c r="Z719" s="81"/>
      <c r="AA719" s="81"/>
      <c r="AB719" s="81"/>
      <c r="AC719" s="81"/>
      <c r="AD719" s="81"/>
      <c r="AE719" s="81"/>
      <c r="AF719" s="81"/>
      <c r="AG719" s="81"/>
      <c r="AH719" s="81"/>
    </row>
    <row r="720" spans="4:34" ht="14.25" customHeight="1">
      <c r="D720" s="81"/>
      <c r="E720" s="81"/>
      <c r="F720" s="81"/>
      <c r="G720" s="81"/>
      <c r="H720" s="81"/>
      <c r="I720" s="81"/>
      <c r="J720" s="81"/>
      <c r="K720" s="81"/>
      <c r="L720" s="81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1"/>
      <c r="Y720" s="81"/>
      <c r="Z720" s="81"/>
      <c r="AA720" s="81"/>
      <c r="AB720" s="81"/>
      <c r="AC720" s="81"/>
      <c r="AD720" s="81"/>
      <c r="AE720" s="81"/>
      <c r="AF720" s="81"/>
      <c r="AG720" s="81"/>
      <c r="AH720" s="81"/>
    </row>
    <row r="721" spans="4:34" ht="14.25" customHeight="1">
      <c r="D721" s="81"/>
      <c r="E721" s="81"/>
      <c r="F721" s="81"/>
      <c r="G721" s="81"/>
      <c r="H721" s="81"/>
      <c r="I721" s="81"/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1"/>
      <c r="Y721" s="81"/>
      <c r="Z721" s="81"/>
      <c r="AA721" s="81"/>
      <c r="AB721" s="81"/>
      <c r="AC721" s="81"/>
      <c r="AD721" s="81"/>
      <c r="AE721" s="81"/>
      <c r="AF721" s="81"/>
      <c r="AG721" s="81"/>
      <c r="AH721" s="81"/>
    </row>
    <row r="722" spans="4:34" ht="14.25" customHeight="1"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1"/>
      <c r="Y722" s="81"/>
      <c r="Z722" s="81"/>
      <c r="AA722" s="81"/>
      <c r="AB722" s="81"/>
      <c r="AC722" s="81"/>
      <c r="AD722" s="81"/>
      <c r="AE722" s="81"/>
      <c r="AF722" s="81"/>
      <c r="AG722" s="81"/>
      <c r="AH722" s="81"/>
    </row>
    <row r="723" spans="4:34" ht="14.25" customHeight="1">
      <c r="D723" s="81"/>
      <c r="E723" s="81"/>
      <c r="F723" s="81"/>
      <c r="G723" s="81"/>
      <c r="H723" s="81"/>
      <c r="I723" s="81"/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1"/>
      <c r="Y723" s="81"/>
      <c r="Z723" s="81"/>
      <c r="AA723" s="81"/>
      <c r="AB723" s="81"/>
      <c r="AC723" s="81"/>
      <c r="AD723" s="81"/>
      <c r="AE723" s="81"/>
      <c r="AF723" s="81"/>
      <c r="AG723" s="81"/>
      <c r="AH723" s="81"/>
    </row>
    <row r="724" spans="4:34" ht="14.25" customHeight="1">
      <c r="D724" s="81"/>
      <c r="E724" s="81"/>
      <c r="F724" s="81"/>
      <c r="G724" s="81"/>
      <c r="H724" s="81"/>
      <c r="I724" s="81"/>
      <c r="J724" s="81"/>
      <c r="K724" s="81"/>
      <c r="L724" s="81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1"/>
      <c r="Y724" s="81"/>
      <c r="Z724" s="81"/>
      <c r="AA724" s="81"/>
      <c r="AB724" s="81"/>
      <c r="AC724" s="81"/>
      <c r="AD724" s="81"/>
      <c r="AE724" s="81"/>
      <c r="AF724" s="81"/>
      <c r="AG724" s="81"/>
      <c r="AH724" s="81"/>
    </row>
    <row r="725" spans="4:34" ht="14.25" customHeight="1">
      <c r="D725" s="81"/>
      <c r="E725" s="81"/>
      <c r="F725" s="81"/>
      <c r="G725" s="81"/>
      <c r="H725" s="81"/>
      <c r="I725" s="81"/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1"/>
      <c r="Y725" s="81"/>
      <c r="Z725" s="81"/>
      <c r="AA725" s="81"/>
      <c r="AB725" s="81"/>
      <c r="AC725" s="81"/>
      <c r="AD725" s="81"/>
      <c r="AE725" s="81"/>
      <c r="AF725" s="81"/>
      <c r="AG725" s="81"/>
      <c r="AH725" s="81"/>
    </row>
    <row r="726" spans="4:34" ht="14.25" customHeight="1"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1"/>
      <c r="Y726" s="81"/>
      <c r="Z726" s="81"/>
      <c r="AA726" s="81"/>
      <c r="AB726" s="81"/>
      <c r="AC726" s="81"/>
      <c r="AD726" s="81"/>
      <c r="AE726" s="81"/>
      <c r="AF726" s="81"/>
      <c r="AG726" s="81"/>
      <c r="AH726" s="81"/>
    </row>
    <row r="727" spans="4:34" ht="14.25" customHeight="1">
      <c r="D727" s="81"/>
      <c r="E727" s="81"/>
      <c r="F727" s="81"/>
      <c r="G727" s="81"/>
      <c r="H727" s="81"/>
      <c r="I727" s="81"/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1"/>
      <c r="Y727" s="81"/>
      <c r="Z727" s="81"/>
      <c r="AA727" s="81"/>
      <c r="AB727" s="81"/>
      <c r="AC727" s="81"/>
      <c r="AD727" s="81"/>
      <c r="AE727" s="81"/>
      <c r="AF727" s="81"/>
      <c r="AG727" s="81"/>
      <c r="AH727" s="81"/>
    </row>
    <row r="728" spans="4:34" ht="14.25" customHeight="1">
      <c r="D728" s="81"/>
      <c r="E728" s="81"/>
      <c r="F728" s="81"/>
      <c r="G728" s="81"/>
      <c r="H728" s="81"/>
      <c r="I728" s="81"/>
      <c r="J728" s="81"/>
      <c r="K728" s="81"/>
      <c r="L728" s="81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1"/>
      <c r="Y728" s="81"/>
      <c r="Z728" s="81"/>
      <c r="AA728" s="81"/>
      <c r="AB728" s="81"/>
      <c r="AC728" s="81"/>
      <c r="AD728" s="81"/>
      <c r="AE728" s="81"/>
      <c r="AF728" s="81"/>
      <c r="AG728" s="81"/>
      <c r="AH728" s="81"/>
    </row>
    <row r="729" spans="4:34" ht="14.25" customHeight="1">
      <c r="D729" s="81"/>
      <c r="E729" s="81"/>
      <c r="F729" s="81"/>
      <c r="G729" s="81"/>
      <c r="H729" s="81"/>
      <c r="I729" s="81"/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1"/>
      <c r="Y729" s="81"/>
      <c r="Z729" s="81"/>
      <c r="AA729" s="81"/>
      <c r="AB729" s="81"/>
      <c r="AC729" s="81"/>
      <c r="AD729" s="81"/>
      <c r="AE729" s="81"/>
      <c r="AF729" s="81"/>
      <c r="AG729" s="81"/>
      <c r="AH729" s="81"/>
    </row>
    <row r="730" spans="4:34" ht="14.25" customHeight="1"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1"/>
      <c r="Y730" s="81"/>
      <c r="Z730" s="81"/>
      <c r="AA730" s="81"/>
      <c r="AB730" s="81"/>
      <c r="AC730" s="81"/>
      <c r="AD730" s="81"/>
      <c r="AE730" s="81"/>
      <c r="AF730" s="81"/>
      <c r="AG730" s="81"/>
      <c r="AH730" s="81"/>
    </row>
    <row r="731" spans="4:34" ht="14.25" customHeight="1">
      <c r="D731" s="81"/>
      <c r="E731" s="81"/>
      <c r="F731" s="81"/>
      <c r="G731" s="81"/>
      <c r="H731" s="81"/>
      <c r="I731" s="81"/>
      <c r="J731" s="81"/>
      <c r="K731" s="81"/>
      <c r="L731" s="81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81"/>
      <c r="Y731" s="81"/>
      <c r="Z731" s="81"/>
      <c r="AA731" s="81"/>
      <c r="AB731" s="81"/>
      <c r="AC731" s="81"/>
      <c r="AD731" s="81"/>
      <c r="AE731" s="81"/>
      <c r="AF731" s="81"/>
      <c r="AG731" s="81"/>
      <c r="AH731" s="81"/>
    </row>
    <row r="732" spans="4:34" ht="14.25" customHeight="1">
      <c r="D732" s="81"/>
      <c r="E732" s="81"/>
      <c r="F732" s="81"/>
      <c r="G732" s="81"/>
      <c r="H732" s="81"/>
      <c r="I732" s="81"/>
      <c r="J732" s="81"/>
      <c r="K732" s="81"/>
      <c r="L732" s="81"/>
      <c r="M732" s="81"/>
      <c r="N732" s="81"/>
      <c r="O732" s="81"/>
      <c r="P732" s="81"/>
      <c r="Q732" s="81"/>
      <c r="R732" s="81"/>
      <c r="S732" s="81"/>
      <c r="T732" s="81"/>
      <c r="U732" s="81"/>
      <c r="V732" s="81"/>
      <c r="W732" s="81"/>
      <c r="X732" s="81"/>
      <c r="Y732" s="81"/>
      <c r="Z732" s="81"/>
      <c r="AA732" s="81"/>
      <c r="AB732" s="81"/>
      <c r="AC732" s="81"/>
      <c r="AD732" s="81"/>
      <c r="AE732" s="81"/>
      <c r="AF732" s="81"/>
      <c r="AG732" s="81"/>
      <c r="AH732" s="81"/>
    </row>
    <row r="733" spans="4:34" ht="14.25" customHeight="1">
      <c r="D733" s="81"/>
      <c r="E733" s="81"/>
      <c r="F733" s="81"/>
      <c r="G733" s="81"/>
      <c r="H733" s="81"/>
      <c r="I733" s="81"/>
      <c r="J733" s="81"/>
      <c r="K733" s="81"/>
      <c r="L733" s="81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81"/>
      <c r="Y733" s="81"/>
      <c r="Z733" s="81"/>
      <c r="AA733" s="81"/>
      <c r="AB733" s="81"/>
      <c r="AC733" s="81"/>
      <c r="AD733" s="81"/>
      <c r="AE733" s="81"/>
      <c r="AF733" s="81"/>
      <c r="AG733" s="81"/>
      <c r="AH733" s="81"/>
    </row>
    <row r="734" spans="4:34" ht="14.25" customHeight="1"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  <c r="S734" s="81"/>
      <c r="T734" s="81"/>
      <c r="U734" s="81"/>
      <c r="V734" s="81"/>
      <c r="W734" s="81"/>
      <c r="X734" s="81"/>
      <c r="Y734" s="81"/>
      <c r="Z734" s="81"/>
      <c r="AA734" s="81"/>
      <c r="AB734" s="81"/>
      <c r="AC734" s="81"/>
      <c r="AD734" s="81"/>
      <c r="AE734" s="81"/>
      <c r="AF734" s="81"/>
      <c r="AG734" s="81"/>
      <c r="AH734" s="81"/>
    </row>
    <row r="735" spans="4:34" ht="14.25" customHeight="1">
      <c r="D735" s="81"/>
      <c r="E735" s="81"/>
      <c r="F735" s="81"/>
      <c r="G735" s="81"/>
      <c r="H735" s="81"/>
      <c r="I735" s="81"/>
      <c r="J735" s="81"/>
      <c r="K735" s="81"/>
      <c r="L735" s="81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81"/>
      <c r="Y735" s="81"/>
      <c r="Z735" s="81"/>
      <c r="AA735" s="81"/>
      <c r="AB735" s="81"/>
      <c r="AC735" s="81"/>
      <c r="AD735" s="81"/>
      <c r="AE735" s="81"/>
      <c r="AF735" s="81"/>
      <c r="AG735" s="81"/>
      <c r="AH735" s="81"/>
    </row>
    <row r="736" spans="4:34" ht="14.25" customHeight="1">
      <c r="D736" s="81"/>
      <c r="E736" s="81"/>
      <c r="F736" s="81"/>
      <c r="G736" s="81"/>
      <c r="H736" s="81"/>
      <c r="I736" s="81"/>
      <c r="J736" s="81"/>
      <c r="K736" s="81"/>
      <c r="L736" s="81"/>
      <c r="M736" s="81"/>
      <c r="N736" s="81"/>
      <c r="O736" s="81"/>
      <c r="P736" s="81"/>
      <c r="Q736" s="81"/>
      <c r="R736" s="81"/>
      <c r="S736" s="81"/>
      <c r="T736" s="81"/>
      <c r="U736" s="81"/>
      <c r="V736" s="81"/>
      <c r="W736" s="81"/>
      <c r="X736" s="81"/>
      <c r="Y736" s="81"/>
      <c r="Z736" s="81"/>
      <c r="AA736" s="81"/>
      <c r="AB736" s="81"/>
      <c r="AC736" s="81"/>
      <c r="AD736" s="81"/>
      <c r="AE736" s="81"/>
      <c r="AF736" s="81"/>
      <c r="AG736" s="81"/>
      <c r="AH736" s="81"/>
    </row>
    <row r="737" spans="4:34" ht="14.25" customHeight="1">
      <c r="D737" s="81"/>
      <c r="E737" s="81"/>
      <c r="F737" s="81"/>
      <c r="G737" s="81"/>
      <c r="H737" s="81"/>
      <c r="I737" s="81"/>
      <c r="J737" s="81"/>
      <c r="K737" s="81"/>
      <c r="L737" s="81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81"/>
      <c r="Y737" s="81"/>
      <c r="Z737" s="81"/>
      <c r="AA737" s="81"/>
      <c r="AB737" s="81"/>
      <c r="AC737" s="81"/>
      <c r="AD737" s="81"/>
      <c r="AE737" s="81"/>
      <c r="AF737" s="81"/>
      <c r="AG737" s="81"/>
      <c r="AH737" s="81"/>
    </row>
    <row r="738" spans="4:34" ht="14.25" customHeight="1"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  <c r="S738" s="81"/>
      <c r="T738" s="81"/>
      <c r="U738" s="81"/>
      <c r="V738" s="81"/>
      <c r="W738" s="81"/>
      <c r="X738" s="81"/>
      <c r="Y738" s="81"/>
      <c r="Z738" s="81"/>
      <c r="AA738" s="81"/>
      <c r="AB738" s="81"/>
      <c r="AC738" s="81"/>
      <c r="AD738" s="81"/>
      <c r="AE738" s="81"/>
      <c r="AF738" s="81"/>
      <c r="AG738" s="81"/>
      <c r="AH738" s="81"/>
    </row>
    <row r="739" spans="4:34" ht="14.25" customHeight="1">
      <c r="D739" s="81"/>
      <c r="E739" s="81"/>
      <c r="F739" s="81"/>
      <c r="G739" s="81"/>
      <c r="H739" s="81"/>
      <c r="I739" s="81"/>
      <c r="J739" s="81"/>
      <c r="K739" s="81"/>
      <c r="L739" s="81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81"/>
      <c r="Y739" s="81"/>
      <c r="Z739" s="81"/>
      <c r="AA739" s="81"/>
      <c r="AB739" s="81"/>
      <c r="AC739" s="81"/>
      <c r="AD739" s="81"/>
      <c r="AE739" s="81"/>
      <c r="AF739" s="81"/>
      <c r="AG739" s="81"/>
      <c r="AH739" s="81"/>
    </row>
    <row r="740" spans="4:34" ht="14.25" customHeight="1">
      <c r="D740" s="81"/>
      <c r="E740" s="81"/>
      <c r="F740" s="81"/>
      <c r="G740" s="81"/>
      <c r="H740" s="81"/>
      <c r="I740" s="81"/>
      <c r="J740" s="81"/>
      <c r="K740" s="81"/>
      <c r="L740" s="81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1"/>
      <c r="X740" s="81"/>
      <c r="Y740" s="81"/>
      <c r="Z740" s="81"/>
      <c r="AA740" s="81"/>
      <c r="AB740" s="81"/>
      <c r="AC740" s="81"/>
      <c r="AD740" s="81"/>
      <c r="AE740" s="81"/>
      <c r="AF740" s="81"/>
      <c r="AG740" s="81"/>
      <c r="AH740" s="81"/>
    </row>
    <row r="741" spans="4:34" ht="14.25" customHeight="1">
      <c r="D741" s="81"/>
      <c r="E741" s="81"/>
      <c r="F741" s="81"/>
      <c r="G741" s="81"/>
      <c r="H741" s="81"/>
      <c r="I741" s="81"/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81"/>
      <c r="Y741" s="81"/>
      <c r="Z741" s="81"/>
      <c r="AA741" s="81"/>
      <c r="AB741" s="81"/>
      <c r="AC741" s="81"/>
      <c r="AD741" s="81"/>
      <c r="AE741" s="81"/>
      <c r="AF741" s="81"/>
      <c r="AG741" s="81"/>
      <c r="AH741" s="81"/>
    </row>
    <row r="742" spans="4:34" ht="14.25" customHeight="1"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1"/>
      <c r="X742" s="81"/>
      <c r="Y742" s="81"/>
      <c r="Z742" s="81"/>
      <c r="AA742" s="81"/>
      <c r="AB742" s="81"/>
      <c r="AC742" s="81"/>
      <c r="AD742" s="81"/>
      <c r="AE742" s="81"/>
      <c r="AF742" s="81"/>
      <c r="AG742" s="81"/>
      <c r="AH742" s="81"/>
    </row>
    <row r="743" spans="4:34" ht="14.25" customHeight="1">
      <c r="D743" s="81"/>
      <c r="E743" s="81"/>
      <c r="F743" s="81"/>
      <c r="G743" s="81"/>
      <c r="H743" s="81"/>
      <c r="I743" s="81"/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81"/>
      <c r="Y743" s="81"/>
      <c r="Z743" s="81"/>
      <c r="AA743" s="81"/>
      <c r="AB743" s="81"/>
      <c r="AC743" s="81"/>
      <c r="AD743" s="81"/>
      <c r="AE743" s="81"/>
      <c r="AF743" s="81"/>
      <c r="AG743" s="81"/>
      <c r="AH743" s="81"/>
    </row>
    <row r="744" spans="4:34" ht="14.25" customHeight="1">
      <c r="D744" s="81"/>
      <c r="E744" s="81"/>
      <c r="F744" s="81"/>
      <c r="G744" s="81"/>
      <c r="H744" s="81"/>
      <c r="I744" s="81"/>
      <c r="J744" s="81"/>
      <c r="K744" s="81"/>
      <c r="L744" s="81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1"/>
      <c r="X744" s="81"/>
      <c r="Y744" s="81"/>
      <c r="Z744" s="81"/>
      <c r="AA744" s="81"/>
      <c r="AB744" s="81"/>
      <c r="AC744" s="81"/>
      <c r="AD744" s="81"/>
      <c r="AE744" s="81"/>
      <c r="AF744" s="81"/>
      <c r="AG744" s="81"/>
      <c r="AH744" s="81"/>
    </row>
    <row r="745" spans="4:34" ht="14.25" customHeight="1">
      <c r="D745" s="81"/>
      <c r="E745" s="81"/>
      <c r="F745" s="81"/>
      <c r="G745" s="81"/>
      <c r="H745" s="81"/>
      <c r="I745" s="81"/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81"/>
      <c r="Y745" s="81"/>
      <c r="Z745" s="81"/>
      <c r="AA745" s="81"/>
      <c r="AB745" s="81"/>
      <c r="AC745" s="81"/>
      <c r="AD745" s="81"/>
      <c r="AE745" s="81"/>
      <c r="AF745" s="81"/>
      <c r="AG745" s="81"/>
      <c r="AH745" s="81"/>
    </row>
    <row r="746" spans="4:34" ht="14.25" customHeight="1"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  <c r="S746" s="81"/>
      <c r="T746" s="81"/>
      <c r="U746" s="81"/>
      <c r="V746" s="81"/>
      <c r="W746" s="81"/>
      <c r="X746" s="81"/>
      <c r="Y746" s="81"/>
      <c r="Z746" s="81"/>
      <c r="AA746" s="81"/>
      <c r="AB746" s="81"/>
      <c r="AC746" s="81"/>
      <c r="AD746" s="81"/>
      <c r="AE746" s="81"/>
      <c r="AF746" s="81"/>
      <c r="AG746" s="81"/>
      <c r="AH746" s="81"/>
    </row>
    <row r="747" spans="4:34" ht="14.25" customHeight="1">
      <c r="D747" s="81"/>
      <c r="E747" s="81"/>
      <c r="F747" s="81"/>
      <c r="G747" s="81"/>
      <c r="H747" s="81"/>
      <c r="I747" s="81"/>
      <c r="J747" s="81"/>
      <c r="K747" s="81"/>
      <c r="L747" s="81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81"/>
      <c r="Y747" s="81"/>
      <c r="Z747" s="81"/>
      <c r="AA747" s="81"/>
      <c r="AB747" s="81"/>
      <c r="AC747" s="81"/>
      <c r="AD747" s="81"/>
      <c r="AE747" s="81"/>
      <c r="AF747" s="81"/>
      <c r="AG747" s="81"/>
      <c r="AH747" s="81"/>
    </row>
    <row r="748" spans="4:34" ht="14.25" customHeight="1">
      <c r="D748" s="81"/>
      <c r="E748" s="81"/>
      <c r="F748" s="81"/>
      <c r="G748" s="81"/>
      <c r="H748" s="81"/>
      <c r="I748" s="81"/>
      <c r="J748" s="81"/>
      <c r="K748" s="81"/>
      <c r="L748" s="81"/>
      <c r="M748" s="81"/>
      <c r="N748" s="81"/>
      <c r="O748" s="81"/>
      <c r="P748" s="81"/>
      <c r="Q748" s="81"/>
      <c r="R748" s="81"/>
      <c r="S748" s="81"/>
      <c r="T748" s="81"/>
      <c r="U748" s="81"/>
      <c r="V748" s="81"/>
      <c r="W748" s="81"/>
      <c r="X748" s="81"/>
      <c r="Y748" s="81"/>
      <c r="Z748" s="81"/>
      <c r="AA748" s="81"/>
      <c r="AB748" s="81"/>
      <c r="AC748" s="81"/>
      <c r="AD748" s="81"/>
      <c r="AE748" s="81"/>
      <c r="AF748" s="81"/>
      <c r="AG748" s="81"/>
      <c r="AH748" s="81"/>
    </row>
    <row r="749" spans="4:34" ht="14.25" customHeight="1">
      <c r="D749" s="81"/>
      <c r="E749" s="81"/>
      <c r="F749" s="81"/>
      <c r="G749" s="81"/>
      <c r="H749" s="81"/>
      <c r="I749" s="81"/>
      <c r="J749" s="81"/>
      <c r="K749" s="81"/>
      <c r="L749" s="81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81"/>
      <c r="Y749" s="81"/>
      <c r="Z749" s="81"/>
      <c r="AA749" s="81"/>
      <c r="AB749" s="81"/>
      <c r="AC749" s="81"/>
      <c r="AD749" s="81"/>
      <c r="AE749" s="81"/>
      <c r="AF749" s="81"/>
      <c r="AG749" s="81"/>
      <c r="AH749" s="81"/>
    </row>
    <row r="750" spans="4:34" ht="14.25" customHeight="1"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1"/>
      <c r="X750" s="81"/>
      <c r="Y750" s="81"/>
      <c r="Z750" s="81"/>
      <c r="AA750" s="81"/>
      <c r="AB750" s="81"/>
      <c r="AC750" s="81"/>
      <c r="AD750" s="81"/>
      <c r="AE750" s="81"/>
      <c r="AF750" s="81"/>
      <c r="AG750" s="81"/>
      <c r="AH750" s="81"/>
    </row>
    <row r="751" spans="4:34" ht="14.25" customHeight="1">
      <c r="D751" s="81"/>
      <c r="E751" s="81"/>
      <c r="F751" s="81"/>
      <c r="G751" s="81"/>
      <c r="H751" s="81"/>
      <c r="I751" s="81"/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81"/>
      <c r="Y751" s="81"/>
      <c r="Z751" s="81"/>
      <c r="AA751" s="81"/>
      <c r="AB751" s="81"/>
      <c r="AC751" s="81"/>
      <c r="AD751" s="81"/>
      <c r="AE751" s="81"/>
      <c r="AF751" s="81"/>
      <c r="AG751" s="81"/>
      <c r="AH751" s="81"/>
    </row>
    <row r="752" spans="4:34" ht="14.25" customHeight="1">
      <c r="D752" s="81"/>
      <c r="E752" s="81"/>
      <c r="F752" s="81"/>
      <c r="G752" s="81"/>
      <c r="H752" s="81"/>
      <c r="I752" s="81"/>
      <c r="J752" s="81"/>
      <c r="K752" s="81"/>
      <c r="L752" s="81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1"/>
      <c r="X752" s="81"/>
      <c r="Y752" s="81"/>
      <c r="Z752" s="81"/>
      <c r="AA752" s="81"/>
      <c r="AB752" s="81"/>
      <c r="AC752" s="81"/>
      <c r="AD752" s="81"/>
      <c r="AE752" s="81"/>
      <c r="AF752" s="81"/>
      <c r="AG752" s="81"/>
      <c r="AH752" s="81"/>
    </row>
    <row r="753" spans="4:34" ht="14.25" customHeight="1">
      <c r="D753" s="81"/>
      <c r="E753" s="81"/>
      <c r="F753" s="81"/>
      <c r="G753" s="81"/>
      <c r="H753" s="81"/>
      <c r="I753" s="81"/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81"/>
      <c r="Y753" s="81"/>
      <c r="Z753" s="81"/>
      <c r="AA753" s="81"/>
      <c r="AB753" s="81"/>
      <c r="AC753" s="81"/>
      <c r="AD753" s="81"/>
      <c r="AE753" s="81"/>
      <c r="AF753" s="81"/>
      <c r="AG753" s="81"/>
      <c r="AH753" s="81"/>
    </row>
    <row r="754" spans="4:34" ht="14.25" customHeight="1"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1"/>
      <c r="X754" s="81"/>
      <c r="Y754" s="81"/>
      <c r="Z754" s="81"/>
      <c r="AA754" s="81"/>
      <c r="AB754" s="81"/>
      <c r="AC754" s="81"/>
      <c r="AD754" s="81"/>
      <c r="AE754" s="81"/>
      <c r="AF754" s="81"/>
      <c r="AG754" s="81"/>
      <c r="AH754" s="81"/>
    </row>
    <row r="755" spans="4:34" ht="14.25" customHeight="1">
      <c r="D755" s="81"/>
      <c r="E755" s="81"/>
      <c r="F755" s="81"/>
      <c r="G755" s="81"/>
      <c r="H755" s="81"/>
      <c r="I755" s="81"/>
      <c r="J755" s="81"/>
      <c r="K755" s="81"/>
      <c r="L755" s="81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81"/>
      <c r="Y755" s="81"/>
      <c r="Z755" s="81"/>
      <c r="AA755" s="81"/>
      <c r="AB755" s="81"/>
      <c r="AC755" s="81"/>
      <c r="AD755" s="81"/>
      <c r="AE755" s="81"/>
      <c r="AF755" s="81"/>
      <c r="AG755" s="81"/>
      <c r="AH755" s="81"/>
    </row>
    <row r="756" spans="4:34" ht="14.25" customHeight="1">
      <c r="D756" s="81"/>
      <c r="E756" s="81"/>
      <c r="F756" s="81"/>
      <c r="G756" s="81"/>
      <c r="H756" s="81"/>
      <c r="I756" s="81"/>
      <c r="J756" s="81"/>
      <c r="K756" s="81"/>
      <c r="L756" s="81"/>
      <c r="M756" s="81"/>
      <c r="N756" s="81"/>
      <c r="O756" s="81"/>
      <c r="P756" s="81"/>
      <c r="Q756" s="81"/>
      <c r="R756" s="81"/>
      <c r="S756" s="81"/>
      <c r="T756" s="81"/>
      <c r="U756" s="81"/>
      <c r="V756" s="81"/>
      <c r="W756" s="81"/>
      <c r="X756" s="81"/>
      <c r="Y756" s="81"/>
      <c r="Z756" s="81"/>
      <c r="AA756" s="81"/>
      <c r="AB756" s="81"/>
      <c r="AC756" s="81"/>
      <c r="AD756" s="81"/>
      <c r="AE756" s="81"/>
      <c r="AF756" s="81"/>
      <c r="AG756" s="81"/>
      <c r="AH756" s="81"/>
    </row>
    <row r="757" spans="4:34" ht="14.25" customHeight="1">
      <c r="D757" s="81"/>
      <c r="E757" s="81"/>
      <c r="F757" s="81"/>
      <c r="G757" s="81"/>
      <c r="H757" s="81"/>
      <c r="I757" s="81"/>
      <c r="J757" s="81"/>
      <c r="K757" s="81"/>
      <c r="L757" s="81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81"/>
      <c r="Y757" s="81"/>
      <c r="Z757" s="81"/>
      <c r="AA757" s="81"/>
      <c r="AB757" s="81"/>
      <c r="AC757" s="81"/>
      <c r="AD757" s="81"/>
      <c r="AE757" s="81"/>
      <c r="AF757" s="81"/>
      <c r="AG757" s="81"/>
      <c r="AH757" s="81"/>
    </row>
    <row r="758" spans="4:34" ht="14.25" customHeight="1"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  <c r="S758" s="81"/>
      <c r="T758" s="81"/>
      <c r="U758" s="81"/>
      <c r="V758" s="81"/>
      <c r="W758" s="81"/>
      <c r="X758" s="81"/>
      <c r="Y758" s="81"/>
      <c r="Z758" s="81"/>
      <c r="AA758" s="81"/>
      <c r="AB758" s="81"/>
      <c r="AC758" s="81"/>
      <c r="AD758" s="81"/>
      <c r="AE758" s="81"/>
      <c r="AF758" s="81"/>
      <c r="AG758" s="81"/>
      <c r="AH758" s="81"/>
    </row>
    <row r="759" spans="4:34" ht="14.25" customHeight="1">
      <c r="D759" s="81"/>
      <c r="E759" s="81"/>
      <c r="F759" s="81"/>
      <c r="G759" s="81"/>
      <c r="H759" s="81"/>
      <c r="I759" s="81"/>
      <c r="J759" s="81"/>
      <c r="K759" s="81"/>
      <c r="L759" s="81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81"/>
      <c r="Y759" s="81"/>
      <c r="Z759" s="81"/>
      <c r="AA759" s="81"/>
      <c r="AB759" s="81"/>
      <c r="AC759" s="81"/>
      <c r="AD759" s="81"/>
      <c r="AE759" s="81"/>
      <c r="AF759" s="81"/>
      <c r="AG759" s="81"/>
      <c r="AH759" s="81"/>
    </row>
    <row r="760" spans="4:34" ht="14.25" customHeight="1">
      <c r="D760" s="81"/>
      <c r="E760" s="81"/>
      <c r="F760" s="81"/>
      <c r="G760" s="81"/>
      <c r="H760" s="81"/>
      <c r="I760" s="81"/>
      <c r="J760" s="81"/>
      <c r="K760" s="81"/>
      <c r="L760" s="81"/>
      <c r="M760" s="81"/>
      <c r="N760" s="81"/>
      <c r="O760" s="81"/>
      <c r="P760" s="81"/>
      <c r="Q760" s="81"/>
      <c r="R760" s="81"/>
      <c r="S760" s="81"/>
      <c r="T760" s="81"/>
      <c r="U760" s="81"/>
      <c r="V760" s="81"/>
      <c r="W760" s="81"/>
      <c r="X760" s="81"/>
      <c r="Y760" s="81"/>
      <c r="Z760" s="81"/>
      <c r="AA760" s="81"/>
      <c r="AB760" s="81"/>
      <c r="AC760" s="81"/>
      <c r="AD760" s="81"/>
      <c r="AE760" s="81"/>
      <c r="AF760" s="81"/>
      <c r="AG760" s="81"/>
      <c r="AH760" s="81"/>
    </row>
    <row r="761" spans="4:34" ht="14.25" customHeight="1">
      <c r="D761" s="81"/>
      <c r="E761" s="81"/>
      <c r="F761" s="81"/>
      <c r="G761" s="81"/>
      <c r="H761" s="81"/>
      <c r="I761" s="81"/>
      <c r="J761" s="81"/>
      <c r="K761" s="81"/>
      <c r="L761" s="81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81"/>
      <c r="Y761" s="81"/>
      <c r="Z761" s="81"/>
      <c r="AA761" s="81"/>
      <c r="AB761" s="81"/>
      <c r="AC761" s="81"/>
      <c r="AD761" s="81"/>
      <c r="AE761" s="81"/>
      <c r="AF761" s="81"/>
      <c r="AG761" s="81"/>
      <c r="AH761" s="81"/>
    </row>
    <row r="762" spans="4:34" ht="14.25" customHeight="1"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81"/>
      <c r="Y762" s="81"/>
      <c r="Z762" s="81"/>
      <c r="AA762" s="81"/>
      <c r="AB762" s="81"/>
      <c r="AC762" s="81"/>
      <c r="AD762" s="81"/>
      <c r="AE762" s="81"/>
      <c r="AF762" s="81"/>
      <c r="AG762" s="81"/>
      <c r="AH762" s="81"/>
    </row>
    <row r="763" spans="4:34" ht="14.25" customHeight="1">
      <c r="D763" s="81"/>
      <c r="E763" s="81"/>
      <c r="F763" s="81"/>
      <c r="G763" s="81"/>
      <c r="H763" s="81"/>
      <c r="I763" s="81"/>
      <c r="J763" s="81"/>
      <c r="K763" s="81"/>
      <c r="L763" s="81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81"/>
      <c r="Y763" s="81"/>
      <c r="Z763" s="81"/>
      <c r="AA763" s="81"/>
      <c r="AB763" s="81"/>
      <c r="AC763" s="81"/>
      <c r="AD763" s="81"/>
      <c r="AE763" s="81"/>
      <c r="AF763" s="81"/>
      <c r="AG763" s="81"/>
      <c r="AH763" s="81"/>
    </row>
    <row r="764" spans="4:34" ht="14.25" customHeight="1">
      <c r="D764" s="81"/>
      <c r="E764" s="81"/>
      <c r="F764" s="81"/>
      <c r="G764" s="81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1"/>
      <c r="Y764" s="81"/>
      <c r="Z764" s="81"/>
      <c r="AA764" s="81"/>
      <c r="AB764" s="81"/>
      <c r="AC764" s="81"/>
      <c r="AD764" s="81"/>
      <c r="AE764" s="81"/>
      <c r="AF764" s="81"/>
      <c r="AG764" s="81"/>
      <c r="AH764" s="81"/>
    </row>
    <row r="765" spans="4:34" ht="14.25" customHeight="1">
      <c r="D765" s="81"/>
      <c r="E765" s="81"/>
      <c r="F765" s="81"/>
      <c r="G765" s="81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1"/>
      <c r="Y765" s="81"/>
      <c r="Z765" s="81"/>
      <c r="AA765" s="81"/>
      <c r="AB765" s="81"/>
      <c r="AC765" s="81"/>
      <c r="AD765" s="81"/>
      <c r="AE765" s="81"/>
      <c r="AF765" s="81"/>
      <c r="AG765" s="81"/>
      <c r="AH765" s="81"/>
    </row>
    <row r="766" spans="4:34" ht="14.25" customHeight="1"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1"/>
      <c r="Y766" s="81"/>
      <c r="Z766" s="81"/>
      <c r="AA766" s="81"/>
      <c r="AB766" s="81"/>
      <c r="AC766" s="81"/>
      <c r="AD766" s="81"/>
      <c r="AE766" s="81"/>
      <c r="AF766" s="81"/>
      <c r="AG766" s="81"/>
      <c r="AH766" s="81"/>
    </row>
    <row r="767" spans="4:34" ht="14.25" customHeight="1">
      <c r="D767" s="81"/>
      <c r="E767" s="81"/>
      <c r="F767" s="81"/>
      <c r="G767" s="81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1"/>
      <c r="Y767" s="81"/>
      <c r="Z767" s="81"/>
      <c r="AA767" s="81"/>
      <c r="AB767" s="81"/>
      <c r="AC767" s="81"/>
      <c r="AD767" s="81"/>
      <c r="AE767" s="81"/>
      <c r="AF767" s="81"/>
      <c r="AG767" s="81"/>
      <c r="AH767" s="81"/>
    </row>
    <row r="768" spans="4:34" ht="14.25" customHeight="1">
      <c r="D768" s="81"/>
      <c r="E768" s="81"/>
      <c r="F768" s="81"/>
      <c r="G768" s="81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1"/>
      <c r="Y768" s="81"/>
      <c r="Z768" s="81"/>
      <c r="AA768" s="81"/>
      <c r="AB768" s="81"/>
      <c r="AC768" s="81"/>
      <c r="AD768" s="81"/>
      <c r="AE768" s="81"/>
      <c r="AF768" s="81"/>
      <c r="AG768" s="81"/>
      <c r="AH768" s="81"/>
    </row>
    <row r="769" spans="4:34" ht="14.25" customHeight="1">
      <c r="D769" s="81"/>
      <c r="E769" s="81"/>
      <c r="F769" s="81"/>
      <c r="G769" s="81"/>
      <c r="H769" s="81"/>
      <c r="I769" s="81"/>
      <c r="J769" s="81"/>
      <c r="K769" s="81"/>
      <c r="L769" s="81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81"/>
      <c r="Y769" s="81"/>
      <c r="Z769" s="81"/>
      <c r="AA769" s="81"/>
      <c r="AB769" s="81"/>
      <c r="AC769" s="81"/>
      <c r="AD769" s="81"/>
      <c r="AE769" s="81"/>
      <c r="AF769" s="81"/>
      <c r="AG769" s="81"/>
      <c r="AH769" s="81"/>
    </row>
    <row r="770" spans="4:34" ht="14.25" customHeight="1"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81"/>
      <c r="Y770" s="81"/>
      <c r="Z770" s="81"/>
      <c r="AA770" s="81"/>
      <c r="AB770" s="81"/>
      <c r="AC770" s="81"/>
      <c r="AD770" s="81"/>
      <c r="AE770" s="81"/>
      <c r="AF770" s="81"/>
      <c r="AG770" s="81"/>
      <c r="AH770" s="81"/>
    </row>
    <row r="771" spans="4:34" ht="14.25" customHeight="1">
      <c r="D771" s="81"/>
      <c r="E771" s="81"/>
      <c r="F771" s="81"/>
      <c r="G771" s="81"/>
      <c r="H771" s="81"/>
      <c r="I771" s="81"/>
      <c r="J771" s="81"/>
      <c r="K771" s="81"/>
      <c r="L771" s="81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81"/>
      <c r="Y771" s="81"/>
      <c r="Z771" s="81"/>
      <c r="AA771" s="81"/>
      <c r="AB771" s="81"/>
      <c r="AC771" s="81"/>
      <c r="AD771" s="81"/>
      <c r="AE771" s="81"/>
      <c r="AF771" s="81"/>
      <c r="AG771" s="81"/>
      <c r="AH771" s="81"/>
    </row>
    <row r="772" spans="4:34" ht="14.25" customHeight="1">
      <c r="D772" s="81"/>
      <c r="E772" s="81"/>
      <c r="F772" s="81"/>
      <c r="G772" s="81"/>
      <c r="H772" s="81"/>
      <c r="I772" s="81"/>
      <c r="J772" s="81"/>
      <c r="K772" s="81"/>
      <c r="L772" s="81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81"/>
      <c r="Y772" s="81"/>
      <c r="Z772" s="81"/>
      <c r="AA772" s="81"/>
      <c r="AB772" s="81"/>
      <c r="AC772" s="81"/>
      <c r="AD772" s="81"/>
      <c r="AE772" s="81"/>
      <c r="AF772" s="81"/>
      <c r="AG772" s="81"/>
      <c r="AH772" s="81"/>
    </row>
    <row r="773" spans="4:34" ht="14.25" customHeight="1">
      <c r="D773" s="81"/>
      <c r="E773" s="81"/>
      <c r="F773" s="81"/>
      <c r="G773" s="81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1"/>
      <c r="Y773" s="81"/>
      <c r="Z773" s="81"/>
      <c r="AA773" s="81"/>
      <c r="AB773" s="81"/>
      <c r="AC773" s="81"/>
      <c r="AD773" s="81"/>
      <c r="AE773" s="81"/>
      <c r="AF773" s="81"/>
      <c r="AG773" s="81"/>
      <c r="AH773" s="81"/>
    </row>
    <row r="774" spans="4:34" ht="14.25" customHeight="1"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1"/>
      <c r="Y774" s="81"/>
      <c r="Z774" s="81"/>
      <c r="AA774" s="81"/>
      <c r="AB774" s="81"/>
      <c r="AC774" s="81"/>
      <c r="AD774" s="81"/>
      <c r="AE774" s="81"/>
      <c r="AF774" s="81"/>
      <c r="AG774" s="81"/>
      <c r="AH774" s="81"/>
    </row>
    <row r="775" spans="4:34" ht="14.25" customHeight="1">
      <c r="D775" s="81"/>
      <c r="E775" s="81"/>
      <c r="F775" s="81"/>
      <c r="G775" s="81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1"/>
      <c r="Y775" s="81"/>
      <c r="Z775" s="81"/>
      <c r="AA775" s="81"/>
      <c r="AB775" s="81"/>
      <c r="AC775" s="81"/>
      <c r="AD775" s="81"/>
      <c r="AE775" s="81"/>
      <c r="AF775" s="81"/>
      <c r="AG775" s="81"/>
      <c r="AH775" s="81"/>
    </row>
    <row r="776" spans="4:34" ht="14.25" customHeight="1">
      <c r="D776" s="81"/>
      <c r="E776" s="81"/>
      <c r="F776" s="81"/>
      <c r="G776" s="81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1"/>
      <c r="Y776" s="81"/>
      <c r="Z776" s="81"/>
      <c r="AA776" s="81"/>
      <c r="AB776" s="81"/>
      <c r="AC776" s="81"/>
      <c r="AD776" s="81"/>
      <c r="AE776" s="81"/>
      <c r="AF776" s="81"/>
      <c r="AG776" s="81"/>
      <c r="AH776" s="81"/>
    </row>
    <row r="777" spans="4:34" ht="14.25" customHeight="1">
      <c r="D777" s="81"/>
      <c r="E777" s="81"/>
      <c r="F777" s="81"/>
      <c r="G777" s="81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1"/>
      <c r="Y777" s="81"/>
      <c r="Z777" s="81"/>
      <c r="AA777" s="81"/>
      <c r="AB777" s="81"/>
      <c r="AC777" s="81"/>
      <c r="AD777" s="81"/>
      <c r="AE777" s="81"/>
      <c r="AF777" s="81"/>
      <c r="AG777" s="81"/>
      <c r="AH777" s="81"/>
    </row>
    <row r="778" spans="4:34" ht="14.25" customHeight="1"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81"/>
      <c r="Y778" s="81"/>
      <c r="Z778" s="81"/>
      <c r="AA778" s="81"/>
      <c r="AB778" s="81"/>
      <c r="AC778" s="81"/>
      <c r="AD778" s="81"/>
      <c r="AE778" s="81"/>
      <c r="AF778" s="81"/>
      <c r="AG778" s="81"/>
      <c r="AH778" s="81"/>
    </row>
    <row r="779" spans="4:34" ht="14.25" customHeight="1">
      <c r="D779" s="81"/>
      <c r="E779" s="81"/>
      <c r="F779" s="81"/>
      <c r="G779" s="81"/>
      <c r="H779" s="81"/>
      <c r="I779" s="81"/>
      <c r="J779" s="81"/>
      <c r="K779" s="81"/>
      <c r="L779" s="81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81"/>
      <c r="Y779" s="81"/>
      <c r="Z779" s="81"/>
      <c r="AA779" s="81"/>
      <c r="AB779" s="81"/>
      <c r="AC779" s="81"/>
      <c r="AD779" s="81"/>
      <c r="AE779" s="81"/>
      <c r="AF779" s="81"/>
      <c r="AG779" s="81"/>
      <c r="AH779" s="81"/>
    </row>
    <row r="780" spans="4:34" ht="14.25" customHeight="1">
      <c r="D780" s="81"/>
      <c r="E780" s="81"/>
      <c r="F780" s="81"/>
      <c r="G780" s="81"/>
      <c r="H780" s="81"/>
      <c r="I780" s="81"/>
      <c r="J780" s="81"/>
      <c r="K780" s="81"/>
      <c r="L780" s="81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81"/>
      <c r="Y780" s="81"/>
      <c r="Z780" s="81"/>
      <c r="AA780" s="81"/>
      <c r="AB780" s="81"/>
      <c r="AC780" s="81"/>
      <c r="AD780" s="81"/>
      <c r="AE780" s="81"/>
      <c r="AF780" s="81"/>
      <c r="AG780" s="81"/>
      <c r="AH780" s="81"/>
    </row>
    <row r="781" spans="4:34" ht="14.25" customHeight="1">
      <c r="D781" s="81"/>
      <c r="E781" s="81"/>
      <c r="F781" s="81"/>
      <c r="G781" s="81"/>
      <c r="H781" s="81"/>
      <c r="I781" s="81"/>
      <c r="J781" s="81"/>
      <c r="K781" s="81"/>
      <c r="L781" s="81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81"/>
      <c r="Y781" s="81"/>
      <c r="Z781" s="81"/>
      <c r="AA781" s="81"/>
      <c r="AB781" s="81"/>
      <c r="AC781" s="81"/>
      <c r="AD781" s="81"/>
      <c r="AE781" s="81"/>
      <c r="AF781" s="81"/>
      <c r="AG781" s="81"/>
      <c r="AH781" s="81"/>
    </row>
    <row r="782" spans="4:34" ht="14.25" customHeight="1"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81"/>
      <c r="Y782" s="81"/>
      <c r="Z782" s="81"/>
      <c r="AA782" s="81"/>
      <c r="AB782" s="81"/>
      <c r="AC782" s="81"/>
      <c r="AD782" s="81"/>
      <c r="AE782" s="81"/>
      <c r="AF782" s="81"/>
      <c r="AG782" s="81"/>
      <c r="AH782" s="81"/>
    </row>
    <row r="783" spans="4:34" ht="14.25" customHeight="1">
      <c r="D783" s="81"/>
      <c r="E783" s="81"/>
      <c r="F783" s="81"/>
      <c r="G783" s="81"/>
      <c r="H783" s="81"/>
      <c r="I783" s="81"/>
      <c r="J783" s="81"/>
      <c r="K783" s="81"/>
      <c r="L783" s="81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81"/>
      <c r="Y783" s="81"/>
      <c r="Z783" s="81"/>
      <c r="AA783" s="81"/>
      <c r="AB783" s="81"/>
      <c r="AC783" s="81"/>
      <c r="AD783" s="81"/>
      <c r="AE783" s="81"/>
      <c r="AF783" s="81"/>
      <c r="AG783" s="81"/>
      <c r="AH783" s="81"/>
    </row>
    <row r="784" spans="4:34" ht="14.25" customHeight="1">
      <c r="D784" s="81"/>
      <c r="E784" s="81"/>
      <c r="F784" s="81"/>
      <c r="G784" s="81"/>
      <c r="H784" s="81"/>
      <c r="I784" s="81"/>
      <c r="J784" s="81"/>
      <c r="K784" s="81"/>
      <c r="L784" s="81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81"/>
      <c r="Y784" s="81"/>
      <c r="Z784" s="81"/>
      <c r="AA784" s="81"/>
      <c r="AB784" s="81"/>
      <c r="AC784" s="81"/>
      <c r="AD784" s="81"/>
      <c r="AE784" s="81"/>
      <c r="AF784" s="81"/>
      <c r="AG784" s="81"/>
      <c r="AH784" s="81"/>
    </row>
    <row r="785" spans="4:34" ht="14.25" customHeight="1">
      <c r="D785" s="81"/>
      <c r="E785" s="81"/>
      <c r="F785" s="81"/>
      <c r="G785" s="81"/>
      <c r="H785" s="81"/>
      <c r="I785" s="81"/>
      <c r="J785" s="81"/>
      <c r="K785" s="81"/>
      <c r="L785" s="81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81"/>
      <c r="Y785" s="81"/>
      <c r="Z785" s="81"/>
      <c r="AA785" s="81"/>
      <c r="AB785" s="81"/>
      <c r="AC785" s="81"/>
      <c r="AD785" s="81"/>
      <c r="AE785" s="81"/>
      <c r="AF785" s="81"/>
      <c r="AG785" s="81"/>
      <c r="AH785" s="81"/>
    </row>
    <row r="786" spans="4:34" ht="14.25" customHeight="1"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81"/>
      <c r="Y786" s="81"/>
      <c r="Z786" s="81"/>
      <c r="AA786" s="81"/>
      <c r="AB786" s="81"/>
      <c r="AC786" s="81"/>
      <c r="AD786" s="81"/>
      <c r="AE786" s="81"/>
      <c r="AF786" s="81"/>
      <c r="AG786" s="81"/>
      <c r="AH786" s="81"/>
    </row>
    <row r="787" spans="4:34" ht="14.25" customHeight="1">
      <c r="D787" s="81"/>
      <c r="E787" s="81"/>
      <c r="F787" s="81"/>
      <c r="G787" s="81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1"/>
      <c r="Y787" s="81"/>
      <c r="Z787" s="81"/>
      <c r="AA787" s="81"/>
      <c r="AB787" s="81"/>
      <c r="AC787" s="81"/>
      <c r="AD787" s="81"/>
      <c r="AE787" s="81"/>
      <c r="AF787" s="81"/>
      <c r="AG787" s="81"/>
      <c r="AH787" s="81"/>
    </row>
    <row r="788" spans="4:34" ht="14.25" customHeight="1">
      <c r="D788" s="81"/>
      <c r="E788" s="81"/>
      <c r="F788" s="81"/>
      <c r="G788" s="81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1"/>
      <c r="Y788" s="81"/>
      <c r="Z788" s="81"/>
      <c r="AA788" s="81"/>
      <c r="AB788" s="81"/>
      <c r="AC788" s="81"/>
      <c r="AD788" s="81"/>
      <c r="AE788" s="81"/>
      <c r="AF788" s="81"/>
      <c r="AG788" s="81"/>
      <c r="AH788" s="81"/>
    </row>
    <row r="789" spans="4:34" ht="14.25" customHeight="1">
      <c r="D789" s="81"/>
      <c r="E789" s="81"/>
      <c r="F789" s="81"/>
      <c r="G789" s="81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1"/>
      <c r="Y789" s="81"/>
      <c r="Z789" s="81"/>
      <c r="AA789" s="81"/>
      <c r="AB789" s="81"/>
      <c r="AC789" s="81"/>
      <c r="AD789" s="81"/>
      <c r="AE789" s="81"/>
      <c r="AF789" s="81"/>
      <c r="AG789" s="81"/>
      <c r="AH789" s="81"/>
    </row>
    <row r="790" spans="4:34" ht="14.25" customHeight="1"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1"/>
      <c r="Y790" s="81"/>
      <c r="Z790" s="81"/>
      <c r="AA790" s="81"/>
      <c r="AB790" s="81"/>
      <c r="AC790" s="81"/>
      <c r="AD790" s="81"/>
      <c r="AE790" s="81"/>
      <c r="AF790" s="81"/>
      <c r="AG790" s="81"/>
      <c r="AH790" s="81"/>
    </row>
    <row r="791" spans="4:34" ht="14.25" customHeight="1">
      <c r="D791" s="81"/>
      <c r="E791" s="81"/>
      <c r="F791" s="81"/>
      <c r="G791" s="81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1"/>
      <c r="Y791" s="81"/>
      <c r="Z791" s="81"/>
      <c r="AA791" s="81"/>
      <c r="AB791" s="81"/>
      <c r="AC791" s="81"/>
      <c r="AD791" s="81"/>
      <c r="AE791" s="81"/>
      <c r="AF791" s="81"/>
      <c r="AG791" s="81"/>
      <c r="AH791" s="81"/>
    </row>
    <row r="792" spans="4:34" ht="14.25" customHeight="1">
      <c r="D792" s="81"/>
      <c r="E792" s="81"/>
      <c r="F792" s="81"/>
      <c r="G792" s="81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1"/>
      <c r="Y792" s="81"/>
      <c r="Z792" s="81"/>
      <c r="AA792" s="81"/>
      <c r="AB792" s="81"/>
      <c r="AC792" s="81"/>
      <c r="AD792" s="81"/>
      <c r="AE792" s="81"/>
      <c r="AF792" s="81"/>
      <c r="AG792" s="81"/>
      <c r="AH792" s="81"/>
    </row>
    <row r="793" spans="4:34" ht="14.25" customHeight="1">
      <c r="D793" s="81"/>
      <c r="E793" s="81"/>
      <c r="F793" s="81"/>
      <c r="G793" s="81"/>
      <c r="H793" s="81"/>
      <c r="I793" s="81"/>
      <c r="J793" s="81"/>
      <c r="K793" s="81"/>
      <c r="L793" s="81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81"/>
      <c r="Y793" s="81"/>
      <c r="Z793" s="81"/>
      <c r="AA793" s="81"/>
      <c r="AB793" s="81"/>
      <c r="AC793" s="81"/>
      <c r="AD793" s="81"/>
      <c r="AE793" s="81"/>
      <c r="AF793" s="81"/>
      <c r="AG793" s="81"/>
      <c r="AH793" s="81"/>
    </row>
    <row r="794" spans="4:34" ht="14.25" customHeight="1"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  <c r="S794" s="81"/>
      <c r="T794" s="81"/>
      <c r="U794" s="81"/>
      <c r="V794" s="81"/>
      <c r="W794" s="81"/>
      <c r="X794" s="81"/>
      <c r="Y794" s="81"/>
      <c r="Z794" s="81"/>
      <c r="AA794" s="81"/>
      <c r="AB794" s="81"/>
      <c r="AC794" s="81"/>
      <c r="AD794" s="81"/>
      <c r="AE794" s="81"/>
      <c r="AF794" s="81"/>
      <c r="AG794" s="81"/>
      <c r="AH794" s="81"/>
    </row>
    <row r="795" spans="4:34" ht="14.25" customHeight="1">
      <c r="D795" s="81"/>
      <c r="E795" s="81"/>
      <c r="F795" s="81"/>
      <c r="G795" s="81"/>
      <c r="H795" s="81"/>
      <c r="I795" s="81"/>
      <c r="J795" s="81"/>
      <c r="K795" s="81"/>
      <c r="L795" s="81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81"/>
      <c r="Y795" s="81"/>
      <c r="Z795" s="81"/>
      <c r="AA795" s="81"/>
      <c r="AB795" s="81"/>
      <c r="AC795" s="81"/>
      <c r="AD795" s="81"/>
      <c r="AE795" s="81"/>
      <c r="AF795" s="81"/>
      <c r="AG795" s="81"/>
      <c r="AH795" s="81"/>
    </row>
    <row r="796" spans="4:34" ht="14.25" customHeight="1">
      <c r="D796" s="81"/>
      <c r="E796" s="81"/>
      <c r="F796" s="81"/>
      <c r="G796" s="81"/>
      <c r="H796" s="81"/>
      <c r="I796" s="81"/>
      <c r="J796" s="81"/>
      <c r="K796" s="81"/>
      <c r="L796" s="81"/>
      <c r="M796" s="81"/>
      <c r="N796" s="81"/>
      <c r="O796" s="81"/>
      <c r="P796" s="81"/>
      <c r="Q796" s="81"/>
      <c r="R796" s="81"/>
      <c r="S796" s="81"/>
      <c r="T796" s="81"/>
      <c r="U796" s="81"/>
      <c r="V796" s="81"/>
      <c r="W796" s="81"/>
      <c r="X796" s="81"/>
      <c r="Y796" s="81"/>
      <c r="Z796" s="81"/>
      <c r="AA796" s="81"/>
      <c r="AB796" s="81"/>
      <c r="AC796" s="81"/>
      <c r="AD796" s="81"/>
      <c r="AE796" s="81"/>
      <c r="AF796" s="81"/>
      <c r="AG796" s="81"/>
      <c r="AH796" s="81"/>
    </row>
    <row r="797" spans="4:34" ht="14.25" customHeight="1">
      <c r="D797" s="81"/>
      <c r="E797" s="81"/>
      <c r="F797" s="81"/>
      <c r="G797" s="81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1"/>
      <c r="Y797" s="81"/>
      <c r="Z797" s="81"/>
      <c r="AA797" s="81"/>
      <c r="AB797" s="81"/>
      <c r="AC797" s="81"/>
      <c r="AD797" s="81"/>
      <c r="AE797" s="81"/>
      <c r="AF797" s="81"/>
      <c r="AG797" s="81"/>
      <c r="AH797" s="81"/>
    </row>
    <row r="798" spans="4:34" ht="14.25" customHeight="1"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1"/>
      <c r="Y798" s="81"/>
      <c r="Z798" s="81"/>
      <c r="AA798" s="81"/>
      <c r="AB798" s="81"/>
      <c r="AC798" s="81"/>
      <c r="AD798" s="81"/>
      <c r="AE798" s="81"/>
      <c r="AF798" s="81"/>
      <c r="AG798" s="81"/>
      <c r="AH798" s="81"/>
    </row>
    <row r="799" spans="4:34" ht="14.25" customHeight="1">
      <c r="D799" s="81"/>
      <c r="E799" s="81"/>
      <c r="F799" s="81"/>
      <c r="G799" s="81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1"/>
      <c r="Y799" s="81"/>
      <c r="Z799" s="81"/>
      <c r="AA799" s="81"/>
      <c r="AB799" s="81"/>
      <c r="AC799" s="81"/>
      <c r="AD799" s="81"/>
      <c r="AE799" s="81"/>
      <c r="AF799" s="81"/>
      <c r="AG799" s="81"/>
      <c r="AH799" s="81"/>
    </row>
    <row r="800" spans="4:34" ht="14.25" customHeight="1">
      <c r="D800" s="81"/>
      <c r="E800" s="81"/>
      <c r="F800" s="81"/>
      <c r="G800" s="81"/>
      <c r="H800" s="81"/>
      <c r="I800" s="81"/>
      <c r="J800" s="81"/>
      <c r="K800" s="81"/>
      <c r="L800" s="81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1"/>
      <c r="Y800" s="81"/>
      <c r="Z800" s="81"/>
      <c r="AA800" s="81"/>
      <c r="AB800" s="81"/>
      <c r="AC800" s="81"/>
      <c r="AD800" s="81"/>
      <c r="AE800" s="81"/>
      <c r="AF800" s="81"/>
      <c r="AG800" s="81"/>
      <c r="AH800" s="81"/>
    </row>
    <row r="801" spans="4:34" ht="14.25" customHeight="1">
      <c r="D801" s="81"/>
      <c r="E801" s="81"/>
      <c r="F801" s="81"/>
      <c r="G801" s="81"/>
      <c r="H801" s="81"/>
      <c r="I801" s="81"/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1"/>
      <c r="Y801" s="81"/>
      <c r="Z801" s="81"/>
      <c r="AA801" s="81"/>
      <c r="AB801" s="81"/>
      <c r="AC801" s="81"/>
      <c r="AD801" s="81"/>
      <c r="AE801" s="81"/>
      <c r="AF801" s="81"/>
      <c r="AG801" s="81"/>
      <c r="AH801" s="81"/>
    </row>
    <row r="802" spans="4:34" ht="14.25" customHeight="1"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1"/>
      <c r="Y802" s="81"/>
      <c r="Z802" s="81"/>
      <c r="AA802" s="81"/>
      <c r="AB802" s="81"/>
      <c r="AC802" s="81"/>
      <c r="AD802" s="81"/>
      <c r="AE802" s="81"/>
      <c r="AF802" s="81"/>
      <c r="AG802" s="81"/>
      <c r="AH802" s="81"/>
    </row>
    <row r="803" spans="4:34" ht="14.25" customHeight="1">
      <c r="D803" s="81"/>
      <c r="E803" s="81"/>
      <c r="F803" s="81"/>
      <c r="G803" s="81"/>
      <c r="H803" s="81"/>
      <c r="I803" s="81"/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1"/>
      <c r="Y803" s="81"/>
      <c r="Z803" s="81"/>
      <c r="AA803" s="81"/>
      <c r="AB803" s="81"/>
      <c r="AC803" s="81"/>
      <c r="AD803" s="81"/>
      <c r="AE803" s="81"/>
      <c r="AF803" s="81"/>
      <c r="AG803" s="81"/>
      <c r="AH803" s="81"/>
    </row>
    <row r="804" spans="4:34" ht="14.25" customHeight="1">
      <c r="D804" s="81"/>
      <c r="E804" s="81"/>
      <c r="F804" s="81"/>
      <c r="G804" s="81"/>
      <c r="H804" s="81"/>
      <c r="I804" s="81"/>
      <c r="J804" s="81"/>
      <c r="K804" s="81"/>
      <c r="L804" s="81"/>
      <c r="M804" s="81"/>
      <c r="N804" s="81"/>
      <c r="O804" s="81"/>
      <c r="P804" s="81"/>
      <c r="Q804" s="81"/>
      <c r="R804" s="81"/>
      <c r="S804" s="81"/>
      <c r="T804" s="81"/>
      <c r="U804" s="81"/>
      <c r="V804" s="81"/>
      <c r="W804" s="81"/>
      <c r="X804" s="81"/>
      <c r="Y804" s="81"/>
      <c r="Z804" s="81"/>
      <c r="AA804" s="81"/>
      <c r="AB804" s="81"/>
      <c r="AC804" s="81"/>
      <c r="AD804" s="81"/>
      <c r="AE804" s="81"/>
      <c r="AF804" s="81"/>
      <c r="AG804" s="81"/>
      <c r="AH804" s="81"/>
    </row>
    <row r="805" spans="4:34" ht="14.25" customHeight="1">
      <c r="D805" s="81"/>
      <c r="E805" s="81"/>
      <c r="F805" s="81"/>
      <c r="G805" s="81"/>
      <c r="H805" s="81"/>
      <c r="I805" s="81"/>
      <c r="J805" s="81"/>
      <c r="K805" s="81"/>
      <c r="L805" s="81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81"/>
      <c r="Y805" s="81"/>
      <c r="Z805" s="81"/>
      <c r="AA805" s="81"/>
      <c r="AB805" s="81"/>
      <c r="AC805" s="81"/>
      <c r="AD805" s="81"/>
      <c r="AE805" s="81"/>
      <c r="AF805" s="81"/>
      <c r="AG805" s="81"/>
      <c r="AH805" s="81"/>
    </row>
    <row r="806" spans="4:34" ht="14.25" customHeight="1"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  <c r="S806" s="81"/>
      <c r="T806" s="81"/>
      <c r="U806" s="81"/>
      <c r="V806" s="81"/>
      <c r="W806" s="81"/>
      <c r="X806" s="81"/>
      <c r="Y806" s="81"/>
      <c r="Z806" s="81"/>
      <c r="AA806" s="81"/>
      <c r="AB806" s="81"/>
      <c r="AC806" s="81"/>
      <c r="AD806" s="81"/>
      <c r="AE806" s="81"/>
      <c r="AF806" s="81"/>
      <c r="AG806" s="81"/>
      <c r="AH806" s="81"/>
    </row>
    <row r="807" spans="4:34" ht="14.25" customHeight="1">
      <c r="D807" s="81"/>
      <c r="E807" s="81"/>
      <c r="F807" s="81"/>
      <c r="G807" s="81"/>
      <c r="H807" s="81"/>
      <c r="I807" s="81"/>
      <c r="J807" s="81"/>
      <c r="K807" s="81"/>
      <c r="L807" s="81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81"/>
      <c r="Y807" s="81"/>
      <c r="Z807" s="81"/>
      <c r="AA807" s="81"/>
      <c r="AB807" s="81"/>
      <c r="AC807" s="81"/>
      <c r="AD807" s="81"/>
      <c r="AE807" s="81"/>
      <c r="AF807" s="81"/>
      <c r="AG807" s="81"/>
      <c r="AH807" s="81"/>
    </row>
    <row r="808" spans="4:34" ht="14.25" customHeight="1">
      <c r="D808" s="81"/>
      <c r="E808" s="81"/>
      <c r="F808" s="81"/>
      <c r="G808" s="81"/>
      <c r="H808" s="81"/>
      <c r="I808" s="81"/>
      <c r="J808" s="81"/>
      <c r="K808" s="81"/>
      <c r="L808" s="81"/>
      <c r="M808" s="81"/>
      <c r="N808" s="81"/>
      <c r="O808" s="81"/>
      <c r="P808" s="81"/>
      <c r="Q808" s="81"/>
      <c r="R808" s="81"/>
      <c r="S808" s="81"/>
      <c r="T808" s="81"/>
      <c r="U808" s="81"/>
      <c r="V808" s="81"/>
      <c r="W808" s="81"/>
      <c r="X808" s="81"/>
      <c r="Y808" s="81"/>
      <c r="Z808" s="81"/>
      <c r="AA808" s="81"/>
      <c r="AB808" s="81"/>
      <c r="AC808" s="81"/>
      <c r="AD808" s="81"/>
      <c r="AE808" s="81"/>
      <c r="AF808" s="81"/>
      <c r="AG808" s="81"/>
      <c r="AH808" s="81"/>
    </row>
    <row r="809" spans="4:34" ht="14.25" customHeight="1">
      <c r="D809" s="81"/>
      <c r="E809" s="81"/>
      <c r="F809" s="81"/>
      <c r="G809" s="81"/>
      <c r="H809" s="81"/>
      <c r="I809" s="81"/>
      <c r="J809" s="81"/>
      <c r="K809" s="81"/>
      <c r="L809" s="81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81"/>
      <c r="Y809" s="81"/>
      <c r="Z809" s="81"/>
      <c r="AA809" s="81"/>
      <c r="AB809" s="81"/>
      <c r="AC809" s="81"/>
      <c r="AD809" s="81"/>
      <c r="AE809" s="81"/>
      <c r="AF809" s="81"/>
      <c r="AG809" s="81"/>
      <c r="AH809" s="81"/>
    </row>
    <row r="810" spans="4:34" ht="14.25" customHeight="1"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  <c r="S810" s="81"/>
      <c r="T810" s="81"/>
      <c r="U810" s="81"/>
      <c r="V810" s="81"/>
      <c r="W810" s="81"/>
      <c r="X810" s="81"/>
      <c r="Y810" s="81"/>
      <c r="Z810" s="81"/>
      <c r="AA810" s="81"/>
      <c r="AB810" s="81"/>
      <c r="AC810" s="81"/>
      <c r="AD810" s="81"/>
      <c r="AE810" s="81"/>
      <c r="AF810" s="81"/>
      <c r="AG810" s="81"/>
      <c r="AH810" s="81"/>
    </row>
    <row r="811" spans="4:34" ht="14.25" customHeight="1">
      <c r="D811" s="81"/>
      <c r="E811" s="81"/>
      <c r="F811" s="81"/>
      <c r="G811" s="81"/>
      <c r="H811" s="81"/>
      <c r="I811" s="81"/>
      <c r="J811" s="81"/>
      <c r="K811" s="81"/>
      <c r="L811" s="81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81"/>
      <c r="Y811" s="81"/>
      <c r="Z811" s="81"/>
      <c r="AA811" s="81"/>
      <c r="AB811" s="81"/>
      <c r="AC811" s="81"/>
      <c r="AD811" s="81"/>
      <c r="AE811" s="81"/>
      <c r="AF811" s="81"/>
      <c r="AG811" s="81"/>
      <c r="AH811" s="81"/>
    </row>
    <row r="812" spans="4:34" ht="14.25" customHeight="1">
      <c r="D812" s="81"/>
      <c r="E812" s="81"/>
      <c r="F812" s="81"/>
      <c r="G812" s="81"/>
      <c r="H812" s="81"/>
      <c r="I812" s="81"/>
      <c r="J812" s="81"/>
      <c r="K812" s="81"/>
      <c r="L812" s="81"/>
      <c r="M812" s="81"/>
      <c r="N812" s="81"/>
      <c r="O812" s="81"/>
      <c r="P812" s="81"/>
      <c r="Q812" s="81"/>
      <c r="R812" s="81"/>
      <c r="S812" s="81"/>
      <c r="T812" s="81"/>
      <c r="U812" s="81"/>
      <c r="V812" s="81"/>
      <c r="W812" s="81"/>
      <c r="X812" s="81"/>
      <c r="Y812" s="81"/>
      <c r="Z812" s="81"/>
      <c r="AA812" s="81"/>
      <c r="AB812" s="81"/>
      <c r="AC812" s="81"/>
      <c r="AD812" s="81"/>
      <c r="AE812" s="81"/>
      <c r="AF812" s="81"/>
      <c r="AG812" s="81"/>
      <c r="AH812" s="81"/>
    </row>
    <row r="813" spans="4:34" ht="14.25" customHeight="1">
      <c r="D813" s="81"/>
      <c r="E813" s="81"/>
      <c r="F813" s="81"/>
      <c r="G813" s="81"/>
      <c r="H813" s="81"/>
      <c r="I813" s="81"/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1"/>
      <c r="Y813" s="81"/>
      <c r="Z813" s="81"/>
      <c r="AA813" s="81"/>
      <c r="AB813" s="81"/>
      <c r="AC813" s="81"/>
      <c r="AD813" s="81"/>
      <c r="AE813" s="81"/>
      <c r="AF813" s="81"/>
      <c r="AG813" s="81"/>
      <c r="AH813" s="81"/>
    </row>
    <row r="814" spans="4:34" ht="14.25" customHeight="1"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1"/>
      <c r="Y814" s="81"/>
      <c r="Z814" s="81"/>
      <c r="AA814" s="81"/>
      <c r="AB814" s="81"/>
      <c r="AC814" s="81"/>
      <c r="AD814" s="81"/>
      <c r="AE814" s="81"/>
      <c r="AF814" s="81"/>
      <c r="AG814" s="81"/>
      <c r="AH814" s="81"/>
    </row>
    <row r="815" spans="4:34" ht="14.25" customHeight="1">
      <c r="D815" s="81"/>
      <c r="E815" s="81"/>
      <c r="F815" s="81"/>
      <c r="G815" s="81"/>
      <c r="H815" s="81"/>
      <c r="I815" s="81"/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1"/>
      <c r="Y815" s="81"/>
      <c r="Z815" s="81"/>
      <c r="AA815" s="81"/>
      <c r="AB815" s="81"/>
      <c r="AC815" s="81"/>
      <c r="AD815" s="81"/>
      <c r="AE815" s="81"/>
      <c r="AF815" s="81"/>
      <c r="AG815" s="81"/>
      <c r="AH815" s="81"/>
    </row>
    <row r="816" spans="4:34" ht="14.25" customHeight="1">
      <c r="D816" s="81"/>
      <c r="E816" s="81"/>
      <c r="F816" s="81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1"/>
      <c r="Y816" s="81"/>
      <c r="Z816" s="81"/>
      <c r="AA816" s="81"/>
      <c r="AB816" s="81"/>
      <c r="AC816" s="81"/>
      <c r="AD816" s="81"/>
      <c r="AE816" s="81"/>
      <c r="AF816" s="81"/>
      <c r="AG816" s="81"/>
      <c r="AH816" s="81"/>
    </row>
    <row r="817" spans="4:34" ht="14.25" customHeight="1">
      <c r="D817" s="81"/>
      <c r="E817" s="81"/>
      <c r="F817" s="81"/>
      <c r="G817" s="81"/>
      <c r="H817" s="81"/>
      <c r="I817" s="81"/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1"/>
      <c r="Y817" s="81"/>
      <c r="Z817" s="81"/>
      <c r="AA817" s="81"/>
      <c r="AB817" s="81"/>
      <c r="AC817" s="81"/>
      <c r="AD817" s="81"/>
      <c r="AE817" s="81"/>
      <c r="AF817" s="81"/>
      <c r="AG817" s="81"/>
      <c r="AH817" s="81"/>
    </row>
    <row r="818" spans="4:34" ht="14.25" customHeight="1"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1"/>
      <c r="Y818" s="81"/>
      <c r="Z818" s="81"/>
      <c r="AA818" s="81"/>
      <c r="AB818" s="81"/>
      <c r="AC818" s="81"/>
      <c r="AD818" s="81"/>
      <c r="AE818" s="81"/>
      <c r="AF818" s="81"/>
      <c r="AG818" s="81"/>
      <c r="AH818" s="81"/>
    </row>
    <row r="819" spans="4:34" ht="14.25" customHeight="1">
      <c r="D819" s="81"/>
      <c r="E819" s="81"/>
      <c r="F819" s="81"/>
      <c r="G819" s="81"/>
      <c r="H819" s="81"/>
      <c r="I819" s="81"/>
      <c r="J819" s="81"/>
      <c r="K819" s="81"/>
      <c r="L819" s="81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81"/>
      <c r="Y819" s="81"/>
      <c r="Z819" s="81"/>
      <c r="AA819" s="81"/>
      <c r="AB819" s="81"/>
      <c r="AC819" s="81"/>
      <c r="AD819" s="81"/>
      <c r="AE819" s="81"/>
      <c r="AF819" s="81"/>
      <c r="AG819" s="81"/>
      <c r="AH819" s="81"/>
    </row>
    <row r="820" spans="4:34" ht="14.25" customHeight="1">
      <c r="D820" s="81"/>
      <c r="E820" s="81"/>
      <c r="F820" s="81"/>
      <c r="G820" s="81"/>
      <c r="H820" s="81"/>
      <c r="I820" s="81"/>
      <c r="J820" s="81"/>
      <c r="K820" s="81"/>
      <c r="L820" s="81"/>
      <c r="M820" s="81"/>
      <c r="N820" s="81"/>
      <c r="O820" s="81"/>
      <c r="P820" s="81"/>
      <c r="Q820" s="81"/>
      <c r="R820" s="81"/>
      <c r="S820" s="81"/>
      <c r="T820" s="81"/>
      <c r="U820" s="81"/>
      <c r="V820" s="81"/>
      <c r="W820" s="81"/>
      <c r="X820" s="81"/>
      <c r="Y820" s="81"/>
      <c r="Z820" s="81"/>
      <c r="AA820" s="81"/>
      <c r="AB820" s="81"/>
      <c r="AC820" s="81"/>
      <c r="AD820" s="81"/>
      <c r="AE820" s="81"/>
      <c r="AF820" s="81"/>
      <c r="AG820" s="81"/>
      <c r="AH820" s="81"/>
    </row>
    <row r="821" spans="4:34" ht="14.25" customHeight="1">
      <c r="D821" s="81"/>
      <c r="E821" s="81"/>
      <c r="F821" s="81"/>
      <c r="G821" s="81"/>
      <c r="H821" s="81"/>
      <c r="I821" s="81"/>
      <c r="J821" s="81"/>
      <c r="K821" s="81"/>
      <c r="L821" s="81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81"/>
      <c r="Y821" s="81"/>
      <c r="Z821" s="81"/>
      <c r="AA821" s="81"/>
      <c r="AB821" s="81"/>
      <c r="AC821" s="81"/>
      <c r="AD821" s="81"/>
      <c r="AE821" s="81"/>
      <c r="AF821" s="81"/>
      <c r="AG821" s="81"/>
      <c r="AH821" s="81"/>
    </row>
    <row r="822" spans="4:34" ht="14.25" customHeight="1"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1"/>
      <c r="Y822" s="81"/>
      <c r="Z822" s="81"/>
      <c r="AA822" s="81"/>
      <c r="AB822" s="81"/>
      <c r="AC822" s="81"/>
      <c r="AD822" s="81"/>
      <c r="AE822" s="81"/>
      <c r="AF822" s="81"/>
      <c r="AG822" s="81"/>
      <c r="AH822" s="81"/>
    </row>
    <row r="823" spans="4:34" ht="14.25" customHeight="1">
      <c r="D823" s="81"/>
      <c r="E823" s="81"/>
      <c r="F823" s="81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1"/>
      <c r="Y823" s="81"/>
      <c r="Z823" s="81"/>
      <c r="AA823" s="81"/>
      <c r="AB823" s="81"/>
      <c r="AC823" s="81"/>
      <c r="AD823" s="81"/>
      <c r="AE823" s="81"/>
      <c r="AF823" s="81"/>
      <c r="AG823" s="81"/>
      <c r="AH823" s="81"/>
    </row>
    <row r="824" spans="4:34" ht="14.25" customHeight="1">
      <c r="D824" s="81"/>
      <c r="E824" s="81"/>
      <c r="F824" s="81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1"/>
      <c r="Y824" s="81"/>
      <c r="Z824" s="81"/>
      <c r="AA824" s="81"/>
      <c r="AB824" s="81"/>
      <c r="AC824" s="81"/>
      <c r="AD824" s="81"/>
      <c r="AE824" s="81"/>
      <c r="AF824" s="81"/>
      <c r="AG824" s="81"/>
      <c r="AH824" s="81"/>
    </row>
    <row r="825" spans="4:34" ht="14.25" customHeight="1">
      <c r="D825" s="81"/>
      <c r="E825" s="81"/>
      <c r="F825" s="81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1"/>
      <c r="Y825" s="81"/>
      <c r="Z825" s="81"/>
      <c r="AA825" s="81"/>
      <c r="AB825" s="81"/>
      <c r="AC825" s="81"/>
      <c r="AD825" s="81"/>
      <c r="AE825" s="81"/>
      <c r="AF825" s="81"/>
      <c r="AG825" s="81"/>
      <c r="AH825" s="81"/>
    </row>
    <row r="826" spans="4:34" ht="14.25" customHeight="1"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1"/>
      <c r="Y826" s="81"/>
      <c r="Z826" s="81"/>
      <c r="AA826" s="81"/>
      <c r="AB826" s="81"/>
      <c r="AC826" s="81"/>
      <c r="AD826" s="81"/>
      <c r="AE826" s="81"/>
      <c r="AF826" s="81"/>
      <c r="AG826" s="81"/>
      <c r="AH826" s="81"/>
    </row>
    <row r="827" spans="4:34" ht="14.25" customHeight="1">
      <c r="D827" s="81"/>
      <c r="E827" s="81"/>
      <c r="F827" s="81"/>
      <c r="G827" s="81"/>
      <c r="H827" s="81"/>
      <c r="I827" s="81"/>
      <c r="J827" s="81"/>
      <c r="K827" s="81"/>
      <c r="L827" s="81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81"/>
      <c r="Y827" s="81"/>
      <c r="Z827" s="81"/>
      <c r="AA827" s="81"/>
      <c r="AB827" s="81"/>
      <c r="AC827" s="81"/>
      <c r="AD827" s="81"/>
      <c r="AE827" s="81"/>
      <c r="AF827" s="81"/>
      <c r="AG827" s="81"/>
      <c r="AH827" s="81"/>
    </row>
    <row r="828" spans="4:34" ht="14.25" customHeight="1">
      <c r="D828" s="81"/>
      <c r="E828" s="81"/>
      <c r="F828" s="81"/>
      <c r="G828" s="81"/>
      <c r="H828" s="81"/>
      <c r="I828" s="81"/>
      <c r="J828" s="81"/>
      <c r="K828" s="81"/>
      <c r="L828" s="81"/>
      <c r="M828" s="81"/>
      <c r="N828" s="81"/>
      <c r="O828" s="81"/>
      <c r="P828" s="81"/>
      <c r="Q828" s="81"/>
      <c r="R828" s="81"/>
      <c r="S828" s="81"/>
      <c r="T828" s="81"/>
      <c r="U828" s="81"/>
      <c r="V828" s="81"/>
      <c r="W828" s="81"/>
      <c r="X828" s="81"/>
      <c r="Y828" s="81"/>
      <c r="Z828" s="81"/>
      <c r="AA828" s="81"/>
      <c r="AB828" s="81"/>
      <c r="AC828" s="81"/>
      <c r="AD828" s="81"/>
      <c r="AE828" s="81"/>
      <c r="AF828" s="81"/>
      <c r="AG828" s="81"/>
      <c r="AH828" s="81"/>
    </row>
    <row r="829" spans="4:34" ht="14.25" customHeight="1">
      <c r="D829" s="81"/>
      <c r="E829" s="81"/>
      <c r="F829" s="81"/>
      <c r="G829" s="81"/>
      <c r="H829" s="81"/>
      <c r="I829" s="81"/>
      <c r="J829" s="81"/>
      <c r="K829" s="81"/>
      <c r="L829" s="81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81"/>
      <c r="Y829" s="81"/>
      <c r="Z829" s="81"/>
      <c r="AA829" s="81"/>
      <c r="AB829" s="81"/>
      <c r="AC829" s="81"/>
      <c r="AD829" s="81"/>
      <c r="AE829" s="81"/>
      <c r="AF829" s="81"/>
      <c r="AG829" s="81"/>
      <c r="AH829" s="81"/>
    </row>
    <row r="830" spans="4:34" ht="14.25" customHeight="1"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  <c r="S830" s="81"/>
      <c r="T830" s="81"/>
      <c r="U830" s="81"/>
      <c r="V830" s="81"/>
      <c r="W830" s="81"/>
      <c r="X830" s="81"/>
      <c r="Y830" s="81"/>
      <c r="Z830" s="81"/>
      <c r="AA830" s="81"/>
      <c r="AB830" s="81"/>
      <c r="AC830" s="81"/>
      <c r="AD830" s="81"/>
      <c r="AE830" s="81"/>
      <c r="AF830" s="81"/>
      <c r="AG830" s="81"/>
      <c r="AH830" s="81"/>
    </row>
    <row r="831" spans="4:34" ht="14.25" customHeight="1">
      <c r="D831" s="81"/>
      <c r="E831" s="81"/>
      <c r="F831" s="81"/>
      <c r="G831" s="81"/>
      <c r="H831" s="81"/>
      <c r="I831" s="81"/>
      <c r="J831" s="81"/>
      <c r="K831" s="81"/>
      <c r="L831" s="81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81"/>
      <c r="Y831" s="81"/>
      <c r="Z831" s="81"/>
      <c r="AA831" s="81"/>
      <c r="AB831" s="81"/>
      <c r="AC831" s="81"/>
      <c r="AD831" s="81"/>
      <c r="AE831" s="81"/>
      <c r="AF831" s="81"/>
      <c r="AG831" s="81"/>
      <c r="AH831" s="81"/>
    </row>
    <row r="832" spans="4:34" ht="14.25" customHeight="1">
      <c r="D832" s="81"/>
      <c r="E832" s="81"/>
      <c r="F832" s="81"/>
      <c r="G832" s="81"/>
      <c r="H832" s="81"/>
      <c r="I832" s="81"/>
      <c r="J832" s="81"/>
      <c r="K832" s="81"/>
      <c r="L832" s="81"/>
      <c r="M832" s="81"/>
      <c r="N832" s="81"/>
      <c r="O832" s="81"/>
      <c r="P832" s="81"/>
      <c r="Q832" s="81"/>
      <c r="R832" s="81"/>
      <c r="S832" s="81"/>
      <c r="T832" s="81"/>
      <c r="U832" s="81"/>
      <c r="V832" s="81"/>
      <c r="W832" s="81"/>
      <c r="X832" s="81"/>
      <c r="Y832" s="81"/>
      <c r="Z832" s="81"/>
      <c r="AA832" s="81"/>
      <c r="AB832" s="81"/>
      <c r="AC832" s="81"/>
      <c r="AD832" s="81"/>
      <c r="AE832" s="81"/>
      <c r="AF832" s="81"/>
      <c r="AG832" s="81"/>
      <c r="AH832" s="81"/>
    </row>
    <row r="833" spans="4:34" ht="14.25" customHeight="1">
      <c r="D833" s="81"/>
      <c r="E833" s="81"/>
      <c r="F833" s="81"/>
      <c r="G833" s="81"/>
      <c r="H833" s="81"/>
      <c r="I833" s="81"/>
      <c r="J833" s="81"/>
      <c r="K833" s="81"/>
      <c r="L833" s="81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81"/>
      <c r="Y833" s="81"/>
      <c r="Z833" s="81"/>
      <c r="AA833" s="81"/>
      <c r="AB833" s="81"/>
      <c r="AC833" s="81"/>
      <c r="AD833" s="81"/>
      <c r="AE833" s="81"/>
      <c r="AF833" s="81"/>
      <c r="AG833" s="81"/>
      <c r="AH833" s="81"/>
    </row>
    <row r="834" spans="4:34" ht="14.25" customHeight="1"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  <c r="S834" s="81"/>
      <c r="T834" s="81"/>
      <c r="U834" s="81"/>
      <c r="V834" s="81"/>
      <c r="W834" s="81"/>
      <c r="X834" s="81"/>
      <c r="Y834" s="81"/>
      <c r="Z834" s="81"/>
      <c r="AA834" s="81"/>
      <c r="AB834" s="81"/>
      <c r="AC834" s="81"/>
      <c r="AD834" s="81"/>
      <c r="AE834" s="81"/>
      <c r="AF834" s="81"/>
      <c r="AG834" s="81"/>
      <c r="AH834" s="81"/>
    </row>
    <row r="835" spans="4:34" ht="14.25" customHeight="1">
      <c r="D835" s="81"/>
      <c r="E835" s="81"/>
      <c r="F835" s="81"/>
      <c r="G835" s="81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1"/>
      <c r="Y835" s="81"/>
      <c r="Z835" s="81"/>
      <c r="AA835" s="81"/>
      <c r="AB835" s="81"/>
      <c r="AC835" s="81"/>
      <c r="AD835" s="81"/>
      <c r="AE835" s="81"/>
      <c r="AF835" s="81"/>
      <c r="AG835" s="81"/>
      <c r="AH835" s="81"/>
    </row>
    <row r="836" spans="4:34" ht="14.25" customHeight="1">
      <c r="D836" s="81"/>
      <c r="E836" s="81"/>
      <c r="F836" s="81"/>
      <c r="G836" s="81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1"/>
      <c r="Y836" s="81"/>
      <c r="Z836" s="81"/>
      <c r="AA836" s="81"/>
      <c r="AB836" s="81"/>
      <c r="AC836" s="81"/>
      <c r="AD836" s="81"/>
      <c r="AE836" s="81"/>
      <c r="AF836" s="81"/>
      <c r="AG836" s="81"/>
      <c r="AH836" s="81"/>
    </row>
    <row r="837" spans="4:34" ht="14.25" customHeight="1">
      <c r="D837" s="81"/>
      <c r="E837" s="81"/>
      <c r="F837" s="81"/>
      <c r="G837" s="81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1"/>
      <c r="Y837" s="81"/>
      <c r="Z837" s="81"/>
      <c r="AA837" s="81"/>
      <c r="AB837" s="81"/>
      <c r="AC837" s="81"/>
      <c r="AD837" s="81"/>
      <c r="AE837" s="81"/>
      <c r="AF837" s="81"/>
      <c r="AG837" s="81"/>
      <c r="AH837" s="81"/>
    </row>
    <row r="838" spans="4:34" ht="14.25" customHeight="1"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1"/>
      <c r="Y838" s="81"/>
      <c r="Z838" s="81"/>
      <c r="AA838" s="81"/>
      <c r="AB838" s="81"/>
      <c r="AC838" s="81"/>
      <c r="AD838" s="81"/>
      <c r="AE838" s="81"/>
      <c r="AF838" s="81"/>
      <c r="AG838" s="81"/>
      <c r="AH838" s="81"/>
    </row>
    <row r="839" spans="4:34" ht="14.25" customHeight="1">
      <c r="D839" s="81"/>
      <c r="E839" s="81"/>
      <c r="F839" s="81"/>
      <c r="G839" s="81"/>
      <c r="H839" s="81"/>
      <c r="I839" s="81"/>
      <c r="J839" s="81"/>
      <c r="K839" s="81"/>
      <c r="L839" s="81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81"/>
      <c r="Y839" s="81"/>
      <c r="Z839" s="81"/>
      <c r="AA839" s="81"/>
      <c r="AB839" s="81"/>
      <c r="AC839" s="81"/>
      <c r="AD839" s="81"/>
      <c r="AE839" s="81"/>
      <c r="AF839" s="81"/>
      <c r="AG839" s="81"/>
      <c r="AH839" s="81"/>
    </row>
    <row r="840" spans="4:34" ht="14.25" customHeight="1">
      <c r="D840" s="81"/>
      <c r="E840" s="81"/>
      <c r="F840" s="81"/>
      <c r="G840" s="81"/>
      <c r="H840" s="81"/>
      <c r="I840" s="81"/>
      <c r="J840" s="81"/>
      <c r="K840" s="81"/>
      <c r="L840" s="81"/>
      <c r="M840" s="81"/>
      <c r="N840" s="81"/>
      <c r="O840" s="81"/>
      <c r="P840" s="81"/>
      <c r="Q840" s="81"/>
      <c r="R840" s="81"/>
      <c r="S840" s="81"/>
      <c r="T840" s="81"/>
      <c r="U840" s="81"/>
      <c r="V840" s="81"/>
      <c r="W840" s="81"/>
      <c r="X840" s="81"/>
      <c r="Y840" s="81"/>
      <c r="Z840" s="81"/>
      <c r="AA840" s="81"/>
      <c r="AB840" s="81"/>
      <c r="AC840" s="81"/>
      <c r="AD840" s="81"/>
      <c r="AE840" s="81"/>
      <c r="AF840" s="81"/>
      <c r="AG840" s="81"/>
      <c r="AH840" s="81"/>
    </row>
    <row r="841" spans="4:34" ht="14.25" customHeight="1">
      <c r="D841" s="81"/>
      <c r="E841" s="81"/>
      <c r="F841" s="81"/>
      <c r="G841" s="81"/>
      <c r="H841" s="81"/>
      <c r="I841" s="81"/>
      <c r="J841" s="81"/>
      <c r="K841" s="81"/>
      <c r="L841" s="81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81"/>
      <c r="Y841" s="81"/>
      <c r="Z841" s="81"/>
      <c r="AA841" s="81"/>
      <c r="AB841" s="81"/>
      <c r="AC841" s="81"/>
      <c r="AD841" s="81"/>
      <c r="AE841" s="81"/>
      <c r="AF841" s="81"/>
      <c r="AG841" s="81"/>
      <c r="AH841" s="81"/>
    </row>
    <row r="842" spans="4:34" ht="14.25" customHeight="1"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  <c r="S842" s="81"/>
      <c r="T842" s="81"/>
      <c r="U842" s="81"/>
      <c r="V842" s="81"/>
      <c r="W842" s="81"/>
      <c r="X842" s="81"/>
      <c r="Y842" s="81"/>
      <c r="Z842" s="81"/>
      <c r="AA842" s="81"/>
      <c r="AB842" s="81"/>
      <c r="AC842" s="81"/>
      <c r="AD842" s="81"/>
      <c r="AE842" s="81"/>
      <c r="AF842" s="81"/>
      <c r="AG842" s="81"/>
      <c r="AH842" s="81"/>
    </row>
    <row r="843" spans="4:34" ht="14.25" customHeight="1">
      <c r="D843" s="81"/>
      <c r="E843" s="81"/>
      <c r="F843" s="81"/>
      <c r="G843" s="81"/>
      <c r="H843" s="81"/>
      <c r="I843" s="81"/>
      <c r="J843" s="81"/>
      <c r="K843" s="81"/>
      <c r="L843" s="81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81"/>
      <c r="Y843" s="81"/>
      <c r="Z843" s="81"/>
      <c r="AA843" s="81"/>
      <c r="AB843" s="81"/>
      <c r="AC843" s="81"/>
      <c r="AD843" s="81"/>
      <c r="AE843" s="81"/>
      <c r="AF843" s="81"/>
      <c r="AG843" s="81"/>
      <c r="AH843" s="81"/>
    </row>
    <row r="844" spans="4:34" ht="14.25" customHeight="1">
      <c r="D844" s="81"/>
      <c r="E844" s="81"/>
      <c r="F844" s="81"/>
      <c r="G844" s="81"/>
      <c r="H844" s="81"/>
      <c r="I844" s="81"/>
      <c r="J844" s="81"/>
      <c r="K844" s="81"/>
      <c r="L844" s="81"/>
      <c r="M844" s="81"/>
      <c r="N844" s="81"/>
      <c r="O844" s="81"/>
      <c r="P844" s="81"/>
      <c r="Q844" s="81"/>
      <c r="R844" s="81"/>
      <c r="S844" s="81"/>
      <c r="T844" s="81"/>
      <c r="U844" s="81"/>
      <c r="V844" s="81"/>
      <c r="W844" s="81"/>
      <c r="X844" s="81"/>
      <c r="Y844" s="81"/>
      <c r="Z844" s="81"/>
      <c r="AA844" s="81"/>
      <c r="AB844" s="81"/>
      <c r="AC844" s="81"/>
      <c r="AD844" s="81"/>
      <c r="AE844" s="81"/>
      <c r="AF844" s="81"/>
      <c r="AG844" s="81"/>
      <c r="AH844" s="81"/>
    </row>
    <row r="845" spans="4:34" ht="14.25" customHeight="1">
      <c r="D845" s="81"/>
      <c r="E845" s="81"/>
      <c r="F845" s="81"/>
      <c r="G845" s="81"/>
      <c r="H845" s="81"/>
      <c r="I845" s="81"/>
      <c r="J845" s="81"/>
      <c r="K845" s="81"/>
      <c r="L845" s="81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81"/>
      <c r="Y845" s="81"/>
      <c r="Z845" s="81"/>
      <c r="AA845" s="81"/>
      <c r="AB845" s="81"/>
      <c r="AC845" s="81"/>
      <c r="AD845" s="81"/>
      <c r="AE845" s="81"/>
      <c r="AF845" s="81"/>
      <c r="AG845" s="81"/>
      <c r="AH845" s="81"/>
    </row>
    <row r="846" spans="4:34" ht="14.25" customHeight="1"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  <c r="S846" s="81"/>
      <c r="T846" s="81"/>
      <c r="U846" s="81"/>
      <c r="V846" s="81"/>
      <c r="W846" s="81"/>
      <c r="X846" s="81"/>
      <c r="Y846" s="81"/>
      <c r="Z846" s="81"/>
      <c r="AA846" s="81"/>
      <c r="AB846" s="81"/>
      <c r="AC846" s="81"/>
      <c r="AD846" s="81"/>
      <c r="AE846" s="81"/>
      <c r="AF846" s="81"/>
      <c r="AG846" s="81"/>
      <c r="AH846" s="81"/>
    </row>
    <row r="847" spans="4:34" ht="14.25" customHeight="1">
      <c r="D847" s="81"/>
      <c r="E847" s="81"/>
      <c r="F847" s="81"/>
      <c r="G847" s="81"/>
      <c r="H847" s="81"/>
      <c r="I847" s="81"/>
      <c r="J847" s="81"/>
      <c r="K847" s="81"/>
      <c r="L847" s="81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81"/>
      <c r="Y847" s="81"/>
      <c r="Z847" s="81"/>
      <c r="AA847" s="81"/>
      <c r="AB847" s="81"/>
      <c r="AC847" s="81"/>
      <c r="AD847" s="81"/>
      <c r="AE847" s="81"/>
      <c r="AF847" s="81"/>
      <c r="AG847" s="81"/>
      <c r="AH847" s="81"/>
    </row>
    <row r="848" spans="4:34" ht="14.25" customHeight="1">
      <c r="D848" s="81"/>
      <c r="E848" s="81"/>
      <c r="F848" s="81"/>
      <c r="G848" s="81"/>
      <c r="H848" s="81"/>
      <c r="I848" s="81"/>
      <c r="J848" s="81"/>
      <c r="K848" s="81"/>
      <c r="L848" s="81"/>
      <c r="M848" s="81"/>
      <c r="N848" s="81"/>
      <c r="O848" s="81"/>
      <c r="P848" s="81"/>
      <c r="Q848" s="81"/>
      <c r="R848" s="81"/>
      <c r="S848" s="81"/>
      <c r="T848" s="81"/>
      <c r="U848" s="81"/>
      <c r="V848" s="81"/>
      <c r="W848" s="81"/>
      <c r="X848" s="81"/>
      <c r="Y848" s="81"/>
      <c r="Z848" s="81"/>
      <c r="AA848" s="81"/>
      <c r="AB848" s="81"/>
      <c r="AC848" s="81"/>
      <c r="AD848" s="81"/>
      <c r="AE848" s="81"/>
      <c r="AF848" s="81"/>
      <c r="AG848" s="81"/>
      <c r="AH848" s="81"/>
    </row>
    <row r="849" spans="4:34" ht="14.25" customHeight="1">
      <c r="D849" s="81"/>
      <c r="E849" s="81"/>
      <c r="F849" s="81"/>
      <c r="G849" s="81"/>
      <c r="H849" s="81"/>
      <c r="I849" s="81"/>
      <c r="J849" s="81"/>
      <c r="K849" s="81"/>
      <c r="L849" s="81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81"/>
      <c r="Y849" s="81"/>
      <c r="Z849" s="81"/>
      <c r="AA849" s="81"/>
      <c r="AB849" s="81"/>
      <c r="AC849" s="81"/>
      <c r="AD849" s="81"/>
      <c r="AE849" s="81"/>
      <c r="AF849" s="81"/>
      <c r="AG849" s="81"/>
      <c r="AH849" s="81"/>
    </row>
    <row r="850" spans="4:34" ht="14.25" customHeight="1"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  <c r="S850" s="81"/>
      <c r="T850" s="81"/>
      <c r="U850" s="81"/>
      <c r="V850" s="81"/>
      <c r="W850" s="81"/>
      <c r="X850" s="81"/>
      <c r="Y850" s="81"/>
      <c r="Z850" s="81"/>
      <c r="AA850" s="81"/>
      <c r="AB850" s="81"/>
      <c r="AC850" s="81"/>
      <c r="AD850" s="81"/>
      <c r="AE850" s="81"/>
      <c r="AF850" s="81"/>
      <c r="AG850" s="81"/>
      <c r="AH850" s="81"/>
    </row>
    <row r="851" spans="4:34" ht="14.25" customHeight="1">
      <c r="D851" s="81"/>
      <c r="E851" s="81"/>
      <c r="F851" s="81"/>
      <c r="G851" s="81"/>
      <c r="H851" s="81"/>
      <c r="I851" s="81"/>
      <c r="J851" s="81"/>
      <c r="K851" s="81"/>
      <c r="L851" s="81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81"/>
      <c r="Y851" s="81"/>
      <c r="Z851" s="81"/>
      <c r="AA851" s="81"/>
      <c r="AB851" s="81"/>
      <c r="AC851" s="81"/>
      <c r="AD851" s="81"/>
      <c r="AE851" s="81"/>
      <c r="AF851" s="81"/>
      <c r="AG851" s="81"/>
      <c r="AH851" s="81"/>
    </row>
    <row r="852" spans="4:34" ht="14.25" customHeight="1">
      <c r="D852" s="81"/>
      <c r="E852" s="81"/>
      <c r="F852" s="81"/>
      <c r="G852" s="81"/>
      <c r="H852" s="81"/>
      <c r="I852" s="81"/>
      <c r="J852" s="81"/>
      <c r="K852" s="81"/>
      <c r="L852" s="81"/>
      <c r="M852" s="81"/>
      <c r="N852" s="81"/>
      <c r="O852" s="81"/>
      <c r="P852" s="81"/>
      <c r="Q852" s="81"/>
      <c r="R852" s="81"/>
      <c r="S852" s="81"/>
      <c r="T852" s="81"/>
      <c r="U852" s="81"/>
      <c r="V852" s="81"/>
      <c r="W852" s="81"/>
      <c r="X852" s="81"/>
      <c r="Y852" s="81"/>
      <c r="Z852" s="81"/>
      <c r="AA852" s="81"/>
      <c r="AB852" s="81"/>
      <c r="AC852" s="81"/>
      <c r="AD852" s="81"/>
      <c r="AE852" s="81"/>
      <c r="AF852" s="81"/>
      <c r="AG852" s="81"/>
      <c r="AH852" s="81"/>
    </row>
    <row r="853" spans="4:34" ht="14.25" customHeight="1">
      <c r="D853" s="81"/>
      <c r="E853" s="81"/>
      <c r="F853" s="81"/>
      <c r="G853" s="81"/>
      <c r="H853" s="81"/>
      <c r="I853" s="81"/>
      <c r="J853" s="81"/>
      <c r="K853" s="81"/>
      <c r="L853" s="81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81"/>
      <c r="Y853" s="81"/>
      <c r="Z853" s="81"/>
      <c r="AA853" s="81"/>
      <c r="AB853" s="81"/>
      <c r="AC853" s="81"/>
      <c r="AD853" s="81"/>
      <c r="AE853" s="81"/>
      <c r="AF853" s="81"/>
      <c r="AG853" s="81"/>
      <c r="AH853" s="81"/>
    </row>
    <row r="854" spans="4:34" ht="14.25" customHeight="1"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  <c r="S854" s="81"/>
      <c r="T854" s="81"/>
      <c r="U854" s="81"/>
      <c r="V854" s="81"/>
      <c r="W854" s="81"/>
      <c r="X854" s="81"/>
      <c r="Y854" s="81"/>
      <c r="Z854" s="81"/>
      <c r="AA854" s="81"/>
      <c r="AB854" s="81"/>
      <c r="AC854" s="81"/>
      <c r="AD854" s="81"/>
      <c r="AE854" s="81"/>
      <c r="AF854" s="81"/>
      <c r="AG854" s="81"/>
      <c r="AH854" s="81"/>
    </row>
    <row r="855" spans="4:34" ht="14.25" customHeight="1">
      <c r="D855" s="81"/>
      <c r="E855" s="81"/>
      <c r="F855" s="81"/>
      <c r="G855" s="81"/>
      <c r="H855" s="81"/>
      <c r="I855" s="81"/>
      <c r="J855" s="81"/>
      <c r="K855" s="81"/>
      <c r="L855" s="81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81"/>
      <c r="Y855" s="81"/>
      <c r="Z855" s="81"/>
      <c r="AA855" s="81"/>
      <c r="AB855" s="81"/>
      <c r="AC855" s="81"/>
      <c r="AD855" s="81"/>
      <c r="AE855" s="81"/>
      <c r="AF855" s="81"/>
      <c r="AG855" s="81"/>
      <c r="AH855" s="81"/>
    </row>
    <row r="856" spans="4:34" ht="14.25" customHeight="1">
      <c r="D856" s="81"/>
      <c r="E856" s="81"/>
      <c r="F856" s="81"/>
      <c r="G856" s="81"/>
      <c r="H856" s="81"/>
      <c r="I856" s="81"/>
      <c r="J856" s="81"/>
      <c r="K856" s="81"/>
      <c r="L856" s="81"/>
      <c r="M856" s="81"/>
      <c r="N856" s="81"/>
      <c r="O856" s="81"/>
      <c r="P856" s="81"/>
      <c r="Q856" s="81"/>
      <c r="R856" s="81"/>
      <c r="S856" s="81"/>
      <c r="T856" s="81"/>
      <c r="U856" s="81"/>
      <c r="V856" s="81"/>
      <c r="W856" s="81"/>
      <c r="X856" s="81"/>
      <c r="Y856" s="81"/>
      <c r="Z856" s="81"/>
      <c r="AA856" s="81"/>
      <c r="AB856" s="81"/>
      <c r="AC856" s="81"/>
      <c r="AD856" s="81"/>
      <c r="AE856" s="81"/>
      <c r="AF856" s="81"/>
      <c r="AG856" s="81"/>
      <c r="AH856" s="81"/>
    </row>
    <row r="857" spans="4:34" ht="14.25" customHeight="1">
      <c r="D857" s="81"/>
      <c r="E857" s="81"/>
      <c r="F857" s="81"/>
      <c r="G857" s="81"/>
      <c r="H857" s="81"/>
      <c r="I857" s="81"/>
      <c r="J857" s="81"/>
      <c r="K857" s="81"/>
      <c r="L857" s="81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81"/>
      <c r="Y857" s="81"/>
      <c r="Z857" s="81"/>
      <c r="AA857" s="81"/>
      <c r="AB857" s="81"/>
      <c r="AC857" s="81"/>
      <c r="AD857" s="81"/>
      <c r="AE857" s="81"/>
      <c r="AF857" s="81"/>
      <c r="AG857" s="81"/>
      <c r="AH857" s="81"/>
    </row>
    <row r="858" spans="4:34" ht="14.25" customHeight="1"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  <c r="S858" s="81"/>
      <c r="T858" s="81"/>
      <c r="U858" s="81"/>
      <c r="V858" s="81"/>
      <c r="W858" s="81"/>
      <c r="X858" s="81"/>
      <c r="Y858" s="81"/>
      <c r="Z858" s="81"/>
      <c r="AA858" s="81"/>
      <c r="AB858" s="81"/>
      <c r="AC858" s="81"/>
      <c r="AD858" s="81"/>
      <c r="AE858" s="81"/>
      <c r="AF858" s="81"/>
      <c r="AG858" s="81"/>
      <c r="AH858" s="81"/>
    </row>
    <row r="859" spans="4:34" ht="14.25" customHeight="1">
      <c r="D859" s="81"/>
      <c r="E859" s="81"/>
      <c r="F859" s="81"/>
      <c r="G859" s="81"/>
      <c r="H859" s="81"/>
      <c r="I859" s="81"/>
      <c r="J859" s="81"/>
      <c r="K859" s="81"/>
      <c r="L859" s="81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81"/>
      <c r="Y859" s="81"/>
      <c r="Z859" s="81"/>
      <c r="AA859" s="81"/>
      <c r="AB859" s="81"/>
      <c r="AC859" s="81"/>
      <c r="AD859" s="81"/>
      <c r="AE859" s="81"/>
      <c r="AF859" s="81"/>
      <c r="AG859" s="81"/>
      <c r="AH859" s="81"/>
    </row>
    <row r="860" spans="4:34" ht="14.25" customHeight="1">
      <c r="D860" s="81"/>
      <c r="E860" s="81"/>
      <c r="F860" s="81"/>
      <c r="G860" s="81"/>
      <c r="H860" s="81"/>
      <c r="I860" s="81"/>
      <c r="J860" s="81"/>
      <c r="K860" s="81"/>
      <c r="L860" s="81"/>
      <c r="M860" s="81"/>
      <c r="N860" s="81"/>
      <c r="O860" s="81"/>
      <c r="P860" s="81"/>
      <c r="Q860" s="81"/>
      <c r="R860" s="81"/>
      <c r="S860" s="81"/>
      <c r="T860" s="81"/>
      <c r="U860" s="81"/>
      <c r="V860" s="81"/>
      <c r="W860" s="81"/>
      <c r="X860" s="81"/>
      <c r="Y860" s="81"/>
      <c r="Z860" s="81"/>
      <c r="AA860" s="81"/>
      <c r="AB860" s="81"/>
      <c r="AC860" s="81"/>
      <c r="AD860" s="81"/>
      <c r="AE860" s="81"/>
      <c r="AF860" s="81"/>
      <c r="AG860" s="81"/>
      <c r="AH860" s="81"/>
    </row>
    <row r="861" spans="4:34" ht="14.25" customHeight="1">
      <c r="D861" s="81"/>
      <c r="E861" s="81"/>
      <c r="F861" s="81"/>
      <c r="G861" s="81"/>
      <c r="H861" s="81"/>
      <c r="I861" s="81"/>
      <c r="J861" s="81"/>
      <c r="K861" s="81"/>
      <c r="L861" s="81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81"/>
      <c r="Y861" s="81"/>
      <c r="Z861" s="81"/>
      <c r="AA861" s="81"/>
      <c r="AB861" s="81"/>
      <c r="AC861" s="81"/>
      <c r="AD861" s="81"/>
      <c r="AE861" s="81"/>
      <c r="AF861" s="81"/>
      <c r="AG861" s="81"/>
      <c r="AH861" s="81"/>
    </row>
    <row r="862" spans="4:34" ht="14.25" customHeight="1"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  <c r="S862" s="81"/>
      <c r="T862" s="81"/>
      <c r="U862" s="81"/>
      <c r="V862" s="81"/>
      <c r="W862" s="81"/>
      <c r="X862" s="81"/>
      <c r="Y862" s="81"/>
      <c r="Z862" s="81"/>
      <c r="AA862" s="81"/>
      <c r="AB862" s="81"/>
      <c r="AC862" s="81"/>
      <c r="AD862" s="81"/>
      <c r="AE862" s="81"/>
      <c r="AF862" s="81"/>
      <c r="AG862" s="81"/>
      <c r="AH862" s="81"/>
    </row>
    <row r="863" spans="4:34" ht="14.25" customHeight="1">
      <c r="D863" s="81"/>
      <c r="E863" s="81"/>
      <c r="F863" s="81"/>
      <c r="G863" s="81"/>
      <c r="H863" s="81"/>
      <c r="I863" s="81"/>
      <c r="J863" s="81"/>
      <c r="K863" s="81"/>
      <c r="L863" s="81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81"/>
      <c r="Y863" s="81"/>
      <c r="Z863" s="81"/>
      <c r="AA863" s="81"/>
      <c r="AB863" s="81"/>
      <c r="AC863" s="81"/>
      <c r="AD863" s="81"/>
      <c r="AE863" s="81"/>
      <c r="AF863" s="81"/>
      <c r="AG863" s="81"/>
      <c r="AH863" s="81"/>
    </row>
    <row r="864" spans="4:34" ht="14.25" customHeight="1">
      <c r="D864" s="81"/>
      <c r="E864" s="81"/>
      <c r="F864" s="81"/>
      <c r="G864" s="81"/>
      <c r="H864" s="81"/>
      <c r="I864" s="81"/>
      <c r="J864" s="81"/>
      <c r="K864" s="81"/>
      <c r="L864" s="81"/>
      <c r="M864" s="81"/>
      <c r="N864" s="81"/>
      <c r="O864" s="81"/>
      <c r="P864" s="81"/>
      <c r="Q864" s="81"/>
      <c r="R864" s="81"/>
      <c r="S864" s="81"/>
      <c r="T864" s="81"/>
      <c r="U864" s="81"/>
      <c r="V864" s="81"/>
      <c r="W864" s="81"/>
      <c r="X864" s="81"/>
      <c r="Y864" s="81"/>
      <c r="Z864" s="81"/>
      <c r="AA864" s="81"/>
      <c r="AB864" s="81"/>
      <c r="AC864" s="81"/>
      <c r="AD864" s="81"/>
      <c r="AE864" s="81"/>
      <c r="AF864" s="81"/>
      <c r="AG864" s="81"/>
      <c r="AH864" s="81"/>
    </row>
    <row r="865" spans="4:34" ht="14.25" customHeight="1">
      <c r="D865" s="81"/>
      <c r="E865" s="81"/>
      <c r="F865" s="81"/>
      <c r="G865" s="81"/>
      <c r="H865" s="81"/>
      <c r="I865" s="81"/>
      <c r="J865" s="81"/>
      <c r="K865" s="81"/>
      <c r="L865" s="81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81"/>
      <c r="Y865" s="81"/>
      <c r="Z865" s="81"/>
      <c r="AA865" s="81"/>
      <c r="AB865" s="81"/>
      <c r="AC865" s="81"/>
      <c r="AD865" s="81"/>
      <c r="AE865" s="81"/>
      <c r="AF865" s="81"/>
      <c r="AG865" s="81"/>
      <c r="AH865" s="81"/>
    </row>
    <row r="866" spans="4:34" ht="14.25" customHeight="1"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  <c r="S866" s="81"/>
      <c r="T866" s="81"/>
      <c r="U866" s="81"/>
      <c r="V866" s="81"/>
      <c r="W866" s="81"/>
      <c r="X866" s="81"/>
      <c r="Y866" s="81"/>
      <c r="Z866" s="81"/>
      <c r="AA866" s="81"/>
      <c r="AB866" s="81"/>
      <c r="AC866" s="81"/>
      <c r="AD866" s="81"/>
      <c r="AE866" s="81"/>
      <c r="AF866" s="81"/>
      <c r="AG866" s="81"/>
      <c r="AH866" s="81"/>
    </row>
    <row r="867" spans="4:34" ht="14.25" customHeight="1">
      <c r="D867" s="81"/>
      <c r="E867" s="81"/>
      <c r="F867" s="81"/>
      <c r="G867" s="81"/>
      <c r="H867" s="81"/>
      <c r="I867" s="81"/>
      <c r="J867" s="81"/>
      <c r="K867" s="81"/>
      <c r="L867" s="81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81"/>
      <c r="Y867" s="81"/>
      <c r="Z867" s="81"/>
      <c r="AA867" s="81"/>
      <c r="AB867" s="81"/>
      <c r="AC867" s="81"/>
      <c r="AD867" s="81"/>
      <c r="AE867" s="81"/>
      <c r="AF867" s="81"/>
      <c r="AG867" s="81"/>
      <c r="AH867" s="81"/>
    </row>
    <row r="868" spans="4:34" ht="14.25" customHeight="1">
      <c r="D868" s="81"/>
      <c r="E868" s="81"/>
      <c r="F868" s="81"/>
      <c r="G868" s="81"/>
      <c r="H868" s="81"/>
      <c r="I868" s="81"/>
      <c r="J868" s="81"/>
      <c r="K868" s="81"/>
      <c r="L868" s="81"/>
      <c r="M868" s="81"/>
      <c r="N868" s="81"/>
      <c r="O868" s="81"/>
      <c r="P868" s="81"/>
      <c r="Q868" s="81"/>
      <c r="R868" s="81"/>
      <c r="S868" s="81"/>
      <c r="T868" s="81"/>
      <c r="U868" s="81"/>
      <c r="V868" s="81"/>
      <c r="W868" s="81"/>
      <c r="X868" s="81"/>
      <c r="Y868" s="81"/>
      <c r="Z868" s="81"/>
      <c r="AA868" s="81"/>
      <c r="AB868" s="81"/>
      <c r="AC868" s="81"/>
      <c r="AD868" s="81"/>
      <c r="AE868" s="81"/>
      <c r="AF868" s="81"/>
      <c r="AG868" s="81"/>
      <c r="AH868" s="81"/>
    </row>
    <row r="869" spans="4:34" ht="14.25" customHeight="1">
      <c r="D869" s="81"/>
      <c r="E869" s="81"/>
      <c r="F869" s="81"/>
      <c r="G869" s="81"/>
      <c r="H869" s="81"/>
      <c r="I869" s="81"/>
      <c r="J869" s="81"/>
      <c r="K869" s="81"/>
      <c r="L869" s="81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81"/>
      <c r="Y869" s="81"/>
      <c r="Z869" s="81"/>
      <c r="AA869" s="81"/>
      <c r="AB869" s="81"/>
      <c r="AC869" s="81"/>
      <c r="AD869" s="81"/>
      <c r="AE869" s="81"/>
      <c r="AF869" s="81"/>
      <c r="AG869" s="81"/>
      <c r="AH869" s="81"/>
    </row>
    <row r="870" spans="4:34" ht="14.25" customHeight="1"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  <c r="S870" s="81"/>
      <c r="T870" s="81"/>
      <c r="U870" s="81"/>
      <c r="V870" s="81"/>
      <c r="W870" s="81"/>
      <c r="X870" s="81"/>
      <c r="Y870" s="81"/>
      <c r="Z870" s="81"/>
      <c r="AA870" s="81"/>
      <c r="AB870" s="81"/>
      <c r="AC870" s="81"/>
      <c r="AD870" s="81"/>
      <c r="AE870" s="81"/>
      <c r="AF870" s="81"/>
      <c r="AG870" s="81"/>
      <c r="AH870" s="81"/>
    </row>
    <row r="871" spans="4:34" ht="14.25" customHeight="1">
      <c r="D871" s="81"/>
      <c r="E871" s="81"/>
      <c r="F871" s="81"/>
      <c r="G871" s="81"/>
      <c r="H871" s="81"/>
      <c r="I871" s="81"/>
      <c r="J871" s="81"/>
      <c r="K871" s="81"/>
      <c r="L871" s="81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81"/>
      <c r="Y871" s="81"/>
      <c r="Z871" s="81"/>
      <c r="AA871" s="81"/>
      <c r="AB871" s="81"/>
      <c r="AC871" s="81"/>
      <c r="AD871" s="81"/>
      <c r="AE871" s="81"/>
      <c r="AF871" s="81"/>
      <c r="AG871" s="81"/>
      <c r="AH871" s="81"/>
    </row>
    <row r="872" spans="4:34" ht="14.25" customHeight="1">
      <c r="D872" s="81"/>
      <c r="E872" s="81"/>
      <c r="F872" s="81"/>
      <c r="G872" s="81"/>
      <c r="H872" s="81"/>
      <c r="I872" s="81"/>
      <c r="J872" s="81"/>
      <c r="K872" s="81"/>
      <c r="L872" s="81"/>
      <c r="M872" s="81"/>
      <c r="N872" s="81"/>
      <c r="O872" s="81"/>
      <c r="P872" s="81"/>
      <c r="Q872" s="81"/>
      <c r="R872" s="81"/>
      <c r="S872" s="81"/>
      <c r="T872" s="81"/>
      <c r="U872" s="81"/>
      <c r="V872" s="81"/>
      <c r="W872" s="81"/>
      <c r="X872" s="81"/>
      <c r="Y872" s="81"/>
      <c r="Z872" s="81"/>
      <c r="AA872" s="81"/>
      <c r="AB872" s="81"/>
      <c r="AC872" s="81"/>
      <c r="AD872" s="81"/>
      <c r="AE872" s="81"/>
      <c r="AF872" s="81"/>
      <c r="AG872" s="81"/>
      <c r="AH872" s="81"/>
    </row>
    <row r="873" spans="4:34" ht="14.25" customHeight="1">
      <c r="D873" s="81"/>
      <c r="E873" s="81"/>
      <c r="F873" s="81"/>
      <c r="G873" s="81"/>
      <c r="H873" s="81"/>
      <c r="I873" s="81"/>
      <c r="J873" s="81"/>
      <c r="K873" s="81"/>
      <c r="L873" s="81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81"/>
      <c r="Y873" s="81"/>
      <c r="Z873" s="81"/>
      <c r="AA873" s="81"/>
      <c r="AB873" s="81"/>
      <c r="AC873" s="81"/>
      <c r="AD873" s="81"/>
      <c r="AE873" s="81"/>
      <c r="AF873" s="81"/>
      <c r="AG873" s="81"/>
      <c r="AH873" s="81"/>
    </row>
    <row r="874" spans="4:34" ht="14.25" customHeight="1"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  <c r="S874" s="81"/>
      <c r="T874" s="81"/>
      <c r="U874" s="81"/>
      <c r="V874" s="81"/>
      <c r="W874" s="81"/>
      <c r="X874" s="81"/>
      <c r="Y874" s="81"/>
      <c r="Z874" s="81"/>
      <c r="AA874" s="81"/>
      <c r="AB874" s="81"/>
      <c r="AC874" s="81"/>
      <c r="AD874" s="81"/>
      <c r="AE874" s="81"/>
      <c r="AF874" s="81"/>
      <c r="AG874" s="81"/>
      <c r="AH874" s="81"/>
    </row>
    <row r="875" spans="4:34" ht="14.25" customHeight="1">
      <c r="D875" s="81"/>
      <c r="E875" s="81"/>
      <c r="F875" s="81"/>
      <c r="G875" s="81"/>
      <c r="H875" s="81"/>
      <c r="I875" s="81"/>
      <c r="J875" s="81"/>
      <c r="K875" s="81"/>
      <c r="L875" s="81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81"/>
      <c r="Y875" s="81"/>
      <c r="Z875" s="81"/>
      <c r="AA875" s="81"/>
      <c r="AB875" s="81"/>
      <c r="AC875" s="81"/>
      <c r="AD875" s="81"/>
      <c r="AE875" s="81"/>
      <c r="AF875" s="81"/>
      <c r="AG875" s="81"/>
      <c r="AH875" s="81"/>
    </row>
    <row r="876" spans="4:34" ht="14.25" customHeight="1">
      <c r="D876" s="81"/>
      <c r="E876" s="81"/>
      <c r="F876" s="81"/>
      <c r="G876" s="81"/>
      <c r="H876" s="81"/>
      <c r="I876" s="81"/>
      <c r="J876" s="81"/>
      <c r="K876" s="81"/>
      <c r="L876" s="81"/>
      <c r="M876" s="81"/>
      <c r="N876" s="81"/>
      <c r="O876" s="81"/>
      <c r="P876" s="81"/>
      <c r="Q876" s="81"/>
      <c r="R876" s="81"/>
      <c r="S876" s="81"/>
      <c r="T876" s="81"/>
      <c r="U876" s="81"/>
      <c r="V876" s="81"/>
      <c r="W876" s="81"/>
      <c r="X876" s="81"/>
      <c r="Y876" s="81"/>
      <c r="Z876" s="81"/>
      <c r="AA876" s="81"/>
      <c r="AB876" s="81"/>
      <c r="AC876" s="81"/>
      <c r="AD876" s="81"/>
      <c r="AE876" s="81"/>
      <c r="AF876" s="81"/>
      <c r="AG876" s="81"/>
      <c r="AH876" s="81"/>
    </row>
    <row r="877" spans="4:34" ht="14.25" customHeight="1">
      <c r="D877" s="81"/>
      <c r="E877" s="81"/>
      <c r="F877" s="81"/>
      <c r="G877" s="81"/>
      <c r="H877" s="81"/>
      <c r="I877" s="81"/>
      <c r="J877" s="81"/>
      <c r="K877" s="81"/>
      <c r="L877" s="81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81"/>
      <c r="Y877" s="81"/>
      <c r="Z877" s="81"/>
      <c r="AA877" s="81"/>
      <c r="AB877" s="81"/>
      <c r="AC877" s="81"/>
      <c r="AD877" s="81"/>
      <c r="AE877" s="81"/>
      <c r="AF877" s="81"/>
      <c r="AG877" s="81"/>
      <c r="AH877" s="81"/>
    </row>
    <row r="878" spans="4:34" ht="14.25" customHeight="1"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  <c r="S878" s="81"/>
      <c r="T878" s="81"/>
      <c r="U878" s="81"/>
      <c r="V878" s="81"/>
      <c r="W878" s="81"/>
      <c r="X878" s="81"/>
      <c r="Y878" s="81"/>
      <c r="Z878" s="81"/>
      <c r="AA878" s="81"/>
      <c r="AB878" s="81"/>
      <c r="AC878" s="81"/>
      <c r="AD878" s="81"/>
      <c r="AE878" s="81"/>
      <c r="AF878" s="81"/>
      <c r="AG878" s="81"/>
      <c r="AH878" s="81"/>
    </row>
    <row r="879" spans="4:34" ht="14.25" customHeight="1">
      <c r="D879" s="81"/>
      <c r="E879" s="81"/>
      <c r="F879" s="81"/>
      <c r="G879" s="81"/>
      <c r="H879" s="81"/>
      <c r="I879" s="81"/>
      <c r="J879" s="81"/>
      <c r="K879" s="81"/>
      <c r="L879" s="81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81"/>
      <c r="Y879" s="81"/>
      <c r="Z879" s="81"/>
      <c r="AA879" s="81"/>
      <c r="AB879" s="81"/>
      <c r="AC879" s="81"/>
      <c r="AD879" s="81"/>
      <c r="AE879" s="81"/>
      <c r="AF879" s="81"/>
      <c r="AG879" s="81"/>
      <c r="AH879" s="81"/>
    </row>
    <row r="880" spans="4:34" ht="14.25" customHeight="1">
      <c r="D880" s="81"/>
      <c r="E880" s="81"/>
      <c r="F880" s="81"/>
      <c r="G880" s="81"/>
      <c r="H880" s="81"/>
      <c r="I880" s="81"/>
      <c r="J880" s="81"/>
      <c r="K880" s="81"/>
      <c r="L880" s="81"/>
      <c r="M880" s="81"/>
      <c r="N880" s="81"/>
      <c r="O880" s="81"/>
      <c r="P880" s="81"/>
      <c r="Q880" s="81"/>
      <c r="R880" s="81"/>
      <c r="S880" s="81"/>
      <c r="T880" s="81"/>
      <c r="U880" s="81"/>
      <c r="V880" s="81"/>
      <c r="W880" s="81"/>
      <c r="X880" s="81"/>
      <c r="Y880" s="81"/>
      <c r="Z880" s="81"/>
      <c r="AA880" s="81"/>
      <c r="AB880" s="81"/>
      <c r="AC880" s="81"/>
      <c r="AD880" s="81"/>
      <c r="AE880" s="81"/>
      <c r="AF880" s="81"/>
      <c r="AG880" s="81"/>
      <c r="AH880" s="81"/>
    </row>
    <row r="881" spans="4:34" ht="14.25" customHeight="1">
      <c r="D881" s="81"/>
      <c r="E881" s="81"/>
      <c r="F881" s="81"/>
      <c r="G881" s="81"/>
      <c r="H881" s="81"/>
      <c r="I881" s="81"/>
      <c r="J881" s="81"/>
      <c r="K881" s="81"/>
      <c r="L881" s="81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81"/>
      <c r="Y881" s="81"/>
      <c r="Z881" s="81"/>
      <c r="AA881" s="81"/>
      <c r="AB881" s="81"/>
      <c r="AC881" s="81"/>
      <c r="AD881" s="81"/>
      <c r="AE881" s="81"/>
      <c r="AF881" s="81"/>
      <c r="AG881" s="81"/>
      <c r="AH881" s="81"/>
    </row>
    <row r="882" spans="4:34" ht="14.25" customHeight="1"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  <c r="S882" s="81"/>
      <c r="T882" s="81"/>
      <c r="U882" s="81"/>
      <c r="V882" s="81"/>
      <c r="W882" s="81"/>
      <c r="X882" s="81"/>
      <c r="Y882" s="81"/>
      <c r="Z882" s="81"/>
      <c r="AA882" s="81"/>
      <c r="AB882" s="81"/>
      <c r="AC882" s="81"/>
      <c r="AD882" s="81"/>
      <c r="AE882" s="81"/>
      <c r="AF882" s="81"/>
      <c r="AG882" s="81"/>
      <c r="AH882" s="81"/>
    </row>
    <row r="883" spans="4:34" ht="14.25" customHeight="1">
      <c r="D883" s="81"/>
      <c r="E883" s="81"/>
      <c r="F883" s="81"/>
      <c r="G883" s="81"/>
      <c r="H883" s="81"/>
      <c r="I883" s="81"/>
      <c r="J883" s="81"/>
      <c r="K883" s="81"/>
      <c r="L883" s="81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81"/>
      <c r="Y883" s="81"/>
      <c r="Z883" s="81"/>
      <c r="AA883" s="81"/>
      <c r="AB883" s="81"/>
      <c r="AC883" s="81"/>
      <c r="AD883" s="81"/>
      <c r="AE883" s="81"/>
      <c r="AF883" s="81"/>
      <c r="AG883" s="81"/>
      <c r="AH883" s="81"/>
    </row>
    <row r="884" spans="4:34" ht="14.25" customHeight="1">
      <c r="D884" s="81"/>
      <c r="E884" s="81"/>
      <c r="F884" s="81"/>
      <c r="G884" s="81"/>
      <c r="H884" s="81"/>
      <c r="I884" s="81"/>
      <c r="J884" s="81"/>
      <c r="K884" s="81"/>
      <c r="L884" s="81"/>
      <c r="M884" s="81"/>
      <c r="N884" s="81"/>
      <c r="O884" s="81"/>
      <c r="P884" s="81"/>
      <c r="Q884" s="81"/>
      <c r="R884" s="81"/>
      <c r="S884" s="81"/>
      <c r="T884" s="81"/>
      <c r="U884" s="81"/>
      <c r="V884" s="81"/>
      <c r="W884" s="81"/>
      <c r="X884" s="81"/>
      <c r="Y884" s="81"/>
      <c r="Z884" s="81"/>
      <c r="AA884" s="81"/>
      <c r="AB884" s="81"/>
      <c r="AC884" s="81"/>
      <c r="AD884" s="81"/>
      <c r="AE884" s="81"/>
      <c r="AF884" s="81"/>
      <c r="AG884" s="81"/>
      <c r="AH884" s="81"/>
    </row>
    <row r="885" spans="4:34" ht="14.25" customHeight="1">
      <c r="D885" s="81"/>
      <c r="E885" s="81"/>
      <c r="F885" s="81"/>
      <c r="G885" s="81"/>
      <c r="H885" s="81"/>
      <c r="I885" s="81"/>
      <c r="J885" s="81"/>
      <c r="K885" s="81"/>
      <c r="L885" s="81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81"/>
      <c r="Y885" s="81"/>
      <c r="Z885" s="81"/>
      <c r="AA885" s="81"/>
      <c r="AB885" s="81"/>
      <c r="AC885" s="81"/>
      <c r="AD885" s="81"/>
      <c r="AE885" s="81"/>
      <c r="AF885" s="81"/>
      <c r="AG885" s="81"/>
      <c r="AH885" s="81"/>
    </row>
    <row r="886" spans="4:34" ht="14.25" customHeight="1"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  <c r="S886" s="81"/>
      <c r="T886" s="81"/>
      <c r="U886" s="81"/>
      <c r="V886" s="81"/>
      <c r="W886" s="81"/>
      <c r="X886" s="81"/>
      <c r="Y886" s="81"/>
      <c r="Z886" s="81"/>
      <c r="AA886" s="81"/>
      <c r="AB886" s="81"/>
      <c r="AC886" s="81"/>
      <c r="AD886" s="81"/>
      <c r="AE886" s="81"/>
      <c r="AF886" s="81"/>
      <c r="AG886" s="81"/>
      <c r="AH886" s="81"/>
    </row>
    <row r="887" spans="4:34" ht="14.25" customHeight="1">
      <c r="D887" s="81"/>
      <c r="E887" s="81"/>
      <c r="F887" s="81"/>
      <c r="G887" s="81"/>
      <c r="H887" s="81"/>
      <c r="I887" s="81"/>
      <c r="J887" s="81"/>
      <c r="K887" s="81"/>
      <c r="L887" s="81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81"/>
      <c r="Y887" s="81"/>
      <c r="Z887" s="81"/>
      <c r="AA887" s="81"/>
      <c r="AB887" s="81"/>
      <c r="AC887" s="81"/>
      <c r="AD887" s="81"/>
      <c r="AE887" s="81"/>
      <c r="AF887" s="81"/>
      <c r="AG887" s="81"/>
      <c r="AH887" s="81"/>
    </row>
    <row r="888" spans="4:34" ht="14.25" customHeight="1">
      <c r="D888" s="81"/>
      <c r="E888" s="81"/>
      <c r="F888" s="81"/>
      <c r="G888" s="81"/>
      <c r="H888" s="81"/>
      <c r="I888" s="81"/>
      <c r="J888" s="81"/>
      <c r="K888" s="81"/>
      <c r="L888" s="81"/>
      <c r="M888" s="81"/>
      <c r="N888" s="81"/>
      <c r="O888" s="81"/>
      <c r="P888" s="81"/>
      <c r="Q888" s="81"/>
      <c r="R888" s="81"/>
      <c r="S888" s="81"/>
      <c r="T888" s="81"/>
      <c r="U888" s="81"/>
      <c r="V888" s="81"/>
      <c r="W888" s="81"/>
      <c r="X888" s="81"/>
      <c r="Y888" s="81"/>
      <c r="Z888" s="81"/>
      <c r="AA888" s="81"/>
      <c r="AB888" s="81"/>
      <c r="AC888" s="81"/>
      <c r="AD888" s="81"/>
      <c r="AE888" s="81"/>
      <c r="AF888" s="81"/>
      <c r="AG888" s="81"/>
      <c r="AH888" s="81"/>
    </row>
    <row r="889" spans="4:34" ht="14.25" customHeight="1">
      <c r="D889" s="81"/>
      <c r="E889" s="81"/>
      <c r="F889" s="81"/>
      <c r="G889" s="81"/>
      <c r="H889" s="81"/>
      <c r="I889" s="81"/>
      <c r="J889" s="81"/>
      <c r="K889" s="81"/>
      <c r="L889" s="81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81"/>
      <c r="Y889" s="81"/>
      <c r="Z889" s="81"/>
      <c r="AA889" s="81"/>
      <c r="AB889" s="81"/>
      <c r="AC889" s="81"/>
      <c r="AD889" s="81"/>
      <c r="AE889" s="81"/>
      <c r="AF889" s="81"/>
      <c r="AG889" s="81"/>
      <c r="AH889" s="81"/>
    </row>
    <row r="890" spans="4:34" ht="14.25" customHeight="1"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  <c r="S890" s="81"/>
      <c r="T890" s="81"/>
      <c r="U890" s="81"/>
      <c r="V890" s="81"/>
      <c r="W890" s="81"/>
      <c r="X890" s="81"/>
      <c r="Y890" s="81"/>
      <c r="Z890" s="81"/>
      <c r="AA890" s="81"/>
      <c r="AB890" s="81"/>
      <c r="AC890" s="81"/>
      <c r="AD890" s="81"/>
      <c r="AE890" s="81"/>
      <c r="AF890" s="81"/>
      <c r="AG890" s="81"/>
      <c r="AH890" s="81"/>
    </row>
    <row r="891" spans="4:34" ht="14.25" customHeight="1">
      <c r="D891" s="81"/>
      <c r="E891" s="81"/>
      <c r="F891" s="81"/>
      <c r="G891" s="81"/>
      <c r="H891" s="81"/>
      <c r="I891" s="81"/>
      <c r="J891" s="81"/>
      <c r="K891" s="81"/>
      <c r="L891" s="81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81"/>
      <c r="Y891" s="81"/>
      <c r="Z891" s="81"/>
      <c r="AA891" s="81"/>
      <c r="AB891" s="81"/>
      <c r="AC891" s="81"/>
      <c r="AD891" s="81"/>
      <c r="AE891" s="81"/>
      <c r="AF891" s="81"/>
      <c r="AG891" s="81"/>
      <c r="AH891" s="81"/>
    </row>
    <row r="892" spans="4:34" ht="14.25" customHeight="1">
      <c r="D892" s="81"/>
      <c r="E892" s="81"/>
      <c r="F892" s="81"/>
      <c r="G892" s="81"/>
      <c r="H892" s="81"/>
      <c r="I892" s="81"/>
      <c r="J892" s="81"/>
      <c r="K892" s="81"/>
      <c r="L892" s="81"/>
      <c r="M892" s="81"/>
      <c r="N892" s="81"/>
      <c r="O892" s="81"/>
      <c r="P892" s="81"/>
      <c r="Q892" s="81"/>
      <c r="R892" s="81"/>
      <c r="S892" s="81"/>
      <c r="T892" s="81"/>
      <c r="U892" s="81"/>
      <c r="V892" s="81"/>
      <c r="W892" s="81"/>
      <c r="X892" s="81"/>
      <c r="Y892" s="81"/>
      <c r="Z892" s="81"/>
      <c r="AA892" s="81"/>
      <c r="AB892" s="81"/>
      <c r="AC892" s="81"/>
      <c r="AD892" s="81"/>
      <c r="AE892" s="81"/>
      <c r="AF892" s="81"/>
      <c r="AG892" s="81"/>
      <c r="AH892" s="81"/>
    </row>
    <row r="893" spans="4:34" ht="14.25" customHeight="1">
      <c r="D893" s="81"/>
      <c r="E893" s="81"/>
      <c r="F893" s="81"/>
      <c r="G893" s="81"/>
      <c r="H893" s="81"/>
      <c r="I893" s="81"/>
      <c r="J893" s="81"/>
      <c r="K893" s="81"/>
      <c r="L893" s="81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81"/>
      <c r="Y893" s="81"/>
      <c r="Z893" s="81"/>
      <c r="AA893" s="81"/>
      <c r="AB893" s="81"/>
      <c r="AC893" s="81"/>
      <c r="AD893" s="81"/>
      <c r="AE893" s="81"/>
      <c r="AF893" s="81"/>
      <c r="AG893" s="81"/>
      <c r="AH893" s="81"/>
    </row>
    <row r="894" spans="4:34" ht="14.25" customHeight="1"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  <c r="S894" s="81"/>
      <c r="T894" s="81"/>
      <c r="U894" s="81"/>
      <c r="V894" s="81"/>
      <c r="W894" s="81"/>
      <c r="X894" s="81"/>
      <c r="Y894" s="81"/>
      <c r="Z894" s="81"/>
      <c r="AA894" s="81"/>
      <c r="AB894" s="81"/>
      <c r="AC894" s="81"/>
      <c r="AD894" s="81"/>
      <c r="AE894" s="81"/>
      <c r="AF894" s="81"/>
      <c r="AG894" s="81"/>
      <c r="AH894" s="81"/>
    </row>
    <row r="895" spans="4:34" ht="14.25" customHeight="1">
      <c r="D895" s="81"/>
      <c r="E895" s="81"/>
      <c r="F895" s="81"/>
      <c r="G895" s="81"/>
      <c r="H895" s="81"/>
      <c r="I895" s="81"/>
      <c r="J895" s="81"/>
      <c r="K895" s="81"/>
      <c r="L895" s="81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81"/>
      <c r="Y895" s="81"/>
      <c r="Z895" s="81"/>
      <c r="AA895" s="81"/>
      <c r="AB895" s="81"/>
      <c r="AC895" s="81"/>
      <c r="AD895" s="81"/>
      <c r="AE895" s="81"/>
      <c r="AF895" s="81"/>
      <c r="AG895" s="81"/>
      <c r="AH895" s="81"/>
    </row>
    <row r="896" spans="4:34" ht="14.25" customHeight="1">
      <c r="D896" s="81"/>
      <c r="E896" s="81"/>
      <c r="F896" s="81"/>
      <c r="G896" s="81"/>
      <c r="H896" s="81"/>
      <c r="I896" s="81"/>
      <c r="J896" s="81"/>
      <c r="K896" s="81"/>
      <c r="L896" s="81"/>
      <c r="M896" s="81"/>
      <c r="N896" s="81"/>
      <c r="O896" s="81"/>
      <c r="P896" s="81"/>
      <c r="Q896" s="81"/>
      <c r="R896" s="81"/>
      <c r="S896" s="81"/>
      <c r="T896" s="81"/>
      <c r="U896" s="81"/>
      <c r="V896" s="81"/>
      <c r="W896" s="81"/>
      <c r="X896" s="81"/>
      <c r="Y896" s="81"/>
      <c r="Z896" s="81"/>
      <c r="AA896" s="81"/>
      <c r="AB896" s="81"/>
      <c r="AC896" s="81"/>
      <c r="AD896" s="81"/>
      <c r="AE896" s="81"/>
      <c r="AF896" s="81"/>
      <c r="AG896" s="81"/>
      <c r="AH896" s="81"/>
    </row>
    <row r="897" spans="4:34" ht="14.25" customHeight="1">
      <c r="D897" s="81"/>
      <c r="E897" s="81"/>
      <c r="F897" s="81"/>
      <c r="G897" s="81"/>
      <c r="H897" s="81"/>
      <c r="I897" s="81"/>
      <c r="J897" s="81"/>
      <c r="K897" s="81"/>
      <c r="L897" s="81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81"/>
      <c r="Y897" s="81"/>
      <c r="Z897" s="81"/>
      <c r="AA897" s="81"/>
      <c r="AB897" s="81"/>
      <c r="AC897" s="81"/>
      <c r="AD897" s="81"/>
      <c r="AE897" s="81"/>
      <c r="AF897" s="81"/>
      <c r="AG897" s="81"/>
      <c r="AH897" s="81"/>
    </row>
    <row r="898" spans="4:34" ht="14.25" customHeight="1"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  <c r="S898" s="81"/>
      <c r="T898" s="81"/>
      <c r="U898" s="81"/>
      <c r="V898" s="81"/>
      <c r="W898" s="81"/>
      <c r="X898" s="81"/>
      <c r="Y898" s="81"/>
      <c r="Z898" s="81"/>
      <c r="AA898" s="81"/>
      <c r="AB898" s="81"/>
      <c r="AC898" s="81"/>
      <c r="AD898" s="81"/>
      <c r="AE898" s="81"/>
      <c r="AF898" s="81"/>
      <c r="AG898" s="81"/>
      <c r="AH898" s="81"/>
    </row>
    <row r="899" spans="4:34" ht="14.25" customHeight="1">
      <c r="D899" s="81"/>
      <c r="E899" s="81"/>
      <c r="F899" s="81"/>
      <c r="G899" s="81"/>
      <c r="H899" s="81"/>
      <c r="I899" s="81"/>
      <c r="J899" s="81"/>
      <c r="K899" s="81"/>
      <c r="L899" s="81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81"/>
      <c r="Y899" s="81"/>
      <c r="Z899" s="81"/>
      <c r="AA899" s="81"/>
      <c r="AB899" s="81"/>
      <c r="AC899" s="81"/>
      <c r="AD899" s="81"/>
      <c r="AE899" s="81"/>
      <c r="AF899" s="81"/>
      <c r="AG899" s="81"/>
      <c r="AH899" s="81"/>
    </row>
    <row r="900" spans="4:34" ht="14.25" customHeight="1">
      <c r="D900" s="81"/>
      <c r="E900" s="81"/>
      <c r="F900" s="81"/>
      <c r="G900" s="81"/>
      <c r="H900" s="81"/>
      <c r="I900" s="81"/>
      <c r="J900" s="81"/>
      <c r="K900" s="81"/>
      <c r="L900" s="81"/>
      <c r="M900" s="81"/>
      <c r="N900" s="81"/>
      <c r="O900" s="81"/>
      <c r="P900" s="81"/>
      <c r="Q900" s="81"/>
      <c r="R900" s="81"/>
      <c r="S900" s="81"/>
      <c r="T900" s="81"/>
      <c r="U900" s="81"/>
      <c r="V900" s="81"/>
      <c r="W900" s="81"/>
      <c r="X900" s="81"/>
      <c r="Y900" s="81"/>
      <c r="Z900" s="81"/>
      <c r="AA900" s="81"/>
      <c r="AB900" s="81"/>
      <c r="AC900" s="81"/>
      <c r="AD900" s="81"/>
      <c r="AE900" s="81"/>
      <c r="AF900" s="81"/>
      <c r="AG900" s="81"/>
      <c r="AH900" s="81"/>
    </row>
    <row r="901" spans="4:34" ht="14.25" customHeight="1">
      <c r="D901" s="81"/>
      <c r="E901" s="81"/>
      <c r="F901" s="81"/>
      <c r="G901" s="81"/>
      <c r="H901" s="81"/>
      <c r="I901" s="81"/>
      <c r="J901" s="81"/>
      <c r="K901" s="81"/>
      <c r="L901" s="81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81"/>
      <c r="Y901" s="81"/>
      <c r="Z901" s="81"/>
      <c r="AA901" s="81"/>
      <c r="AB901" s="81"/>
      <c r="AC901" s="81"/>
      <c r="AD901" s="81"/>
      <c r="AE901" s="81"/>
      <c r="AF901" s="81"/>
      <c r="AG901" s="81"/>
      <c r="AH901" s="81"/>
    </row>
    <row r="902" spans="4:34" ht="14.25" customHeight="1"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  <c r="S902" s="81"/>
      <c r="T902" s="81"/>
      <c r="U902" s="81"/>
      <c r="V902" s="81"/>
      <c r="W902" s="81"/>
      <c r="X902" s="81"/>
      <c r="Y902" s="81"/>
      <c r="Z902" s="81"/>
      <c r="AA902" s="81"/>
      <c r="AB902" s="81"/>
      <c r="AC902" s="81"/>
      <c r="AD902" s="81"/>
      <c r="AE902" s="81"/>
      <c r="AF902" s="81"/>
      <c r="AG902" s="81"/>
      <c r="AH902" s="81"/>
    </row>
    <row r="903" spans="4:34" ht="14.25" customHeight="1">
      <c r="D903" s="81"/>
      <c r="E903" s="81"/>
      <c r="F903" s="81"/>
      <c r="G903" s="81"/>
      <c r="H903" s="81"/>
      <c r="I903" s="81"/>
      <c r="J903" s="81"/>
      <c r="K903" s="81"/>
      <c r="L903" s="81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81"/>
      <c r="Y903" s="81"/>
      <c r="Z903" s="81"/>
      <c r="AA903" s="81"/>
      <c r="AB903" s="81"/>
      <c r="AC903" s="81"/>
      <c r="AD903" s="81"/>
      <c r="AE903" s="81"/>
      <c r="AF903" s="81"/>
      <c r="AG903" s="81"/>
      <c r="AH903" s="81"/>
    </row>
    <row r="904" spans="4:34" ht="14.25" customHeight="1">
      <c r="D904" s="81"/>
      <c r="E904" s="81"/>
      <c r="F904" s="81"/>
      <c r="G904" s="81"/>
      <c r="H904" s="81"/>
      <c r="I904" s="81"/>
      <c r="J904" s="81"/>
      <c r="K904" s="81"/>
      <c r="L904" s="81"/>
      <c r="M904" s="81"/>
      <c r="N904" s="81"/>
      <c r="O904" s="81"/>
      <c r="P904" s="81"/>
      <c r="Q904" s="81"/>
      <c r="R904" s="81"/>
      <c r="S904" s="81"/>
      <c r="T904" s="81"/>
      <c r="U904" s="81"/>
      <c r="V904" s="81"/>
      <c r="W904" s="81"/>
      <c r="X904" s="81"/>
      <c r="Y904" s="81"/>
      <c r="Z904" s="81"/>
      <c r="AA904" s="81"/>
      <c r="AB904" s="81"/>
      <c r="AC904" s="81"/>
      <c r="AD904" s="81"/>
      <c r="AE904" s="81"/>
      <c r="AF904" s="81"/>
      <c r="AG904" s="81"/>
      <c r="AH904" s="81"/>
    </row>
    <row r="905" spans="4:34" ht="14.25" customHeight="1">
      <c r="D905" s="81"/>
      <c r="E905" s="81"/>
      <c r="F905" s="81"/>
      <c r="G905" s="81"/>
      <c r="H905" s="81"/>
      <c r="I905" s="81"/>
      <c r="J905" s="81"/>
      <c r="K905" s="81"/>
      <c r="L905" s="81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81"/>
      <c r="Y905" s="81"/>
      <c r="Z905" s="81"/>
      <c r="AA905" s="81"/>
      <c r="AB905" s="81"/>
      <c r="AC905" s="81"/>
      <c r="AD905" s="81"/>
      <c r="AE905" s="81"/>
      <c r="AF905" s="81"/>
      <c r="AG905" s="81"/>
      <c r="AH905" s="81"/>
    </row>
    <row r="906" spans="4:34" ht="14.25" customHeight="1"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  <c r="S906" s="81"/>
      <c r="T906" s="81"/>
      <c r="U906" s="81"/>
      <c r="V906" s="81"/>
      <c r="W906" s="81"/>
      <c r="X906" s="81"/>
      <c r="Y906" s="81"/>
      <c r="Z906" s="81"/>
      <c r="AA906" s="81"/>
      <c r="AB906" s="81"/>
      <c r="AC906" s="81"/>
      <c r="AD906" s="81"/>
      <c r="AE906" s="81"/>
      <c r="AF906" s="81"/>
      <c r="AG906" s="81"/>
      <c r="AH906" s="81"/>
    </row>
    <row r="907" spans="4:34" ht="14.25" customHeight="1">
      <c r="D907" s="81"/>
      <c r="E907" s="81"/>
      <c r="F907" s="81"/>
      <c r="G907" s="81"/>
      <c r="H907" s="81"/>
      <c r="I907" s="81"/>
      <c r="J907" s="81"/>
      <c r="K907" s="81"/>
      <c r="L907" s="81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81"/>
      <c r="Y907" s="81"/>
      <c r="Z907" s="81"/>
      <c r="AA907" s="81"/>
      <c r="AB907" s="81"/>
      <c r="AC907" s="81"/>
      <c r="AD907" s="81"/>
      <c r="AE907" s="81"/>
      <c r="AF907" s="81"/>
      <c r="AG907" s="81"/>
      <c r="AH907" s="81"/>
    </row>
    <row r="908" spans="4:34" ht="14.25" customHeight="1">
      <c r="D908" s="81"/>
      <c r="E908" s="81"/>
      <c r="F908" s="81"/>
      <c r="G908" s="81"/>
      <c r="H908" s="81"/>
      <c r="I908" s="81"/>
      <c r="J908" s="81"/>
      <c r="K908" s="81"/>
      <c r="L908" s="81"/>
      <c r="M908" s="81"/>
      <c r="N908" s="81"/>
      <c r="O908" s="81"/>
      <c r="P908" s="81"/>
      <c r="Q908" s="81"/>
      <c r="R908" s="81"/>
      <c r="S908" s="81"/>
      <c r="T908" s="81"/>
      <c r="U908" s="81"/>
      <c r="V908" s="81"/>
      <c r="W908" s="81"/>
      <c r="X908" s="81"/>
      <c r="Y908" s="81"/>
      <c r="Z908" s="81"/>
      <c r="AA908" s="81"/>
      <c r="AB908" s="81"/>
      <c r="AC908" s="81"/>
      <c r="AD908" s="81"/>
      <c r="AE908" s="81"/>
      <c r="AF908" s="81"/>
      <c r="AG908" s="81"/>
      <c r="AH908" s="81"/>
    </row>
    <row r="909" spans="4:34" ht="14.25" customHeight="1">
      <c r="D909" s="81"/>
      <c r="E909" s="81"/>
      <c r="F909" s="81"/>
      <c r="G909" s="81"/>
      <c r="H909" s="81"/>
      <c r="I909" s="81"/>
      <c r="J909" s="81"/>
      <c r="K909" s="81"/>
      <c r="L909" s="81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81"/>
      <c r="Y909" s="81"/>
      <c r="Z909" s="81"/>
      <c r="AA909" s="81"/>
      <c r="AB909" s="81"/>
      <c r="AC909" s="81"/>
      <c r="AD909" s="81"/>
      <c r="AE909" s="81"/>
      <c r="AF909" s="81"/>
      <c r="AG909" s="81"/>
      <c r="AH909" s="81"/>
    </row>
    <row r="910" spans="4:34" ht="14.25" customHeight="1"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  <c r="S910" s="81"/>
      <c r="T910" s="81"/>
      <c r="U910" s="81"/>
      <c r="V910" s="81"/>
      <c r="W910" s="81"/>
      <c r="X910" s="81"/>
      <c r="Y910" s="81"/>
      <c r="Z910" s="81"/>
      <c r="AA910" s="81"/>
      <c r="AB910" s="81"/>
      <c r="AC910" s="81"/>
      <c r="AD910" s="81"/>
      <c r="AE910" s="81"/>
      <c r="AF910" s="81"/>
      <c r="AG910" s="81"/>
      <c r="AH910" s="81"/>
    </row>
    <row r="911" spans="4:34" ht="14.25" customHeight="1">
      <c r="D911" s="81"/>
      <c r="E911" s="81"/>
      <c r="F911" s="81"/>
      <c r="G911" s="81"/>
      <c r="H911" s="81"/>
      <c r="I911" s="81"/>
      <c r="J911" s="81"/>
      <c r="K911" s="81"/>
      <c r="L911" s="81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81"/>
      <c r="Y911" s="81"/>
      <c r="Z911" s="81"/>
      <c r="AA911" s="81"/>
      <c r="AB911" s="81"/>
      <c r="AC911" s="81"/>
      <c r="AD911" s="81"/>
      <c r="AE911" s="81"/>
      <c r="AF911" s="81"/>
      <c r="AG911" s="81"/>
      <c r="AH911" s="81"/>
    </row>
    <row r="912" spans="4:34" ht="14.25" customHeight="1">
      <c r="D912" s="81"/>
      <c r="E912" s="81"/>
      <c r="F912" s="81"/>
      <c r="G912" s="81"/>
      <c r="H912" s="81"/>
      <c r="I912" s="81"/>
      <c r="J912" s="81"/>
      <c r="K912" s="81"/>
      <c r="L912" s="81"/>
      <c r="M912" s="81"/>
      <c r="N912" s="81"/>
      <c r="O912" s="81"/>
      <c r="P912" s="81"/>
      <c r="Q912" s="81"/>
      <c r="R912" s="81"/>
      <c r="S912" s="81"/>
      <c r="T912" s="81"/>
      <c r="U912" s="81"/>
      <c r="V912" s="81"/>
      <c r="W912" s="81"/>
      <c r="X912" s="81"/>
      <c r="Y912" s="81"/>
      <c r="Z912" s="81"/>
      <c r="AA912" s="81"/>
      <c r="AB912" s="81"/>
      <c r="AC912" s="81"/>
      <c r="AD912" s="81"/>
      <c r="AE912" s="81"/>
      <c r="AF912" s="81"/>
      <c r="AG912" s="81"/>
      <c r="AH912" s="81"/>
    </row>
    <row r="913" spans="4:34" ht="14.25" customHeight="1">
      <c r="D913" s="81"/>
      <c r="E913" s="81"/>
      <c r="F913" s="81"/>
      <c r="G913" s="81"/>
      <c r="H913" s="81"/>
      <c r="I913" s="81"/>
      <c r="J913" s="81"/>
      <c r="K913" s="81"/>
      <c r="L913" s="81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81"/>
      <c r="Y913" s="81"/>
      <c r="Z913" s="81"/>
      <c r="AA913" s="81"/>
      <c r="AB913" s="81"/>
      <c r="AC913" s="81"/>
      <c r="AD913" s="81"/>
      <c r="AE913" s="81"/>
      <c r="AF913" s="81"/>
      <c r="AG913" s="81"/>
      <c r="AH913" s="81"/>
    </row>
    <row r="914" spans="4:34" ht="14.25" customHeight="1"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  <c r="S914" s="81"/>
      <c r="T914" s="81"/>
      <c r="U914" s="81"/>
      <c r="V914" s="81"/>
      <c r="W914" s="81"/>
      <c r="X914" s="81"/>
      <c r="Y914" s="81"/>
      <c r="Z914" s="81"/>
      <c r="AA914" s="81"/>
      <c r="AB914" s="81"/>
      <c r="AC914" s="81"/>
      <c r="AD914" s="81"/>
      <c r="AE914" s="81"/>
      <c r="AF914" s="81"/>
      <c r="AG914" s="81"/>
      <c r="AH914" s="81"/>
    </row>
    <row r="915" spans="4:34" ht="14.25" customHeight="1">
      <c r="D915" s="81"/>
      <c r="E915" s="81"/>
      <c r="F915" s="81"/>
      <c r="G915" s="81"/>
      <c r="H915" s="81"/>
      <c r="I915" s="81"/>
      <c r="J915" s="81"/>
      <c r="K915" s="81"/>
      <c r="L915" s="81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81"/>
      <c r="Y915" s="81"/>
      <c r="Z915" s="81"/>
      <c r="AA915" s="81"/>
      <c r="AB915" s="81"/>
      <c r="AC915" s="81"/>
      <c r="AD915" s="81"/>
      <c r="AE915" s="81"/>
      <c r="AF915" s="81"/>
      <c r="AG915" s="81"/>
      <c r="AH915" s="81"/>
    </row>
    <row r="916" spans="4:34" ht="14.25" customHeight="1">
      <c r="D916" s="81"/>
      <c r="E916" s="81"/>
      <c r="F916" s="81"/>
      <c r="G916" s="81"/>
      <c r="H916" s="81"/>
      <c r="I916" s="81"/>
      <c r="J916" s="81"/>
      <c r="K916" s="81"/>
      <c r="L916" s="81"/>
      <c r="M916" s="81"/>
      <c r="N916" s="81"/>
      <c r="O916" s="81"/>
      <c r="P916" s="81"/>
      <c r="Q916" s="81"/>
      <c r="R916" s="81"/>
      <c r="S916" s="81"/>
      <c r="T916" s="81"/>
      <c r="U916" s="81"/>
      <c r="V916" s="81"/>
      <c r="W916" s="81"/>
      <c r="X916" s="81"/>
      <c r="Y916" s="81"/>
      <c r="Z916" s="81"/>
      <c r="AA916" s="81"/>
      <c r="AB916" s="81"/>
      <c r="AC916" s="81"/>
      <c r="AD916" s="81"/>
      <c r="AE916" s="81"/>
      <c r="AF916" s="81"/>
      <c r="AG916" s="81"/>
      <c r="AH916" s="81"/>
    </row>
    <row r="917" spans="4:34" ht="14.25" customHeight="1">
      <c r="D917" s="81"/>
      <c r="E917" s="81"/>
      <c r="F917" s="81"/>
      <c r="G917" s="81"/>
      <c r="H917" s="81"/>
      <c r="I917" s="81"/>
      <c r="J917" s="81"/>
      <c r="K917" s="81"/>
      <c r="L917" s="81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81"/>
      <c r="Y917" s="81"/>
      <c r="Z917" s="81"/>
      <c r="AA917" s="81"/>
      <c r="AB917" s="81"/>
      <c r="AC917" s="81"/>
      <c r="AD917" s="81"/>
      <c r="AE917" s="81"/>
      <c r="AF917" s="81"/>
      <c r="AG917" s="81"/>
      <c r="AH917" s="81"/>
    </row>
    <row r="918" spans="4:34" ht="14.25" customHeight="1"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  <c r="S918" s="81"/>
      <c r="T918" s="81"/>
      <c r="U918" s="81"/>
      <c r="V918" s="81"/>
      <c r="W918" s="81"/>
      <c r="X918" s="81"/>
      <c r="Y918" s="81"/>
      <c r="Z918" s="81"/>
      <c r="AA918" s="81"/>
      <c r="AB918" s="81"/>
      <c r="AC918" s="81"/>
      <c r="AD918" s="81"/>
      <c r="AE918" s="81"/>
      <c r="AF918" s="81"/>
      <c r="AG918" s="81"/>
      <c r="AH918" s="81"/>
    </row>
    <row r="919" spans="4:34" ht="14.25" customHeight="1">
      <c r="D919" s="81"/>
      <c r="E919" s="81"/>
      <c r="F919" s="81"/>
      <c r="G919" s="81"/>
      <c r="H919" s="81"/>
      <c r="I919" s="81"/>
      <c r="J919" s="81"/>
      <c r="K919" s="81"/>
      <c r="L919" s="81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81"/>
      <c r="Y919" s="81"/>
      <c r="Z919" s="81"/>
      <c r="AA919" s="81"/>
      <c r="AB919" s="81"/>
      <c r="AC919" s="81"/>
      <c r="AD919" s="81"/>
      <c r="AE919" s="81"/>
      <c r="AF919" s="81"/>
      <c r="AG919" s="81"/>
      <c r="AH919" s="81"/>
    </row>
    <row r="920" spans="4:34" ht="14.25" customHeight="1">
      <c r="D920" s="81"/>
      <c r="E920" s="81"/>
      <c r="F920" s="81"/>
      <c r="G920" s="81"/>
      <c r="H920" s="81"/>
      <c r="I920" s="81"/>
      <c r="J920" s="81"/>
      <c r="K920" s="81"/>
      <c r="L920" s="81"/>
      <c r="M920" s="81"/>
      <c r="N920" s="81"/>
      <c r="O920" s="81"/>
      <c r="P920" s="81"/>
      <c r="Q920" s="81"/>
      <c r="R920" s="81"/>
      <c r="S920" s="81"/>
      <c r="T920" s="81"/>
      <c r="U920" s="81"/>
      <c r="V920" s="81"/>
      <c r="W920" s="81"/>
      <c r="X920" s="81"/>
      <c r="Y920" s="81"/>
      <c r="Z920" s="81"/>
      <c r="AA920" s="81"/>
      <c r="AB920" s="81"/>
      <c r="AC920" s="81"/>
      <c r="AD920" s="81"/>
      <c r="AE920" s="81"/>
      <c r="AF920" s="81"/>
      <c r="AG920" s="81"/>
      <c r="AH920" s="81"/>
    </row>
    <row r="921" spans="4:34" ht="14.25" customHeight="1">
      <c r="D921" s="81"/>
      <c r="E921" s="81"/>
      <c r="F921" s="81"/>
      <c r="G921" s="81"/>
      <c r="H921" s="81"/>
      <c r="I921" s="81"/>
      <c r="J921" s="81"/>
      <c r="K921" s="81"/>
      <c r="L921" s="81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81"/>
      <c r="Y921" s="81"/>
      <c r="Z921" s="81"/>
      <c r="AA921" s="81"/>
      <c r="AB921" s="81"/>
      <c r="AC921" s="81"/>
      <c r="AD921" s="81"/>
      <c r="AE921" s="81"/>
      <c r="AF921" s="81"/>
      <c r="AG921" s="81"/>
      <c r="AH921" s="81"/>
    </row>
    <row r="922" spans="4:34" ht="14.25" customHeight="1"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  <c r="S922" s="81"/>
      <c r="T922" s="81"/>
      <c r="U922" s="81"/>
      <c r="V922" s="81"/>
      <c r="W922" s="81"/>
      <c r="X922" s="81"/>
      <c r="Y922" s="81"/>
      <c r="Z922" s="81"/>
      <c r="AA922" s="81"/>
      <c r="AB922" s="81"/>
      <c r="AC922" s="81"/>
      <c r="AD922" s="81"/>
      <c r="AE922" s="81"/>
      <c r="AF922" s="81"/>
      <c r="AG922" s="81"/>
      <c r="AH922" s="81"/>
    </row>
    <row r="923" spans="4:34" ht="14.25" customHeight="1">
      <c r="D923" s="81"/>
      <c r="E923" s="81"/>
      <c r="F923" s="81"/>
      <c r="G923" s="81"/>
      <c r="H923" s="81"/>
      <c r="I923" s="81"/>
      <c r="J923" s="81"/>
      <c r="K923" s="81"/>
      <c r="L923" s="81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81"/>
      <c r="Y923" s="81"/>
      <c r="Z923" s="81"/>
      <c r="AA923" s="81"/>
      <c r="AB923" s="81"/>
      <c r="AC923" s="81"/>
      <c r="AD923" s="81"/>
      <c r="AE923" s="81"/>
      <c r="AF923" s="81"/>
      <c r="AG923" s="81"/>
      <c r="AH923" s="81"/>
    </row>
    <row r="924" spans="4:34" ht="14.25" customHeight="1">
      <c r="D924" s="81"/>
      <c r="E924" s="81"/>
      <c r="F924" s="81"/>
      <c r="G924" s="81"/>
      <c r="H924" s="81"/>
      <c r="I924" s="81"/>
      <c r="J924" s="81"/>
      <c r="K924" s="81"/>
      <c r="L924" s="81"/>
      <c r="M924" s="81"/>
      <c r="N924" s="81"/>
      <c r="O924" s="81"/>
      <c r="P924" s="81"/>
      <c r="Q924" s="81"/>
      <c r="R924" s="81"/>
      <c r="S924" s="81"/>
      <c r="T924" s="81"/>
      <c r="U924" s="81"/>
      <c r="V924" s="81"/>
      <c r="W924" s="81"/>
      <c r="X924" s="81"/>
      <c r="Y924" s="81"/>
      <c r="Z924" s="81"/>
      <c r="AA924" s="81"/>
      <c r="AB924" s="81"/>
      <c r="AC924" s="81"/>
      <c r="AD924" s="81"/>
      <c r="AE924" s="81"/>
      <c r="AF924" s="81"/>
      <c r="AG924" s="81"/>
      <c r="AH924" s="81"/>
    </row>
    <row r="925" spans="4:34" ht="14.25" customHeight="1">
      <c r="D925" s="81"/>
      <c r="E925" s="81"/>
      <c r="F925" s="81"/>
      <c r="G925" s="81"/>
      <c r="H925" s="81"/>
      <c r="I925" s="81"/>
      <c r="J925" s="81"/>
      <c r="K925" s="81"/>
      <c r="L925" s="81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81"/>
      <c r="Y925" s="81"/>
      <c r="Z925" s="81"/>
      <c r="AA925" s="81"/>
      <c r="AB925" s="81"/>
      <c r="AC925" s="81"/>
      <c r="AD925" s="81"/>
      <c r="AE925" s="81"/>
      <c r="AF925" s="81"/>
      <c r="AG925" s="81"/>
      <c r="AH925" s="81"/>
    </row>
    <row r="926" spans="4:34" ht="14.25" customHeight="1"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  <c r="S926" s="81"/>
      <c r="T926" s="81"/>
      <c r="U926" s="81"/>
      <c r="V926" s="81"/>
      <c r="W926" s="81"/>
      <c r="X926" s="81"/>
      <c r="Y926" s="81"/>
      <c r="Z926" s="81"/>
      <c r="AA926" s="81"/>
      <c r="AB926" s="81"/>
      <c r="AC926" s="81"/>
      <c r="AD926" s="81"/>
      <c r="AE926" s="81"/>
      <c r="AF926" s="81"/>
      <c r="AG926" s="81"/>
      <c r="AH926" s="81"/>
    </row>
    <row r="927" spans="4:34" ht="14.25" customHeight="1">
      <c r="D927" s="81"/>
      <c r="E927" s="81"/>
      <c r="F927" s="81"/>
      <c r="G927" s="81"/>
      <c r="H927" s="81"/>
      <c r="I927" s="81"/>
      <c r="J927" s="81"/>
      <c r="K927" s="81"/>
      <c r="L927" s="81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81"/>
      <c r="Y927" s="81"/>
      <c r="Z927" s="81"/>
      <c r="AA927" s="81"/>
      <c r="AB927" s="81"/>
      <c r="AC927" s="81"/>
      <c r="AD927" s="81"/>
      <c r="AE927" s="81"/>
      <c r="AF927" s="81"/>
      <c r="AG927" s="81"/>
      <c r="AH927" s="81"/>
    </row>
    <row r="928" spans="4:34" ht="14.25" customHeight="1">
      <c r="D928" s="81"/>
      <c r="E928" s="81"/>
      <c r="F928" s="81"/>
      <c r="G928" s="81"/>
      <c r="H928" s="81"/>
      <c r="I928" s="81"/>
      <c r="J928" s="81"/>
      <c r="K928" s="81"/>
      <c r="L928" s="81"/>
      <c r="M928" s="81"/>
      <c r="N928" s="81"/>
      <c r="O928" s="81"/>
      <c r="P928" s="81"/>
      <c r="Q928" s="81"/>
      <c r="R928" s="81"/>
      <c r="S928" s="81"/>
      <c r="T928" s="81"/>
      <c r="U928" s="81"/>
      <c r="V928" s="81"/>
      <c r="W928" s="81"/>
      <c r="X928" s="81"/>
      <c r="Y928" s="81"/>
      <c r="Z928" s="81"/>
      <c r="AA928" s="81"/>
      <c r="AB928" s="81"/>
      <c r="AC928" s="81"/>
      <c r="AD928" s="81"/>
      <c r="AE928" s="81"/>
      <c r="AF928" s="81"/>
      <c r="AG928" s="81"/>
      <c r="AH928" s="81"/>
    </row>
    <row r="929" spans="4:34" ht="14.25" customHeight="1">
      <c r="D929" s="81"/>
      <c r="E929" s="81"/>
      <c r="F929" s="81"/>
      <c r="G929" s="81"/>
      <c r="H929" s="81"/>
      <c r="I929" s="81"/>
      <c r="J929" s="81"/>
      <c r="K929" s="81"/>
      <c r="L929" s="81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81"/>
      <c r="Y929" s="81"/>
      <c r="Z929" s="81"/>
      <c r="AA929" s="81"/>
      <c r="AB929" s="81"/>
      <c r="AC929" s="81"/>
      <c r="AD929" s="81"/>
      <c r="AE929" s="81"/>
      <c r="AF929" s="81"/>
      <c r="AG929" s="81"/>
      <c r="AH929" s="81"/>
    </row>
    <row r="930" spans="4:34" ht="14.25" customHeight="1"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  <c r="S930" s="81"/>
      <c r="T930" s="81"/>
      <c r="U930" s="81"/>
      <c r="V930" s="81"/>
      <c r="W930" s="81"/>
      <c r="X930" s="81"/>
      <c r="Y930" s="81"/>
      <c r="Z930" s="81"/>
      <c r="AA930" s="81"/>
      <c r="AB930" s="81"/>
      <c r="AC930" s="81"/>
      <c r="AD930" s="81"/>
      <c r="AE930" s="81"/>
      <c r="AF930" s="81"/>
      <c r="AG930" s="81"/>
      <c r="AH930" s="81"/>
    </row>
    <row r="931" spans="4:34" ht="14.25" customHeight="1">
      <c r="D931" s="81"/>
      <c r="E931" s="81"/>
      <c r="F931" s="81"/>
      <c r="G931" s="81"/>
      <c r="H931" s="81"/>
      <c r="I931" s="81"/>
      <c r="J931" s="81"/>
      <c r="K931" s="81"/>
      <c r="L931" s="81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81"/>
      <c r="Y931" s="81"/>
      <c r="Z931" s="81"/>
      <c r="AA931" s="81"/>
      <c r="AB931" s="81"/>
      <c r="AC931" s="81"/>
      <c r="AD931" s="81"/>
      <c r="AE931" s="81"/>
      <c r="AF931" s="81"/>
      <c r="AG931" s="81"/>
      <c r="AH931" s="81"/>
    </row>
    <row r="932" spans="4:34" ht="14.25" customHeight="1">
      <c r="D932" s="81"/>
      <c r="E932" s="81"/>
      <c r="F932" s="81"/>
      <c r="G932" s="81"/>
      <c r="H932" s="81"/>
      <c r="I932" s="81"/>
      <c r="J932" s="81"/>
      <c r="K932" s="81"/>
      <c r="L932" s="81"/>
      <c r="M932" s="81"/>
      <c r="N932" s="81"/>
      <c r="O932" s="81"/>
      <c r="P932" s="81"/>
      <c r="Q932" s="81"/>
      <c r="R932" s="81"/>
      <c r="S932" s="81"/>
      <c r="T932" s="81"/>
      <c r="U932" s="81"/>
      <c r="V932" s="81"/>
      <c r="W932" s="81"/>
      <c r="X932" s="81"/>
      <c r="Y932" s="81"/>
      <c r="Z932" s="81"/>
      <c r="AA932" s="81"/>
      <c r="AB932" s="81"/>
      <c r="AC932" s="81"/>
      <c r="AD932" s="81"/>
      <c r="AE932" s="81"/>
      <c r="AF932" s="81"/>
      <c r="AG932" s="81"/>
      <c r="AH932" s="81"/>
    </row>
    <row r="933" spans="4:34" ht="14.25" customHeight="1">
      <c r="D933" s="81"/>
      <c r="E933" s="81"/>
      <c r="F933" s="81"/>
      <c r="G933" s="81"/>
      <c r="H933" s="81"/>
      <c r="I933" s="81"/>
      <c r="J933" s="81"/>
      <c r="K933" s="81"/>
      <c r="L933" s="81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81"/>
      <c r="Y933" s="81"/>
      <c r="Z933" s="81"/>
      <c r="AA933" s="81"/>
      <c r="AB933" s="81"/>
      <c r="AC933" s="81"/>
      <c r="AD933" s="81"/>
      <c r="AE933" s="81"/>
      <c r="AF933" s="81"/>
      <c r="AG933" s="81"/>
      <c r="AH933" s="81"/>
    </row>
    <row r="934" spans="4:34" ht="14.25" customHeight="1"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  <c r="S934" s="81"/>
      <c r="T934" s="81"/>
      <c r="U934" s="81"/>
      <c r="V934" s="81"/>
      <c r="W934" s="81"/>
      <c r="X934" s="81"/>
      <c r="Y934" s="81"/>
      <c r="Z934" s="81"/>
      <c r="AA934" s="81"/>
      <c r="AB934" s="81"/>
      <c r="AC934" s="81"/>
      <c r="AD934" s="81"/>
      <c r="AE934" s="81"/>
      <c r="AF934" s="81"/>
      <c r="AG934" s="81"/>
      <c r="AH934" s="81"/>
    </row>
    <row r="935" spans="4:34" ht="14.25" customHeight="1">
      <c r="D935" s="81"/>
      <c r="E935" s="81"/>
      <c r="F935" s="81"/>
      <c r="G935" s="81"/>
      <c r="H935" s="81"/>
      <c r="I935" s="81"/>
      <c r="J935" s="81"/>
      <c r="K935" s="81"/>
      <c r="L935" s="81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81"/>
      <c r="Y935" s="81"/>
      <c r="Z935" s="81"/>
      <c r="AA935" s="81"/>
      <c r="AB935" s="81"/>
      <c r="AC935" s="81"/>
      <c r="AD935" s="81"/>
      <c r="AE935" s="81"/>
      <c r="AF935" s="81"/>
      <c r="AG935" s="81"/>
      <c r="AH935" s="81"/>
    </row>
    <row r="936" spans="4:34" ht="14.25" customHeight="1">
      <c r="D936" s="81"/>
      <c r="E936" s="81"/>
      <c r="F936" s="81"/>
      <c r="G936" s="81"/>
      <c r="H936" s="81"/>
      <c r="I936" s="81"/>
      <c r="J936" s="81"/>
      <c r="K936" s="81"/>
      <c r="L936" s="81"/>
      <c r="M936" s="81"/>
      <c r="N936" s="81"/>
      <c r="O936" s="81"/>
      <c r="P936" s="81"/>
      <c r="Q936" s="81"/>
      <c r="R936" s="81"/>
      <c r="S936" s="81"/>
      <c r="T936" s="81"/>
      <c r="U936" s="81"/>
      <c r="V936" s="81"/>
      <c r="W936" s="81"/>
      <c r="X936" s="81"/>
      <c r="Y936" s="81"/>
      <c r="Z936" s="81"/>
      <c r="AA936" s="81"/>
      <c r="AB936" s="81"/>
      <c r="AC936" s="81"/>
      <c r="AD936" s="81"/>
      <c r="AE936" s="81"/>
      <c r="AF936" s="81"/>
      <c r="AG936" s="81"/>
      <c r="AH936" s="81"/>
    </row>
    <row r="937" spans="4:34" ht="14.25" customHeight="1">
      <c r="D937" s="81"/>
      <c r="E937" s="81"/>
      <c r="F937" s="81"/>
      <c r="G937" s="81"/>
      <c r="H937" s="81"/>
      <c r="I937" s="81"/>
      <c r="J937" s="81"/>
      <c r="K937" s="81"/>
      <c r="L937" s="81"/>
      <c r="M937" s="81"/>
      <c r="N937" s="81"/>
      <c r="O937" s="81"/>
      <c r="P937" s="81"/>
      <c r="Q937" s="81"/>
      <c r="R937" s="81"/>
      <c r="S937" s="81"/>
      <c r="T937" s="81"/>
      <c r="U937" s="81"/>
      <c r="V937" s="81"/>
      <c r="W937" s="81"/>
      <c r="X937" s="81"/>
      <c r="Y937" s="81"/>
      <c r="Z937" s="81"/>
      <c r="AA937" s="81"/>
      <c r="AB937" s="81"/>
      <c r="AC937" s="81"/>
      <c r="AD937" s="81"/>
      <c r="AE937" s="81"/>
      <c r="AF937" s="81"/>
      <c r="AG937" s="81"/>
      <c r="AH937" s="81"/>
    </row>
    <row r="938" spans="4:34" ht="14.25" customHeight="1"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  <c r="S938" s="81"/>
      <c r="T938" s="81"/>
      <c r="U938" s="81"/>
      <c r="V938" s="81"/>
      <c r="W938" s="81"/>
      <c r="X938" s="81"/>
      <c r="Y938" s="81"/>
      <c r="Z938" s="81"/>
      <c r="AA938" s="81"/>
      <c r="AB938" s="81"/>
      <c r="AC938" s="81"/>
      <c r="AD938" s="81"/>
      <c r="AE938" s="81"/>
      <c r="AF938" s="81"/>
      <c r="AG938" s="81"/>
      <c r="AH938" s="81"/>
    </row>
    <row r="939" spans="4:34" ht="14.25" customHeight="1">
      <c r="D939" s="81"/>
      <c r="E939" s="81"/>
      <c r="F939" s="81"/>
      <c r="G939" s="81"/>
      <c r="H939" s="81"/>
      <c r="I939" s="81"/>
      <c r="J939" s="81"/>
      <c r="K939" s="81"/>
      <c r="L939" s="81"/>
      <c r="M939" s="81"/>
      <c r="N939" s="81"/>
      <c r="O939" s="81"/>
      <c r="P939" s="81"/>
      <c r="Q939" s="81"/>
      <c r="R939" s="81"/>
      <c r="S939" s="81"/>
      <c r="T939" s="81"/>
      <c r="U939" s="81"/>
      <c r="V939" s="81"/>
      <c r="W939" s="81"/>
      <c r="X939" s="81"/>
      <c r="Y939" s="81"/>
      <c r="Z939" s="81"/>
      <c r="AA939" s="81"/>
      <c r="AB939" s="81"/>
      <c r="AC939" s="81"/>
      <c r="AD939" s="81"/>
      <c r="AE939" s="81"/>
      <c r="AF939" s="81"/>
      <c r="AG939" s="81"/>
      <c r="AH939" s="81"/>
    </row>
    <row r="940" spans="4:34" ht="14.25" customHeight="1">
      <c r="D940" s="81"/>
      <c r="E940" s="81"/>
      <c r="F940" s="81"/>
      <c r="G940" s="81"/>
      <c r="H940" s="81"/>
      <c r="I940" s="81"/>
      <c r="J940" s="81"/>
      <c r="K940" s="81"/>
      <c r="L940" s="81"/>
      <c r="M940" s="81"/>
      <c r="N940" s="81"/>
      <c r="O940" s="81"/>
      <c r="P940" s="81"/>
      <c r="Q940" s="81"/>
      <c r="R940" s="81"/>
      <c r="S940" s="81"/>
      <c r="T940" s="81"/>
      <c r="U940" s="81"/>
      <c r="V940" s="81"/>
      <c r="W940" s="81"/>
      <c r="X940" s="81"/>
      <c r="Y940" s="81"/>
      <c r="Z940" s="81"/>
      <c r="AA940" s="81"/>
      <c r="AB940" s="81"/>
      <c r="AC940" s="81"/>
      <c r="AD940" s="81"/>
      <c r="AE940" s="81"/>
      <c r="AF940" s="81"/>
      <c r="AG940" s="81"/>
      <c r="AH940" s="81"/>
    </row>
    <row r="941" spans="4:34" ht="14.25" customHeight="1">
      <c r="D941" s="81"/>
      <c r="E941" s="81"/>
      <c r="F941" s="81"/>
      <c r="G941" s="81"/>
      <c r="H941" s="81"/>
      <c r="I941" s="81"/>
      <c r="J941" s="81"/>
      <c r="K941" s="81"/>
      <c r="L941" s="81"/>
      <c r="M941" s="81"/>
      <c r="N941" s="81"/>
      <c r="O941" s="81"/>
      <c r="P941" s="81"/>
      <c r="Q941" s="81"/>
      <c r="R941" s="81"/>
      <c r="S941" s="81"/>
      <c r="T941" s="81"/>
      <c r="U941" s="81"/>
      <c r="V941" s="81"/>
      <c r="W941" s="81"/>
      <c r="X941" s="81"/>
      <c r="Y941" s="81"/>
      <c r="Z941" s="81"/>
      <c r="AA941" s="81"/>
      <c r="AB941" s="81"/>
      <c r="AC941" s="81"/>
      <c r="AD941" s="81"/>
      <c r="AE941" s="81"/>
      <c r="AF941" s="81"/>
      <c r="AG941" s="81"/>
      <c r="AH941" s="81"/>
    </row>
    <row r="942" spans="4:34" ht="14.25" customHeight="1"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  <c r="S942" s="81"/>
      <c r="T942" s="81"/>
      <c r="U942" s="81"/>
      <c r="V942" s="81"/>
      <c r="W942" s="81"/>
      <c r="X942" s="81"/>
      <c r="Y942" s="81"/>
      <c r="Z942" s="81"/>
      <c r="AA942" s="81"/>
      <c r="AB942" s="81"/>
      <c r="AC942" s="81"/>
      <c r="AD942" s="81"/>
      <c r="AE942" s="81"/>
      <c r="AF942" s="81"/>
      <c r="AG942" s="81"/>
      <c r="AH942" s="81"/>
    </row>
    <row r="943" spans="4:34" ht="14.25" customHeight="1">
      <c r="D943" s="81"/>
      <c r="E943" s="81"/>
      <c r="F943" s="81"/>
      <c r="G943" s="81"/>
      <c r="H943" s="81"/>
      <c r="I943" s="81"/>
      <c r="J943" s="81"/>
      <c r="K943" s="81"/>
      <c r="L943" s="81"/>
      <c r="M943" s="81"/>
      <c r="N943" s="81"/>
      <c r="O943" s="81"/>
      <c r="P943" s="81"/>
      <c r="Q943" s="81"/>
      <c r="R943" s="81"/>
      <c r="S943" s="81"/>
      <c r="T943" s="81"/>
      <c r="U943" s="81"/>
      <c r="V943" s="81"/>
      <c r="W943" s="81"/>
      <c r="X943" s="81"/>
      <c r="Y943" s="81"/>
      <c r="Z943" s="81"/>
      <c r="AA943" s="81"/>
      <c r="AB943" s="81"/>
      <c r="AC943" s="81"/>
      <c r="AD943" s="81"/>
      <c r="AE943" s="81"/>
      <c r="AF943" s="81"/>
      <c r="AG943" s="81"/>
      <c r="AH943" s="81"/>
    </row>
    <row r="944" spans="4:34" ht="14.25" customHeight="1">
      <c r="D944" s="81"/>
      <c r="E944" s="81"/>
      <c r="F944" s="81"/>
      <c r="G944" s="81"/>
      <c r="H944" s="81"/>
      <c r="I944" s="81"/>
      <c r="J944" s="81"/>
      <c r="K944" s="81"/>
      <c r="L944" s="81"/>
      <c r="M944" s="81"/>
      <c r="N944" s="81"/>
      <c r="O944" s="81"/>
      <c r="P944" s="81"/>
      <c r="Q944" s="81"/>
      <c r="R944" s="81"/>
      <c r="S944" s="81"/>
      <c r="T944" s="81"/>
      <c r="U944" s="81"/>
      <c r="V944" s="81"/>
      <c r="W944" s="81"/>
      <c r="X944" s="81"/>
      <c r="Y944" s="81"/>
      <c r="Z944" s="81"/>
      <c r="AA944" s="81"/>
      <c r="AB944" s="81"/>
      <c r="AC944" s="81"/>
      <c r="AD944" s="81"/>
      <c r="AE944" s="81"/>
      <c r="AF944" s="81"/>
      <c r="AG944" s="81"/>
      <c r="AH944" s="81"/>
    </row>
    <row r="945" spans="4:34" ht="14.25" customHeight="1">
      <c r="D945" s="81"/>
      <c r="E945" s="81"/>
      <c r="F945" s="81"/>
      <c r="G945" s="81"/>
      <c r="H945" s="81"/>
      <c r="I945" s="81"/>
      <c r="J945" s="81"/>
      <c r="K945" s="81"/>
      <c r="L945" s="81"/>
      <c r="M945" s="81"/>
      <c r="N945" s="81"/>
      <c r="O945" s="81"/>
      <c r="P945" s="81"/>
      <c r="Q945" s="81"/>
      <c r="R945" s="81"/>
      <c r="S945" s="81"/>
      <c r="T945" s="81"/>
      <c r="U945" s="81"/>
      <c r="V945" s="81"/>
      <c r="W945" s="81"/>
      <c r="X945" s="81"/>
      <c r="Y945" s="81"/>
      <c r="Z945" s="81"/>
      <c r="AA945" s="81"/>
      <c r="AB945" s="81"/>
      <c r="AC945" s="81"/>
      <c r="AD945" s="81"/>
      <c r="AE945" s="81"/>
      <c r="AF945" s="81"/>
      <c r="AG945" s="81"/>
      <c r="AH945" s="81"/>
    </row>
    <row r="946" spans="4:34" ht="14.25" customHeight="1"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  <c r="S946" s="81"/>
      <c r="T946" s="81"/>
      <c r="U946" s="81"/>
      <c r="V946" s="81"/>
      <c r="W946" s="81"/>
      <c r="X946" s="81"/>
      <c r="Y946" s="81"/>
      <c r="Z946" s="81"/>
      <c r="AA946" s="81"/>
      <c r="AB946" s="81"/>
      <c r="AC946" s="81"/>
      <c r="AD946" s="81"/>
      <c r="AE946" s="81"/>
      <c r="AF946" s="81"/>
      <c r="AG946" s="81"/>
      <c r="AH946" s="81"/>
    </row>
    <row r="947" spans="4:34" ht="14.25" customHeight="1">
      <c r="D947" s="81"/>
      <c r="E947" s="81"/>
      <c r="F947" s="81"/>
      <c r="G947" s="81"/>
      <c r="H947" s="81"/>
      <c r="I947" s="81"/>
      <c r="J947" s="81"/>
      <c r="K947" s="81"/>
      <c r="L947" s="81"/>
      <c r="M947" s="81"/>
      <c r="N947" s="81"/>
      <c r="O947" s="81"/>
      <c r="P947" s="81"/>
      <c r="Q947" s="81"/>
      <c r="R947" s="81"/>
      <c r="S947" s="81"/>
      <c r="T947" s="81"/>
      <c r="U947" s="81"/>
      <c r="V947" s="81"/>
      <c r="W947" s="81"/>
      <c r="X947" s="81"/>
      <c r="Y947" s="81"/>
      <c r="Z947" s="81"/>
      <c r="AA947" s="81"/>
      <c r="AB947" s="81"/>
      <c r="AC947" s="81"/>
      <c r="AD947" s="81"/>
      <c r="AE947" s="81"/>
      <c r="AF947" s="81"/>
      <c r="AG947" s="81"/>
      <c r="AH947" s="81"/>
    </row>
    <row r="948" spans="4:34" ht="14.25" customHeight="1">
      <c r="D948" s="81"/>
      <c r="E948" s="81"/>
      <c r="F948" s="81"/>
      <c r="G948" s="81"/>
      <c r="H948" s="81"/>
      <c r="I948" s="81"/>
      <c r="J948" s="81"/>
      <c r="K948" s="81"/>
      <c r="L948" s="81"/>
      <c r="M948" s="81"/>
      <c r="N948" s="81"/>
      <c r="O948" s="81"/>
      <c r="P948" s="81"/>
      <c r="Q948" s="81"/>
      <c r="R948" s="81"/>
      <c r="S948" s="81"/>
      <c r="T948" s="81"/>
      <c r="U948" s="81"/>
      <c r="V948" s="81"/>
      <c r="W948" s="81"/>
      <c r="X948" s="81"/>
      <c r="Y948" s="81"/>
      <c r="Z948" s="81"/>
      <c r="AA948" s="81"/>
      <c r="AB948" s="81"/>
      <c r="AC948" s="81"/>
      <c r="AD948" s="81"/>
      <c r="AE948" s="81"/>
      <c r="AF948" s="81"/>
      <c r="AG948" s="81"/>
      <c r="AH948" s="81"/>
    </row>
    <row r="949" spans="4:34" ht="14.25" customHeight="1">
      <c r="D949" s="81"/>
      <c r="E949" s="81"/>
      <c r="F949" s="81"/>
      <c r="G949" s="81"/>
      <c r="H949" s="81"/>
      <c r="I949" s="81"/>
      <c r="J949" s="81"/>
      <c r="K949" s="81"/>
      <c r="L949" s="81"/>
      <c r="M949" s="81"/>
      <c r="N949" s="81"/>
      <c r="O949" s="81"/>
      <c r="P949" s="81"/>
      <c r="Q949" s="81"/>
      <c r="R949" s="81"/>
      <c r="S949" s="81"/>
      <c r="T949" s="81"/>
      <c r="U949" s="81"/>
      <c r="V949" s="81"/>
      <c r="W949" s="81"/>
      <c r="X949" s="81"/>
      <c r="Y949" s="81"/>
      <c r="Z949" s="81"/>
      <c r="AA949" s="81"/>
      <c r="AB949" s="81"/>
      <c r="AC949" s="81"/>
      <c r="AD949" s="81"/>
      <c r="AE949" s="81"/>
      <c r="AF949" s="81"/>
      <c r="AG949" s="81"/>
      <c r="AH949" s="81"/>
    </row>
    <row r="950" spans="4:34" ht="14.25" customHeight="1"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  <c r="S950" s="81"/>
      <c r="T950" s="81"/>
      <c r="U950" s="81"/>
      <c r="V950" s="81"/>
      <c r="W950" s="81"/>
      <c r="X950" s="81"/>
      <c r="Y950" s="81"/>
      <c r="Z950" s="81"/>
      <c r="AA950" s="81"/>
      <c r="AB950" s="81"/>
      <c r="AC950" s="81"/>
      <c r="AD950" s="81"/>
      <c r="AE950" s="81"/>
      <c r="AF950" s="81"/>
      <c r="AG950" s="81"/>
      <c r="AH950" s="81"/>
    </row>
    <row r="951" spans="4:34" ht="14.25" customHeight="1">
      <c r="D951" s="81"/>
      <c r="E951" s="81"/>
      <c r="F951" s="81"/>
      <c r="G951" s="81"/>
      <c r="H951" s="81"/>
      <c r="I951" s="81"/>
      <c r="J951" s="81"/>
      <c r="K951" s="81"/>
      <c r="L951" s="81"/>
      <c r="M951" s="81"/>
      <c r="N951" s="81"/>
      <c r="O951" s="81"/>
      <c r="P951" s="81"/>
      <c r="Q951" s="81"/>
      <c r="R951" s="81"/>
      <c r="S951" s="81"/>
      <c r="T951" s="81"/>
      <c r="U951" s="81"/>
      <c r="V951" s="81"/>
      <c r="W951" s="81"/>
      <c r="X951" s="81"/>
      <c r="Y951" s="81"/>
      <c r="Z951" s="81"/>
      <c r="AA951" s="81"/>
      <c r="AB951" s="81"/>
      <c r="AC951" s="81"/>
      <c r="AD951" s="81"/>
      <c r="AE951" s="81"/>
      <c r="AF951" s="81"/>
      <c r="AG951" s="81"/>
      <c r="AH951" s="81"/>
    </row>
    <row r="952" spans="4:34" ht="14.25" customHeight="1">
      <c r="D952" s="81"/>
      <c r="E952" s="81"/>
      <c r="F952" s="81"/>
      <c r="G952" s="81"/>
      <c r="H952" s="81"/>
      <c r="I952" s="81"/>
      <c r="J952" s="81"/>
      <c r="K952" s="81"/>
      <c r="L952" s="81"/>
      <c r="M952" s="81"/>
      <c r="N952" s="81"/>
      <c r="O952" s="81"/>
      <c r="P952" s="81"/>
      <c r="Q952" s="81"/>
      <c r="R952" s="81"/>
      <c r="S952" s="81"/>
      <c r="T952" s="81"/>
      <c r="U952" s="81"/>
      <c r="V952" s="81"/>
      <c r="W952" s="81"/>
      <c r="X952" s="81"/>
      <c r="Y952" s="81"/>
      <c r="Z952" s="81"/>
      <c r="AA952" s="81"/>
      <c r="AB952" s="81"/>
      <c r="AC952" s="81"/>
      <c r="AD952" s="81"/>
      <c r="AE952" s="81"/>
      <c r="AF952" s="81"/>
      <c r="AG952" s="81"/>
      <c r="AH952" s="81"/>
    </row>
    <row r="953" spans="4:34" ht="14.25" customHeight="1">
      <c r="D953" s="81"/>
      <c r="E953" s="81"/>
      <c r="F953" s="81"/>
      <c r="G953" s="81"/>
      <c r="H953" s="81"/>
      <c r="I953" s="81"/>
      <c r="J953" s="81"/>
      <c r="K953" s="81"/>
      <c r="L953" s="81"/>
      <c r="M953" s="81"/>
      <c r="N953" s="81"/>
      <c r="O953" s="81"/>
      <c r="P953" s="81"/>
      <c r="Q953" s="81"/>
      <c r="R953" s="81"/>
      <c r="S953" s="81"/>
      <c r="T953" s="81"/>
      <c r="U953" s="81"/>
      <c r="V953" s="81"/>
      <c r="W953" s="81"/>
      <c r="X953" s="81"/>
      <c r="Y953" s="81"/>
      <c r="Z953" s="81"/>
      <c r="AA953" s="81"/>
      <c r="AB953" s="81"/>
      <c r="AC953" s="81"/>
      <c r="AD953" s="81"/>
      <c r="AE953" s="81"/>
      <c r="AF953" s="81"/>
      <c r="AG953" s="81"/>
      <c r="AH953" s="81"/>
    </row>
    <row r="954" spans="4:34" ht="14.25" customHeight="1"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  <c r="S954" s="81"/>
      <c r="T954" s="81"/>
      <c r="U954" s="81"/>
      <c r="V954" s="81"/>
      <c r="W954" s="81"/>
      <c r="X954" s="81"/>
      <c r="Y954" s="81"/>
      <c r="Z954" s="81"/>
      <c r="AA954" s="81"/>
      <c r="AB954" s="81"/>
      <c r="AC954" s="81"/>
      <c r="AD954" s="81"/>
      <c r="AE954" s="81"/>
      <c r="AF954" s="81"/>
      <c r="AG954" s="81"/>
      <c r="AH954" s="81"/>
    </row>
    <row r="955" spans="4:34" ht="14.25" customHeight="1">
      <c r="D955" s="81"/>
      <c r="E955" s="81"/>
      <c r="F955" s="81"/>
      <c r="G955" s="81"/>
      <c r="H955" s="81"/>
      <c r="I955" s="81"/>
      <c r="J955" s="81"/>
      <c r="K955" s="81"/>
      <c r="L955" s="81"/>
      <c r="M955" s="81"/>
      <c r="N955" s="81"/>
      <c r="O955" s="81"/>
      <c r="P955" s="81"/>
      <c r="Q955" s="81"/>
      <c r="R955" s="81"/>
      <c r="S955" s="81"/>
      <c r="T955" s="81"/>
      <c r="U955" s="81"/>
      <c r="V955" s="81"/>
      <c r="W955" s="81"/>
      <c r="X955" s="81"/>
      <c r="Y955" s="81"/>
      <c r="Z955" s="81"/>
      <c r="AA955" s="81"/>
      <c r="AB955" s="81"/>
      <c r="AC955" s="81"/>
      <c r="AD955" s="81"/>
      <c r="AE955" s="81"/>
      <c r="AF955" s="81"/>
      <c r="AG955" s="81"/>
      <c r="AH955" s="81"/>
    </row>
    <row r="956" spans="4:34" ht="14.25" customHeight="1">
      <c r="D956" s="81"/>
      <c r="E956" s="81"/>
      <c r="F956" s="81"/>
      <c r="G956" s="81"/>
      <c r="H956" s="81"/>
      <c r="I956" s="81"/>
      <c r="J956" s="81"/>
      <c r="K956" s="81"/>
      <c r="L956" s="81"/>
      <c r="M956" s="81"/>
      <c r="N956" s="81"/>
      <c r="O956" s="81"/>
      <c r="P956" s="81"/>
      <c r="Q956" s="81"/>
      <c r="R956" s="81"/>
      <c r="S956" s="81"/>
      <c r="T956" s="81"/>
      <c r="U956" s="81"/>
      <c r="V956" s="81"/>
      <c r="W956" s="81"/>
      <c r="X956" s="81"/>
      <c r="Y956" s="81"/>
      <c r="Z956" s="81"/>
      <c r="AA956" s="81"/>
      <c r="AB956" s="81"/>
      <c r="AC956" s="81"/>
      <c r="AD956" s="81"/>
      <c r="AE956" s="81"/>
      <c r="AF956" s="81"/>
      <c r="AG956" s="81"/>
      <c r="AH956" s="81"/>
    </row>
    <row r="957" spans="4:34" ht="14.25" customHeight="1">
      <c r="D957" s="81"/>
      <c r="E957" s="81"/>
      <c r="F957" s="81"/>
      <c r="G957" s="81"/>
      <c r="H957" s="81"/>
      <c r="I957" s="81"/>
      <c r="J957" s="81"/>
      <c r="K957" s="81"/>
      <c r="L957" s="81"/>
      <c r="M957" s="81"/>
      <c r="N957" s="81"/>
      <c r="O957" s="81"/>
      <c r="P957" s="81"/>
      <c r="Q957" s="81"/>
      <c r="R957" s="81"/>
      <c r="S957" s="81"/>
      <c r="T957" s="81"/>
      <c r="U957" s="81"/>
      <c r="V957" s="81"/>
      <c r="W957" s="81"/>
      <c r="X957" s="81"/>
      <c r="Y957" s="81"/>
      <c r="Z957" s="81"/>
      <c r="AA957" s="81"/>
      <c r="AB957" s="81"/>
      <c r="AC957" s="81"/>
      <c r="AD957" s="81"/>
      <c r="AE957" s="81"/>
      <c r="AF957" s="81"/>
      <c r="AG957" s="81"/>
      <c r="AH957" s="81"/>
    </row>
    <row r="958" spans="4:34" ht="14.25" customHeight="1"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  <c r="S958" s="81"/>
      <c r="T958" s="81"/>
      <c r="U958" s="81"/>
      <c r="V958" s="81"/>
      <c r="W958" s="81"/>
      <c r="X958" s="81"/>
      <c r="Y958" s="81"/>
      <c r="Z958" s="81"/>
      <c r="AA958" s="81"/>
      <c r="AB958" s="81"/>
      <c r="AC958" s="81"/>
      <c r="AD958" s="81"/>
      <c r="AE958" s="81"/>
      <c r="AF958" s="81"/>
      <c r="AG958" s="81"/>
      <c r="AH958" s="81"/>
    </row>
    <row r="959" spans="4:34" ht="14.25" customHeight="1">
      <c r="D959" s="81"/>
      <c r="E959" s="81"/>
      <c r="F959" s="81"/>
      <c r="G959" s="81"/>
      <c r="H959" s="81"/>
      <c r="I959" s="81"/>
      <c r="J959" s="81"/>
      <c r="K959" s="81"/>
      <c r="L959" s="81"/>
      <c r="M959" s="81"/>
      <c r="N959" s="81"/>
      <c r="O959" s="81"/>
      <c r="P959" s="81"/>
      <c r="Q959" s="81"/>
      <c r="R959" s="81"/>
      <c r="S959" s="81"/>
      <c r="T959" s="81"/>
      <c r="U959" s="81"/>
      <c r="V959" s="81"/>
      <c r="W959" s="81"/>
      <c r="X959" s="81"/>
      <c r="Y959" s="81"/>
      <c r="Z959" s="81"/>
      <c r="AA959" s="81"/>
      <c r="AB959" s="81"/>
      <c r="AC959" s="81"/>
      <c r="AD959" s="81"/>
      <c r="AE959" s="81"/>
      <c r="AF959" s="81"/>
      <c r="AG959" s="81"/>
      <c r="AH959" s="81"/>
    </row>
    <row r="960" spans="4:34" ht="14.25" customHeight="1">
      <c r="D960" s="81"/>
      <c r="E960" s="81"/>
      <c r="F960" s="81"/>
      <c r="G960" s="81"/>
      <c r="H960" s="81"/>
      <c r="I960" s="81"/>
      <c r="J960" s="81"/>
      <c r="K960" s="81"/>
      <c r="L960" s="81"/>
      <c r="M960" s="81"/>
      <c r="N960" s="81"/>
      <c r="O960" s="81"/>
      <c r="P960" s="81"/>
      <c r="Q960" s="81"/>
      <c r="R960" s="81"/>
      <c r="S960" s="81"/>
      <c r="T960" s="81"/>
      <c r="U960" s="81"/>
      <c r="V960" s="81"/>
      <c r="W960" s="81"/>
      <c r="X960" s="81"/>
      <c r="Y960" s="81"/>
      <c r="Z960" s="81"/>
      <c r="AA960" s="81"/>
      <c r="AB960" s="81"/>
      <c r="AC960" s="81"/>
      <c r="AD960" s="81"/>
      <c r="AE960" s="81"/>
      <c r="AF960" s="81"/>
      <c r="AG960" s="81"/>
      <c r="AH960" s="81"/>
    </row>
    <row r="961" spans="4:34" ht="14.25" customHeight="1">
      <c r="D961" s="81"/>
      <c r="E961" s="81"/>
      <c r="F961" s="81"/>
      <c r="G961" s="81"/>
      <c r="H961" s="81"/>
      <c r="I961" s="81"/>
      <c r="J961" s="81"/>
      <c r="K961" s="81"/>
      <c r="L961" s="81"/>
      <c r="M961" s="81"/>
      <c r="N961" s="81"/>
      <c r="O961" s="81"/>
      <c r="P961" s="81"/>
      <c r="Q961" s="81"/>
      <c r="R961" s="81"/>
      <c r="S961" s="81"/>
      <c r="T961" s="81"/>
      <c r="U961" s="81"/>
      <c r="V961" s="81"/>
      <c r="W961" s="81"/>
      <c r="X961" s="81"/>
      <c r="Y961" s="81"/>
      <c r="Z961" s="81"/>
      <c r="AA961" s="81"/>
      <c r="AB961" s="81"/>
      <c r="AC961" s="81"/>
      <c r="AD961" s="81"/>
      <c r="AE961" s="81"/>
      <c r="AF961" s="81"/>
      <c r="AG961" s="81"/>
      <c r="AH961" s="81"/>
    </row>
    <row r="962" spans="4:34" ht="14.25" customHeight="1"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  <c r="S962" s="81"/>
      <c r="T962" s="81"/>
      <c r="U962" s="81"/>
      <c r="V962" s="81"/>
      <c r="W962" s="81"/>
      <c r="X962" s="81"/>
      <c r="Y962" s="81"/>
      <c r="Z962" s="81"/>
      <c r="AA962" s="81"/>
      <c r="AB962" s="81"/>
      <c r="AC962" s="81"/>
      <c r="AD962" s="81"/>
      <c r="AE962" s="81"/>
      <c r="AF962" s="81"/>
      <c r="AG962" s="81"/>
      <c r="AH962" s="81"/>
    </row>
    <row r="963" spans="4:34" ht="14.25" customHeight="1">
      <c r="D963" s="81"/>
      <c r="E963" s="81"/>
      <c r="F963" s="81"/>
      <c r="G963" s="81"/>
      <c r="H963" s="81"/>
      <c r="I963" s="81"/>
      <c r="J963" s="81"/>
      <c r="K963" s="81"/>
      <c r="L963" s="81"/>
      <c r="M963" s="81"/>
      <c r="N963" s="81"/>
      <c r="O963" s="81"/>
      <c r="P963" s="81"/>
      <c r="Q963" s="81"/>
      <c r="R963" s="81"/>
      <c r="S963" s="81"/>
      <c r="T963" s="81"/>
      <c r="U963" s="81"/>
      <c r="V963" s="81"/>
      <c r="W963" s="81"/>
      <c r="X963" s="81"/>
      <c r="Y963" s="81"/>
      <c r="Z963" s="81"/>
      <c r="AA963" s="81"/>
      <c r="AB963" s="81"/>
      <c r="AC963" s="81"/>
      <c r="AD963" s="81"/>
      <c r="AE963" s="81"/>
      <c r="AF963" s="81"/>
      <c r="AG963" s="81"/>
      <c r="AH963" s="81"/>
    </row>
    <row r="964" spans="4:34" ht="14.25" customHeight="1">
      <c r="D964" s="81"/>
      <c r="E964" s="81"/>
      <c r="F964" s="81"/>
      <c r="G964" s="81"/>
      <c r="H964" s="81"/>
      <c r="I964" s="81"/>
      <c r="J964" s="81"/>
      <c r="K964" s="81"/>
      <c r="L964" s="81"/>
      <c r="M964" s="81"/>
      <c r="N964" s="81"/>
      <c r="O964" s="81"/>
      <c r="P964" s="81"/>
      <c r="Q964" s="81"/>
      <c r="R964" s="81"/>
      <c r="S964" s="81"/>
      <c r="T964" s="81"/>
      <c r="U964" s="81"/>
      <c r="V964" s="81"/>
      <c r="W964" s="81"/>
      <c r="X964" s="81"/>
      <c r="Y964" s="81"/>
      <c r="Z964" s="81"/>
      <c r="AA964" s="81"/>
      <c r="AB964" s="81"/>
      <c r="AC964" s="81"/>
      <c r="AD964" s="81"/>
      <c r="AE964" s="81"/>
      <c r="AF964" s="81"/>
      <c r="AG964" s="81"/>
      <c r="AH964" s="81"/>
    </row>
    <row r="965" spans="4:34" ht="14.25" customHeight="1">
      <c r="D965" s="81"/>
      <c r="E965" s="81"/>
      <c r="F965" s="81"/>
      <c r="G965" s="81"/>
      <c r="H965" s="81"/>
      <c r="I965" s="81"/>
      <c r="J965" s="81"/>
      <c r="K965" s="81"/>
      <c r="L965" s="81"/>
      <c r="M965" s="81"/>
      <c r="N965" s="81"/>
      <c r="O965" s="81"/>
      <c r="P965" s="81"/>
      <c r="Q965" s="81"/>
      <c r="R965" s="81"/>
      <c r="S965" s="81"/>
      <c r="T965" s="81"/>
      <c r="U965" s="81"/>
      <c r="V965" s="81"/>
      <c r="W965" s="81"/>
      <c r="X965" s="81"/>
      <c r="Y965" s="81"/>
      <c r="Z965" s="81"/>
      <c r="AA965" s="81"/>
      <c r="AB965" s="81"/>
      <c r="AC965" s="81"/>
      <c r="AD965" s="81"/>
      <c r="AE965" s="81"/>
      <c r="AF965" s="81"/>
      <c r="AG965" s="81"/>
      <c r="AH965" s="81"/>
    </row>
    <row r="966" spans="4:34" ht="14.25" customHeight="1">
      <c r="D966" s="81"/>
      <c r="E966" s="81"/>
      <c r="F966" s="81"/>
      <c r="G966" s="81"/>
      <c r="H966" s="81"/>
      <c r="I966" s="81"/>
      <c r="J966" s="81"/>
      <c r="K966" s="81"/>
      <c r="L966" s="81"/>
      <c r="M966" s="81"/>
      <c r="N966" s="81"/>
      <c r="O966" s="81"/>
      <c r="P966" s="81"/>
      <c r="Q966" s="81"/>
      <c r="R966" s="81"/>
      <c r="S966" s="81"/>
      <c r="T966" s="81"/>
      <c r="U966" s="81"/>
      <c r="V966" s="81"/>
      <c r="W966" s="81"/>
      <c r="X966" s="81"/>
      <c r="Y966" s="81"/>
      <c r="Z966" s="81"/>
      <c r="AA966" s="81"/>
      <c r="AB966" s="81"/>
      <c r="AC966" s="81"/>
      <c r="AD966" s="81"/>
      <c r="AE966" s="81"/>
      <c r="AF966" s="81"/>
      <c r="AG966" s="81"/>
      <c r="AH966" s="81"/>
    </row>
    <row r="967" spans="4:34" ht="14.25" customHeight="1">
      <c r="D967" s="81"/>
      <c r="E967" s="81"/>
      <c r="F967" s="81"/>
      <c r="G967" s="81"/>
      <c r="H967" s="81"/>
      <c r="I967" s="81"/>
      <c r="J967" s="81"/>
      <c r="K967" s="81"/>
      <c r="L967" s="81"/>
      <c r="M967" s="81"/>
      <c r="N967" s="81"/>
      <c r="O967" s="81"/>
      <c r="P967" s="81"/>
      <c r="Q967" s="81"/>
      <c r="R967" s="81"/>
      <c r="S967" s="81"/>
      <c r="T967" s="81"/>
      <c r="U967" s="81"/>
      <c r="V967" s="81"/>
      <c r="W967" s="81"/>
      <c r="X967" s="81"/>
      <c r="Y967" s="81"/>
      <c r="Z967" s="81"/>
      <c r="AA967" s="81"/>
      <c r="AB967" s="81"/>
      <c r="AC967" s="81"/>
      <c r="AD967" s="81"/>
      <c r="AE967" s="81"/>
      <c r="AF967" s="81"/>
      <c r="AG967" s="81"/>
      <c r="AH967" s="81"/>
    </row>
    <row r="968" spans="4:34" ht="14.25" customHeight="1">
      <c r="D968" s="81"/>
      <c r="E968" s="81"/>
      <c r="F968" s="81"/>
      <c r="G968" s="81"/>
      <c r="H968" s="81"/>
      <c r="I968" s="81"/>
      <c r="J968" s="81"/>
      <c r="K968" s="81"/>
      <c r="L968" s="81"/>
      <c r="M968" s="81"/>
      <c r="N968" s="81"/>
      <c r="O968" s="81"/>
      <c r="P968" s="81"/>
      <c r="Q968" s="81"/>
      <c r="R968" s="81"/>
      <c r="S968" s="81"/>
      <c r="T968" s="81"/>
      <c r="U968" s="81"/>
      <c r="V968" s="81"/>
      <c r="W968" s="81"/>
      <c r="X968" s="81"/>
      <c r="Y968" s="81"/>
      <c r="Z968" s="81"/>
      <c r="AA968" s="81"/>
      <c r="AB968" s="81"/>
      <c r="AC968" s="81"/>
      <c r="AD968" s="81"/>
      <c r="AE968" s="81"/>
      <c r="AF968" s="81"/>
      <c r="AG968" s="81"/>
      <c r="AH968" s="81"/>
    </row>
    <row r="969" spans="4:34" ht="14.25" customHeight="1">
      <c r="D969" s="81"/>
      <c r="E969" s="81"/>
      <c r="F969" s="81"/>
      <c r="G969" s="81"/>
      <c r="H969" s="81"/>
      <c r="I969" s="81"/>
      <c r="J969" s="81"/>
      <c r="K969" s="81"/>
      <c r="L969" s="81"/>
      <c r="M969" s="81"/>
      <c r="N969" s="81"/>
      <c r="O969" s="81"/>
      <c r="P969" s="81"/>
      <c r="Q969" s="81"/>
      <c r="R969" s="81"/>
      <c r="S969" s="81"/>
      <c r="T969" s="81"/>
      <c r="U969" s="81"/>
      <c r="V969" s="81"/>
      <c r="W969" s="81"/>
      <c r="X969" s="81"/>
      <c r="Y969" s="81"/>
      <c r="Z969" s="81"/>
      <c r="AA969" s="81"/>
      <c r="AB969" s="81"/>
      <c r="AC969" s="81"/>
      <c r="AD969" s="81"/>
      <c r="AE969" s="81"/>
      <c r="AF969" s="81"/>
      <c r="AG969" s="81"/>
      <c r="AH969" s="81"/>
    </row>
    <row r="970" spans="4:34" ht="14.25" customHeight="1">
      <c r="D970" s="81"/>
      <c r="E970" s="81"/>
      <c r="F970" s="81"/>
      <c r="G970" s="81"/>
      <c r="H970" s="81"/>
      <c r="I970" s="81"/>
      <c r="J970" s="81"/>
      <c r="K970" s="81"/>
      <c r="L970" s="81"/>
      <c r="M970" s="81"/>
      <c r="N970" s="81"/>
      <c r="O970" s="81"/>
      <c r="P970" s="81"/>
      <c r="Q970" s="81"/>
      <c r="R970" s="81"/>
      <c r="S970" s="81"/>
      <c r="T970" s="81"/>
      <c r="U970" s="81"/>
      <c r="V970" s="81"/>
      <c r="W970" s="81"/>
      <c r="X970" s="81"/>
      <c r="Y970" s="81"/>
      <c r="Z970" s="81"/>
      <c r="AA970" s="81"/>
      <c r="AB970" s="81"/>
      <c r="AC970" s="81"/>
      <c r="AD970" s="81"/>
      <c r="AE970" s="81"/>
      <c r="AF970" s="81"/>
      <c r="AG970" s="81"/>
      <c r="AH970" s="81"/>
    </row>
    <row r="971" spans="4:34" ht="14.25" customHeight="1">
      <c r="D971" s="81"/>
      <c r="E971" s="81"/>
      <c r="F971" s="81"/>
      <c r="G971" s="81"/>
      <c r="H971" s="81"/>
      <c r="I971" s="81"/>
      <c r="J971" s="81"/>
      <c r="K971" s="81"/>
      <c r="L971" s="81"/>
      <c r="M971" s="81"/>
      <c r="N971" s="81"/>
      <c r="O971" s="81"/>
      <c r="P971" s="81"/>
      <c r="Q971" s="81"/>
      <c r="R971" s="81"/>
      <c r="S971" s="81"/>
      <c r="T971" s="81"/>
      <c r="U971" s="81"/>
      <c r="V971" s="81"/>
      <c r="W971" s="81"/>
      <c r="X971" s="81"/>
      <c r="Y971" s="81"/>
      <c r="Z971" s="81"/>
      <c r="AA971" s="81"/>
      <c r="AB971" s="81"/>
      <c r="AC971" s="81"/>
      <c r="AD971" s="81"/>
      <c r="AE971" s="81"/>
      <c r="AF971" s="81"/>
      <c r="AG971" s="81"/>
      <c r="AH971" s="81"/>
    </row>
    <row r="972" spans="4:34" ht="14.25" customHeight="1">
      <c r="D972" s="81"/>
      <c r="E972" s="81"/>
      <c r="F972" s="81"/>
      <c r="G972" s="81"/>
      <c r="H972" s="81"/>
      <c r="I972" s="81"/>
      <c r="J972" s="81"/>
      <c r="K972" s="81"/>
      <c r="L972" s="81"/>
      <c r="M972" s="81"/>
      <c r="N972" s="81"/>
      <c r="O972" s="81"/>
      <c r="P972" s="81"/>
      <c r="Q972" s="81"/>
      <c r="R972" s="81"/>
      <c r="S972" s="81"/>
      <c r="T972" s="81"/>
      <c r="U972" s="81"/>
      <c r="V972" s="81"/>
      <c r="W972" s="81"/>
      <c r="X972" s="81"/>
      <c r="Y972" s="81"/>
      <c r="Z972" s="81"/>
      <c r="AA972" s="81"/>
      <c r="AB972" s="81"/>
      <c r="AC972" s="81"/>
      <c r="AD972" s="81"/>
      <c r="AE972" s="81"/>
      <c r="AF972" s="81"/>
      <c r="AG972" s="81"/>
      <c r="AH972" s="81"/>
    </row>
    <row r="973" spans="4:34" ht="14.25" customHeight="1">
      <c r="D973" s="81"/>
      <c r="E973" s="81"/>
      <c r="F973" s="81"/>
      <c r="G973" s="81"/>
      <c r="H973" s="81"/>
      <c r="I973" s="81"/>
      <c r="J973" s="81"/>
      <c r="K973" s="81"/>
      <c r="L973" s="81"/>
      <c r="M973" s="81"/>
      <c r="N973" s="81"/>
      <c r="O973" s="81"/>
      <c r="P973" s="81"/>
      <c r="Q973" s="81"/>
      <c r="R973" s="81"/>
      <c r="S973" s="81"/>
      <c r="T973" s="81"/>
      <c r="U973" s="81"/>
      <c r="V973" s="81"/>
      <c r="W973" s="81"/>
      <c r="X973" s="81"/>
      <c r="Y973" s="81"/>
      <c r="Z973" s="81"/>
      <c r="AA973" s="81"/>
      <c r="AB973" s="81"/>
      <c r="AC973" s="81"/>
      <c r="AD973" s="81"/>
      <c r="AE973" s="81"/>
      <c r="AF973" s="81"/>
      <c r="AG973" s="81"/>
      <c r="AH973" s="81"/>
    </row>
    <row r="974" spans="4:34" ht="14.25" customHeight="1">
      <c r="D974" s="81"/>
      <c r="E974" s="81"/>
      <c r="F974" s="81"/>
      <c r="G974" s="81"/>
      <c r="H974" s="81"/>
      <c r="I974" s="81"/>
      <c r="J974" s="81"/>
      <c r="K974" s="81"/>
      <c r="L974" s="81"/>
      <c r="M974" s="81"/>
      <c r="N974" s="81"/>
      <c r="O974" s="81"/>
      <c r="P974" s="81"/>
      <c r="Q974" s="81"/>
      <c r="R974" s="81"/>
      <c r="S974" s="81"/>
      <c r="T974" s="81"/>
      <c r="U974" s="81"/>
      <c r="V974" s="81"/>
      <c r="W974" s="81"/>
      <c r="X974" s="81"/>
      <c r="Y974" s="81"/>
      <c r="Z974" s="81"/>
      <c r="AA974" s="81"/>
      <c r="AB974" s="81"/>
      <c r="AC974" s="81"/>
      <c r="AD974" s="81"/>
      <c r="AE974" s="81"/>
      <c r="AF974" s="81"/>
      <c r="AG974" s="81"/>
      <c r="AH974" s="81"/>
    </row>
    <row r="975" spans="4:34" ht="14.25" customHeight="1">
      <c r="D975" s="81"/>
      <c r="E975" s="81"/>
      <c r="F975" s="81"/>
      <c r="G975" s="81"/>
      <c r="H975" s="81"/>
      <c r="I975" s="81"/>
      <c r="J975" s="81"/>
      <c r="K975" s="81"/>
      <c r="L975" s="81"/>
      <c r="M975" s="81"/>
      <c r="N975" s="81"/>
      <c r="O975" s="81"/>
      <c r="P975" s="81"/>
      <c r="Q975" s="81"/>
      <c r="R975" s="81"/>
      <c r="S975" s="81"/>
      <c r="T975" s="81"/>
      <c r="U975" s="81"/>
      <c r="V975" s="81"/>
      <c r="W975" s="81"/>
      <c r="X975" s="81"/>
      <c r="Y975" s="81"/>
      <c r="Z975" s="81"/>
      <c r="AA975" s="81"/>
      <c r="AB975" s="81"/>
      <c r="AC975" s="81"/>
      <c r="AD975" s="81"/>
      <c r="AE975" s="81"/>
      <c r="AF975" s="81"/>
      <c r="AG975" s="81"/>
      <c r="AH975" s="81"/>
    </row>
    <row r="976" spans="4:34" ht="14.25" customHeight="1">
      <c r="D976" s="81"/>
      <c r="E976" s="81"/>
      <c r="F976" s="81"/>
      <c r="G976" s="81"/>
      <c r="H976" s="81"/>
      <c r="I976" s="81"/>
      <c r="J976" s="81"/>
      <c r="K976" s="81"/>
      <c r="L976" s="81"/>
      <c r="M976" s="81"/>
      <c r="N976" s="81"/>
      <c r="O976" s="81"/>
      <c r="P976" s="81"/>
      <c r="Q976" s="81"/>
      <c r="R976" s="81"/>
      <c r="S976" s="81"/>
      <c r="T976" s="81"/>
      <c r="U976" s="81"/>
      <c r="V976" s="81"/>
      <c r="W976" s="81"/>
      <c r="X976" s="81"/>
      <c r="Y976" s="81"/>
      <c r="Z976" s="81"/>
      <c r="AA976" s="81"/>
      <c r="AB976" s="81"/>
      <c r="AC976" s="81"/>
      <c r="AD976" s="81"/>
      <c r="AE976" s="81"/>
      <c r="AF976" s="81"/>
      <c r="AG976" s="81"/>
      <c r="AH976" s="81"/>
    </row>
    <row r="977" spans="4:34" ht="14.25" customHeight="1">
      <c r="D977" s="81"/>
      <c r="E977" s="81"/>
      <c r="F977" s="81"/>
      <c r="G977" s="81"/>
      <c r="H977" s="81"/>
      <c r="I977" s="81"/>
      <c r="J977" s="81"/>
      <c r="K977" s="81"/>
      <c r="L977" s="81"/>
      <c r="M977" s="81"/>
      <c r="N977" s="81"/>
      <c r="O977" s="81"/>
      <c r="P977" s="81"/>
      <c r="Q977" s="81"/>
      <c r="R977" s="81"/>
      <c r="S977" s="81"/>
      <c r="T977" s="81"/>
      <c r="U977" s="81"/>
      <c r="V977" s="81"/>
      <c r="W977" s="81"/>
      <c r="X977" s="81"/>
      <c r="Y977" s="81"/>
      <c r="Z977" s="81"/>
      <c r="AA977" s="81"/>
      <c r="AB977" s="81"/>
      <c r="AC977" s="81"/>
      <c r="AD977" s="81"/>
      <c r="AE977" s="81"/>
      <c r="AF977" s="81"/>
      <c r="AG977" s="81"/>
      <c r="AH977" s="81"/>
    </row>
    <row r="978" spans="4:34" ht="14.25" customHeight="1">
      <c r="D978" s="81"/>
      <c r="E978" s="81"/>
      <c r="F978" s="81"/>
      <c r="G978" s="81"/>
      <c r="H978" s="81"/>
      <c r="I978" s="81"/>
      <c r="J978" s="81"/>
      <c r="K978" s="81"/>
      <c r="L978" s="81"/>
      <c r="M978" s="81"/>
      <c r="N978" s="81"/>
      <c r="O978" s="81"/>
      <c r="P978" s="81"/>
      <c r="Q978" s="81"/>
      <c r="R978" s="81"/>
      <c r="S978" s="81"/>
      <c r="T978" s="81"/>
      <c r="U978" s="81"/>
      <c r="V978" s="81"/>
      <c r="W978" s="81"/>
      <c r="X978" s="81"/>
      <c r="Y978" s="81"/>
      <c r="Z978" s="81"/>
      <c r="AA978" s="81"/>
      <c r="AB978" s="81"/>
      <c r="AC978" s="81"/>
      <c r="AD978" s="81"/>
      <c r="AE978" s="81"/>
      <c r="AF978" s="81"/>
      <c r="AG978" s="81"/>
      <c r="AH978" s="81"/>
    </row>
    <row r="979" spans="4:34" ht="14.25" customHeight="1">
      <c r="D979" s="81"/>
      <c r="E979" s="81"/>
      <c r="F979" s="81"/>
      <c r="G979" s="81"/>
      <c r="H979" s="81"/>
      <c r="I979" s="81"/>
      <c r="J979" s="81"/>
      <c r="K979" s="81"/>
      <c r="L979" s="81"/>
      <c r="M979" s="81"/>
      <c r="N979" s="81"/>
      <c r="O979" s="81"/>
      <c r="P979" s="81"/>
      <c r="Q979" s="81"/>
      <c r="R979" s="81"/>
      <c r="S979" s="81"/>
      <c r="T979" s="81"/>
      <c r="U979" s="81"/>
      <c r="V979" s="81"/>
      <c r="W979" s="81"/>
      <c r="X979" s="81"/>
      <c r="Y979" s="81"/>
      <c r="Z979" s="81"/>
      <c r="AA979" s="81"/>
      <c r="AB979" s="81"/>
      <c r="AC979" s="81"/>
      <c r="AD979" s="81"/>
      <c r="AE979" s="81"/>
      <c r="AF979" s="81"/>
      <c r="AG979" s="81"/>
      <c r="AH979" s="81"/>
    </row>
    <row r="980" spans="4:34" ht="14.25" customHeight="1">
      <c r="D980" s="81"/>
      <c r="E980" s="81"/>
      <c r="F980" s="81"/>
      <c r="G980" s="81"/>
      <c r="H980" s="81"/>
      <c r="I980" s="81"/>
      <c r="J980" s="81"/>
      <c r="K980" s="81"/>
      <c r="L980" s="81"/>
      <c r="M980" s="81"/>
      <c r="N980" s="81"/>
      <c r="O980" s="81"/>
      <c r="P980" s="81"/>
      <c r="Q980" s="81"/>
      <c r="R980" s="81"/>
      <c r="S980" s="81"/>
      <c r="T980" s="81"/>
      <c r="U980" s="81"/>
      <c r="V980" s="81"/>
      <c r="W980" s="81"/>
      <c r="X980" s="81"/>
      <c r="Y980" s="81"/>
      <c r="Z980" s="81"/>
      <c r="AA980" s="81"/>
      <c r="AB980" s="81"/>
      <c r="AC980" s="81"/>
      <c r="AD980" s="81"/>
      <c r="AE980" s="81"/>
      <c r="AF980" s="81"/>
      <c r="AG980" s="81"/>
      <c r="AH980" s="81"/>
    </row>
    <row r="981" spans="4:34" ht="14.25" customHeight="1">
      <c r="D981" s="81"/>
      <c r="E981" s="81"/>
      <c r="F981" s="81"/>
      <c r="G981" s="81"/>
      <c r="H981" s="81"/>
      <c r="I981" s="81"/>
      <c r="J981" s="81"/>
      <c r="K981" s="81"/>
      <c r="L981" s="81"/>
      <c r="M981" s="81"/>
      <c r="N981" s="81"/>
      <c r="O981" s="81"/>
      <c r="P981" s="81"/>
      <c r="Q981" s="81"/>
      <c r="R981" s="81"/>
      <c r="S981" s="81"/>
      <c r="T981" s="81"/>
      <c r="U981" s="81"/>
      <c r="V981" s="81"/>
      <c r="W981" s="81"/>
      <c r="X981" s="81"/>
      <c r="Y981" s="81"/>
      <c r="Z981" s="81"/>
      <c r="AA981" s="81"/>
      <c r="AB981" s="81"/>
      <c r="AC981" s="81"/>
      <c r="AD981" s="81"/>
      <c r="AE981" s="81"/>
      <c r="AF981" s="81"/>
      <c r="AG981" s="81"/>
      <c r="AH981" s="81"/>
    </row>
    <row r="982" spans="4:34" ht="14.25" customHeight="1">
      <c r="D982" s="81"/>
      <c r="E982" s="81"/>
      <c r="F982" s="81"/>
      <c r="G982" s="81"/>
      <c r="H982" s="81"/>
      <c r="I982" s="81"/>
      <c r="J982" s="81"/>
      <c r="K982" s="81"/>
      <c r="L982" s="81"/>
      <c r="M982" s="81"/>
      <c r="N982" s="81"/>
      <c r="O982" s="81"/>
      <c r="P982" s="81"/>
      <c r="Q982" s="81"/>
      <c r="R982" s="81"/>
      <c r="S982" s="81"/>
      <c r="T982" s="81"/>
      <c r="U982" s="81"/>
      <c r="V982" s="81"/>
      <c r="W982" s="81"/>
      <c r="X982" s="81"/>
      <c r="Y982" s="81"/>
      <c r="Z982" s="81"/>
      <c r="AA982" s="81"/>
      <c r="AB982" s="81"/>
      <c r="AC982" s="81"/>
      <c r="AD982" s="81"/>
      <c r="AE982" s="81"/>
      <c r="AF982" s="81"/>
      <c r="AG982" s="81"/>
      <c r="AH982" s="81"/>
    </row>
    <row r="983" spans="4:34" ht="14.25" customHeight="1">
      <c r="D983" s="81"/>
      <c r="E983" s="81"/>
      <c r="F983" s="81"/>
      <c r="G983" s="81"/>
      <c r="H983" s="81"/>
      <c r="I983" s="81"/>
      <c r="J983" s="81"/>
      <c r="K983" s="81"/>
      <c r="L983" s="81"/>
      <c r="M983" s="81"/>
      <c r="N983" s="81"/>
      <c r="O983" s="81"/>
      <c r="P983" s="81"/>
      <c r="Q983" s="81"/>
      <c r="R983" s="81"/>
      <c r="S983" s="81"/>
      <c r="T983" s="81"/>
      <c r="U983" s="81"/>
      <c r="V983" s="81"/>
      <c r="W983" s="81"/>
      <c r="X983" s="81"/>
      <c r="Y983" s="81"/>
      <c r="Z983" s="81"/>
      <c r="AA983" s="81"/>
      <c r="AB983" s="81"/>
      <c r="AC983" s="81"/>
      <c r="AD983" s="81"/>
      <c r="AE983" s="81"/>
      <c r="AF983" s="81"/>
      <c r="AG983" s="81"/>
      <c r="AH983" s="81"/>
    </row>
    <row r="984" spans="4:34" ht="14.25" customHeight="1">
      <c r="D984" s="81"/>
      <c r="E984" s="81"/>
      <c r="F984" s="81"/>
      <c r="G984" s="81"/>
      <c r="H984" s="81"/>
      <c r="I984" s="81"/>
      <c r="J984" s="81"/>
      <c r="K984" s="81"/>
      <c r="L984" s="81"/>
      <c r="M984" s="81"/>
      <c r="N984" s="81"/>
      <c r="O984" s="81"/>
      <c r="P984" s="81"/>
      <c r="Q984" s="81"/>
      <c r="R984" s="81"/>
      <c r="S984" s="81"/>
      <c r="T984" s="81"/>
      <c r="U984" s="81"/>
      <c r="V984" s="81"/>
      <c r="W984" s="81"/>
      <c r="X984" s="81"/>
      <c r="Y984" s="81"/>
      <c r="Z984" s="81"/>
      <c r="AA984" s="81"/>
      <c r="AB984" s="81"/>
      <c r="AC984" s="81"/>
      <c r="AD984" s="81"/>
      <c r="AE984" s="81"/>
      <c r="AF984" s="81"/>
      <c r="AG984" s="81"/>
      <c r="AH984" s="81"/>
    </row>
    <row r="985" spans="4:34" ht="14.25" customHeight="1">
      <c r="D985" s="81"/>
      <c r="E985" s="81"/>
      <c r="F985" s="81"/>
      <c r="G985" s="81"/>
      <c r="H985" s="81"/>
      <c r="I985" s="81"/>
      <c r="J985" s="81"/>
      <c r="K985" s="81"/>
      <c r="L985" s="81"/>
      <c r="M985" s="81"/>
      <c r="N985" s="81"/>
      <c r="O985" s="81"/>
      <c r="P985" s="81"/>
      <c r="Q985" s="81"/>
      <c r="R985" s="81"/>
      <c r="S985" s="81"/>
      <c r="T985" s="81"/>
      <c r="U985" s="81"/>
      <c r="V985" s="81"/>
      <c r="W985" s="81"/>
      <c r="X985" s="81"/>
      <c r="Y985" s="81"/>
      <c r="Z985" s="81"/>
      <c r="AA985" s="81"/>
      <c r="AB985" s="81"/>
      <c r="AC985" s="81"/>
      <c r="AD985" s="81"/>
      <c r="AE985" s="81"/>
      <c r="AF985" s="81"/>
      <c r="AG985" s="81"/>
      <c r="AH985" s="81"/>
    </row>
    <row r="986" spans="4:34" ht="14.25" customHeight="1">
      <c r="D986" s="81"/>
      <c r="E986" s="81"/>
      <c r="F986" s="81"/>
      <c r="G986" s="81"/>
      <c r="H986" s="81"/>
      <c r="I986" s="81"/>
      <c r="J986" s="81"/>
      <c r="K986" s="81"/>
      <c r="L986" s="81"/>
      <c r="M986" s="81"/>
      <c r="N986" s="81"/>
      <c r="O986" s="81"/>
      <c r="P986" s="81"/>
      <c r="Q986" s="81"/>
      <c r="R986" s="81"/>
      <c r="S986" s="81"/>
      <c r="T986" s="81"/>
      <c r="U986" s="81"/>
      <c r="V986" s="81"/>
      <c r="W986" s="81"/>
      <c r="X986" s="81"/>
      <c r="Y986" s="81"/>
      <c r="Z986" s="81"/>
      <c r="AA986" s="81"/>
      <c r="AB986" s="81"/>
      <c r="AC986" s="81"/>
      <c r="AD986" s="81"/>
      <c r="AE986" s="81"/>
      <c r="AF986" s="81"/>
      <c r="AG986" s="81"/>
      <c r="AH986" s="81"/>
    </row>
    <row r="987" spans="4:34" ht="14.25" customHeight="1">
      <c r="D987" s="81"/>
      <c r="E987" s="81"/>
      <c r="F987" s="81"/>
      <c r="G987" s="81"/>
      <c r="H987" s="81"/>
      <c r="I987" s="81"/>
      <c r="J987" s="81"/>
      <c r="K987" s="81"/>
      <c r="L987" s="81"/>
      <c r="M987" s="81"/>
      <c r="N987" s="81"/>
      <c r="O987" s="81"/>
      <c r="P987" s="81"/>
      <c r="Q987" s="81"/>
      <c r="R987" s="81"/>
      <c r="S987" s="81"/>
      <c r="T987" s="81"/>
      <c r="U987" s="81"/>
      <c r="V987" s="81"/>
      <c r="W987" s="81"/>
      <c r="X987" s="81"/>
      <c r="Y987" s="81"/>
      <c r="Z987" s="81"/>
      <c r="AA987" s="81"/>
      <c r="AB987" s="81"/>
      <c r="AC987" s="81"/>
      <c r="AD987" s="81"/>
      <c r="AE987" s="81"/>
      <c r="AF987" s="81"/>
      <c r="AG987" s="81"/>
      <c r="AH987" s="81"/>
    </row>
    <row r="988" spans="4:34" ht="14.25" customHeight="1">
      <c r="D988" s="81"/>
      <c r="E988" s="81"/>
      <c r="F988" s="81"/>
      <c r="G988" s="81"/>
      <c r="H988" s="81"/>
      <c r="I988" s="81"/>
      <c r="J988" s="81"/>
      <c r="K988" s="81"/>
      <c r="L988" s="81"/>
      <c r="M988" s="81"/>
      <c r="N988" s="81"/>
      <c r="O988" s="81"/>
      <c r="P988" s="81"/>
      <c r="Q988" s="81"/>
      <c r="R988" s="81"/>
      <c r="S988" s="81"/>
      <c r="T988" s="81"/>
      <c r="U988" s="81"/>
      <c r="V988" s="81"/>
      <c r="W988" s="81"/>
      <c r="X988" s="81"/>
      <c r="Y988" s="81"/>
      <c r="Z988" s="81"/>
      <c r="AA988" s="81"/>
      <c r="AB988" s="81"/>
      <c r="AC988" s="81"/>
      <c r="AD988" s="81"/>
      <c r="AE988" s="81"/>
      <c r="AF988" s="81"/>
      <c r="AG988" s="81"/>
      <c r="AH988" s="81"/>
    </row>
    <row r="989" spans="4:34" ht="14.25" customHeight="1">
      <c r="D989" s="81"/>
      <c r="E989" s="81"/>
      <c r="F989" s="81"/>
      <c r="G989" s="81"/>
      <c r="H989" s="81"/>
      <c r="I989" s="81"/>
      <c r="J989" s="81"/>
      <c r="K989" s="81"/>
      <c r="L989" s="81"/>
      <c r="M989" s="81"/>
      <c r="N989" s="81"/>
      <c r="O989" s="81"/>
      <c r="P989" s="81"/>
      <c r="Q989" s="81"/>
      <c r="R989" s="81"/>
      <c r="S989" s="81"/>
      <c r="T989" s="81"/>
      <c r="U989" s="81"/>
      <c r="V989" s="81"/>
      <c r="W989" s="81"/>
      <c r="X989" s="81"/>
      <c r="Y989" s="81"/>
      <c r="Z989" s="81"/>
      <c r="AA989" s="81"/>
      <c r="AB989" s="81"/>
      <c r="AC989" s="81"/>
      <c r="AD989" s="81"/>
      <c r="AE989" s="81"/>
      <c r="AF989" s="81"/>
      <c r="AG989" s="81"/>
      <c r="AH989" s="81"/>
    </row>
    <row r="990" spans="4:34" ht="14.25" customHeight="1">
      <c r="D990" s="81"/>
      <c r="E990" s="81"/>
      <c r="F990" s="81"/>
      <c r="G990" s="81"/>
      <c r="H990" s="81"/>
      <c r="I990" s="81"/>
      <c r="J990" s="81"/>
      <c r="K990" s="81"/>
      <c r="L990" s="81"/>
      <c r="M990" s="81"/>
      <c r="N990" s="81"/>
      <c r="O990" s="81"/>
      <c r="P990" s="81"/>
      <c r="Q990" s="81"/>
      <c r="R990" s="81"/>
      <c r="S990" s="81"/>
      <c r="T990" s="81"/>
      <c r="U990" s="81"/>
      <c r="V990" s="81"/>
      <c r="W990" s="81"/>
      <c r="X990" s="81"/>
      <c r="Y990" s="81"/>
      <c r="Z990" s="81"/>
      <c r="AA990" s="81"/>
      <c r="AB990" s="81"/>
      <c r="AC990" s="81"/>
      <c r="AD990" s="81"/>
      <c r="AE990" s="81"/>
      <c r="AF990" s="81"/>
      <c r="AG990" s="81"/>
      <c r="AH990" s="81"/>
    </row>
    <row r="991" spans="4:34" ht="14.25" customHeight="1">
      <c r="D991" s="81"/>
      <c r="E991" s="81"/>
      <c r="F991" s="81"/>
      <c r="G991" s="81"/>
      <c r="H991" s="81"/>
      <c r="I991" s="81"/>
      <c r="J991" s="81"/>
      <c r="K991" s="81"/>
      <c r="L991" s="81"/>
      <c r="M991" s="81"/>
      <c r="N991" s="81"/>
      <c r="O991" s="81"/>
      <c r="P991" s="81"/>
      <c r="Q991" s="81"/>
      <c r="R991" s="81"/>
      <c r="S991" s="81"/>
      <c r="T991" s="81"/>
      <c r="U991" s="81"/>
      <c r="V991" s="81"/>
      <c r="W991" s="81"/>
      <c r="X991" s="81"/>
      <c r="Y991" s="81"/>
      <c r="Z991" s="81"/>
      <c r="AA991" s="81"/>
      <c r="AB991" s="81"/>
      <c r="AC991" s="81"/>
      <c r="AD991" s="81"/>
      <c r="AE991" s="81"/>
      <c r="AF991" s="81"/>
      <c r="AG991" s="81"/>
      <c r="AH991" s="81"/>
    </row>
    <row r="992" spans="4:34" ht="14.25" customHeight="1">
      <c r="D992" s="81"/>
      <c r="E992" s="81"/>
      <c r="F992" s="81"/>
      <c r="G992" s="81"/>
      <c r="H992" s="81"/>
      <c r="I992" s="81"/>
      <c r="J992" s="81"/>
      <c r="K992" s="81"/>
      <c r="L992" s="81"/>
      <c r="M992" s="81"/>
      <c r="N992" s="81"/>
      <c r="O992" s="81"/>
      <c r="P992" s="81"/>
      <c r="Q992" s="81"/>
      <c r="R992" s="81"/>
      <c r="S992" s="81"/>
      <c r="T992" s="81"/>
      <c r="U992" s="81"/>
      <c r="V992" s="81"/>
      <c r="W992" s="81"/>
      <c r="X992" s="81"/>
      <c r="Y992" s="81"/>
      <c r="Z992" s="81"/>
      <c r="AA992" s="81"/>
      <c r="AB992" s="81"/>
      <c r="AC992" s="81"/>
      <c r="AD992" s="81"/>
      <c r="AE992" s="81"/>
      <c r="AF992" s="81"/>
      <c r="AG992" s="81"/>
      <c r="AH992" s="81"/>
    </row>
    <row r="993" spans="4:34" ht="14.25" customHeight="1">
      <c r="D993" s="81"/>
      <c r="E993" s="81"/>
      <c r="F993" s="81"/>
      <c r="G993" s="81"/>
      <c r="H993" s="81"/>
      <c r="I993" s="81"/>
      <c r="J993" s="81"/>
      <c r="K993" s="81"/>
      <c r="L993" s="81"/>
      <c r="M993" s="81"/>
      <c r="N993" s="81"/>
      <c r="O993" s="81"/>
      <c r="P993" s="81"/>
      <c r="Q993" s="81"/>
      <c r="R993" s="81"/>
      <c r="S993" s="81"/>
      <c r="T993" s="81"/>
      <c r="U993" s="81"/>
      <c r="V993" s="81"/>
      <c r="W993" s="81"/>
      <c r="X993" s="81"/>
      <c r="Y993" s="81"/>
      <c r="Z993" s="81"/>
      <c r="AA993" s="81"/>
      <c r="AB993" s="81"/>
      <c r="AC993" s="81"/>
      <c r="AD993" s="81"/>
      <c r="AE993" s="81"/>
      <c r="AF993" s="81"/>
      <c r="AG993" s="81"/>
      <c r="AH993" s="81"/>
    </row>
    <row r="994" spans="4:34" ht="14.25" customHeight="1">
      <c r="D994" s="81"/>
      <c r="E994" s="81"/>
      <c r="F994" s="81"/>
      <c r="G994" s="81"/>
      <c r="H994" s="81"/>
      <c r="I994" s="81"/>
      <c r="J994" s="81"/>
      <c r="K994" s="81"/>
      <c r="L994" s="81"/>
      <c r="M994" s="81"/>
      <c r="N994" s="81"/>
      <c r="O994" s="81"/>
      <c r="P994" s="81"/>
      <c r="Q994" s="81"/>
      <c r="R994" s="81"/>
      <c r="S994" s="81"/>
      <c r="T994" s="81"/>
      <c r="U994" s="81"/>
      <c r="V994" s="81"/>
      <c r="W994" s="81"/>
      <c r="X994" s="81"/>
      <c r="Y994" s="81"/>
      <c r="Z994" s="81"/>
      <c r="AA994" s="81"/>
      <c r="AB994" s="81"/>
      <c r="AC994" s="81"/>
      <c r="AD994" s="81"/>
      <c r="AE994" s="81"/>
      <c r="AF994" s="81"/>
      <c r="AG994" s="81"/>
      <c r="AH994" s="81"/>
    </row>
    <row r="995" spans="4:34" ht="14.25" customHeight="1">
      <c r="D995" s="81"/>
      <c r="E995" s="81"/>
      <c r="F995" s="81"/>
      <c r="G995" s="81"/>
      <c r="H995" s="81"/>
      <c r="I995" s="81"/>
      <c r="J995" s="81"/>
      <c r="K995" s="81"/>
      <c r="L995" s="81"/>
      <c r="M995" s="81"/>
      <c r="N995" s="81"/>
      <c r="O995" s="81"/>
      <c r="P995" s="81"/>
      <c r="Q995" s="81"/>
      <c r="R995" s="81"/>
      <c r="S995" s="81"/>
      <c r="T995" s="81"/>
      <c r="U995" s="81"/>
      <c r="V995" s="81"/>
      <c r="W995" s="81"/>
      <c r="X995" s="81"/>
      <c r="Y995" s="81"/>
      <c r="Z995" s="81"/>
      <c r="AA995" s="81"/>
      <c r="AB995" s="81"/>
      <c r="AC995" s="81"/>
      <c r="AD995" s="81"/>
      <c r="AE995" s="81"/>
      <c r="AF995" s="81"/>
      <c r="AG995" s="81"/>
      <c r="AH995" s="81"/>
    </row>
    <row r="996" spans="4:34" ht="14.25" customHeight="1">
      <c r="D996" s="81"/>
      <c r="E996" s="81"/>
      <c r="F996" s="81"/>
      <c r="G996" s="81"/>
      <c r="H996" s="81"/>
      <c r="I996" s="81"/>
      <c r="J996" s="81"/>
      <c r="K996" s="81"/>
      <c r="L996" s="81"/>
      <c r="M996" s="81"/>
      <c r="N996" s="81"/>
      <c r="O996" s="81"/>
      <c r="P996" s="81"/>
      <c r="Q996" s="81"/>
      <c r="R996" s="81"/>
      <c r="S996" s="81"/>
      <c r="T996" s="81"/>
      <c r="U996" s="81"/>
      <c r="V996" s="81"/>
      <c r="W996" s="81"/>
      <c r="X996" s="81"/>
      <c r="Y996" s="81"/>
      <c r="Z996" s="81"/>
      <c r="AA996" s="81"/>
      <c r="AB996" s="81"/>
      <c r="AC996" s="81"/>
      <c r="AD996" s="81"/>
      <c r="AE996" s="81"/>
      <c r="AF996" s="81"/>
      <c r="AG996" s="81"/>
      <c r="AH996" s="81"/>
    </row>
    <row r="997" spans="4:34" ht="14.25" customHeight="1">
      <c r="D997" s="81"/>
      <c r="E997" s="81"/>
      <c r="F997" s="81"/>
      <c r="G997" s="81"/>
      <c r="H997" s="81"/>
      <c r="I997" s="81"/>
      <c r="J997" s="81"/>
      <c r="K997" s="81"/>
      <c r="L997" s="81"/>
      <c r="M997" s="81"/>
      <c r="N997" s="81"/>
      <c r="O997" s="81"/>
      <c r="P997" s="81"/>
      <c r="Q997" s="81"/>
      <c r="R997" s="81"/>
      <c r="S997" s="81"/>
      <c r="T997" s="81"/>
      <c r="U997" s="81"/>
      <c r="V997" s="81"/>
      <c r="W997" s="81"/>
      <c r="X997" s="81"/>
      <c r="Y997" s="81"/>
      <c r="Z997" s="81"/>
      <c r="AA997" s="81"/>
      <c r="AB997" s="81"/>
      <c r="AC997" s="81"/>
      <c r="AD997" s="81"/>
      <c r="AE997" s="81"/>
      <c r="AF997" s="81"/>
      <c r="AG997" s="81"/>
      <c r="AH997" s="81"/>
    </row>
    <row r="998" spans="4:34" ht="14.25" customHeight="1">
      <c r="D998" s="81"/>
      <c r="E998" s="81"/>
      <c r="F998" s="81"/>
      <c r="G998" s="81"/>
      <c r="H998" s="81"/>
      <c r="I998" s="81"/>
      <c r="J998" s="81"/>
      <c r="K998" s="81"/>
      <c r="L998" s="81"/>
      <c r="M998" s="81"/>
      <c r="N998" s="81"/>
      <c r="O998" s="81"/>
      <c r="P998" s="81"/>
      <c r="Q998" s="81"/>
      <c r="R998" s="81"/>
      <c r="S998" s="81"/>
      <c r="T998" s="81"/>
      <c r="U998" s="81"/>
      <c r="V998" s="81"/>
      <c r="W998" s="81"/>
      <c r="X998" s="81"/>
      <c r="Y998" s="81"/>
      <c r="Z998" s="81"/>
      <c r="AA998" s="81"/>
      <c r="AB998" s="81"/>
      <c r="AC998" s="81"/>
      <c r="AD998" s="81"/>
      <c r="AE998" s="81"/>
      <c r="AF998" s="81"/>
      <c r="AG998" s="81"/>
      <c r="AH998" s="81"/>
    </row>
    <row r="999" spans="4:34" ht="14.25" customHeight="1">
      <c r="D999" s="81"/>
      <c r="E999" s="81"/>
      <c r="F999" s="81"/>
      <c r="G999" s="81"/>
      <c r="H999" s="81"/>
      <c r="I999" s="81"/>
      <c r="J999" s="81"/>
      <c r="K999" s="81"/>
      <c r="L999" s="81"/>
      <c r="M999" s="81"/>
      <c r="N999" s="81"/>
      <c r="O999" s="81"/>
      <c r="P999" s="81"/>
      <c r="Q999" s="81"/>
      <c r="R999" s="81"/>
      <c r="S999" s="81"/>
      <c r="T999" s="81"/>
      <c r="U999" s="81"/>
      <c r="V999" s="81"/>
      <c r="W999" s="81"/>
      <c r="X999" s="81"/>
      <c r="Y999" s="81"/>
      <c r="Z999" s="81"/>
      <c r="AA999" s="81"/>
      <c r="AB999" s="81"/>
      <c r="AC999" s="81"/>
      <c r="AD999" s="81"/>
      <c r="AE999" s="81"/>
      <c r="AF999" s="81"/>
      <c r="AG999" s="81"/>
      <c r="AH999" s="81"/>
    </row>
    <row r="1000" spans="4:34" ht="14.25" customHeight="1">
      <c r="D1000" s="81"/>
      <c r="E1000" s="81"/>
      <c r="F1000" s="81"/>
      <c r="G1000" s="81"/>
      <c r="H1000" s="81"/>
      <c r="I1000" s="81"/>
      <c r="J1000" s="81"/>
      <c r="K1000" s="81"/>
      <c r="L1000" s="81"/>
      <c r="M1000" s="81"/>
      <c r="N1000" s="81"/>
      <c r="O1000" s="81"/>
      <c r="P1000" s="81"/>
      <c r="Q1000" s="81"/>
      <c r="R1000" s="81"/>
      <c r="S1000" s="81"/>
      <c r="T1000" s="81"/>
      <c r="U1000" s="81"/>
      <c r="V1000" s="81"/>
      <c r="W1000" s="81"/>
      <c r="X1000" s="81"/>
      <c r="Y1000" s="81"/>
      <c r="Z1000" s="81"/>
      <c r="AA1000" s="81"/>
      <c r="AB1000" s="81"/>
      <c r="AC1000" s="81"/>
      <c r="AD1000" s="81"/>
      <c r="AE1000" s="81"/>
      <c r="AF1000" s="81"/>
      <c r="AG1000" s="81"/>
      <c r="AH1000" s="81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A1:D1000"/>
  <sheetViews>
    <sheetView topLeftCell="A320" workbookViewId="0">
      <selection activeCell="C2" sqref="C2:D344"/>
    </sheetView>
  </sheetViews>
  <sheetFormatPr baseColWidth="10" defaultColWidth="12.59765625" defaultRowHeight="15" customHeight="1"/>
  <cols>
    <col min="1" max="1" width="12.59765625" customWidth="1"/>
    <col min="2" max="2" width="11.69921875" customWidth="1"/>
    <col min="3" max="4" width="13" customWidth="1"/>
  </cols>
  <sheetData>
    <row r="1" spans="1:4" ht="72">
      <c r="A1" s="1" t="s">
        <v>0</v>
      </c>
      <c r="B1" s="2" t="s">
        <v>3</v>
      </c>
      <c r="C1" s="43" t="s">
        <v>500</v>
      </c>
      <c r="D1" s="43" t="s">
        <v>495</v>
      </c>
    </row>
    <row r="2" spans="1:4" ht="14.4">
      <c r="A2" s="6">
        <v>10101</v>
      </c>
      <c r="B2" s="7" t="s">
        <v>13</v>
      </c>
      <c r="C2" s="44">
        <v>18.616089422915817</v>
      </c>
      <c r="D2" s="8">
        <v>6.1969078106242357</v>
      </c>
    </row>
    <row r="3" spans="1:4" ht="14.4">
      <c r="A3" s="6">
        <v>10102</v>
      </c>
      <c r="B3" s="7" t="s">
        <v>14</v>
      </c>
      <c r="C3" s="44">
        <v>20.980805311011686</v>
      </c>
      <c r="D3" s="8">
        <v>15.052443510246977</v>
      </c>
    </row>
    <row r="4" spans="1:4" ht="14.4">
      <c r="A4" s="6">
        <v>10103</v>
      </c>
      <c r="B4" s="7" t="s">
        <v>16</v>
      </c>
      <c r="C4" s="44">
        <v>29.397212543554009</v>
      </c>
      <c r="D4" s="8">
        <v>16.018901820977945</v>
      </c>
    </row>
    <row r="5" spans="1:4" ht="14.4">
      <c r="A5" s="6">
        <v>10201</v>
      </c>
      <c r="B5" s="7" t="s">
        <v>19</v>
      </c>
      <c r="C5" s="44">
        <v>23.225476621578444</v>
      </c>
      <c r="D5" s="8">
        <v>13.277617474940611</v>
      </c>
    </row>
    <row r="6" spans="1:4" ht="14.4">
      <c r="A6" s="6">
        <v>10202</v>
      </c>
      <c r="B6" s="7" t="s">
        <v>21</v>
      </c>
      <c r="C6" s="44">
        <v>19.131777504825408</v>
      </c>
      <c r="D6" s="8">
        <v>9.1898620468399113</v>
      </c>
    </row>
    <row r="7" spans="1:4" ht="14.4">
      <c r="A7" s="6">
        <v>10301</v>
      </c>
      <c r="B7" s="7" t="s">
        <v>24</v>
      </c>
      <c r="C7" s="44">
        <v>32.088290475664934</v>
      </c>
      <c r="D7" s="8">
        <v>3.2388964269561282</v>
      </c>
    </row>
    <row r="8" spans="1:4" ht="14.4">
      <c r="A8" s="6">
        <v>10302</v>
      </c>
      <c r="B8" s="7" t="s">
        <v>26</v>
      </c>
      <c r="C8" s="44">
        <v>51.574634146341459</v>
      </c>
      <c r="D8" s="8">
        <v>8.9142412572451075</v>
      </c>
    </row>
    <row r="9" spans="1:4" ht="14.4">
      <c r="A9" s="6">
        <v>10303</v>
      </c>
      <c r="B9" s="7" t="s">
        <v>28</v>
      </c>
      <c r="C9" s="44">
        <v>47.008130081300813</v>
      </c>
      <c r="D9" s="8">
        <v>7.9344080660351217</v>
      </c>
    </row>
    <row r="10" spans="1:4" ht="14.4">
      <c r="A10" s="6">
        <v>10304</v>
      </c>
      <c r="B10" s="7" t="s">
        <v>30</v>
      </c>
      <c r="C10" s="44">
        <v>12.754518336550271</v>
      </c>
      <c r="D10" s="8">
        <v>8.3624686168038771</v>
      </c>
    </row>
    <row r="11" spans="1:4" ht="14.4">
      <c r="A11" s="6">
        <v>10401</v>
      </c>
      <c r="B11" s="7" t="s">
        <v>33</v>
      </c>
      <c r="C11" s="44">
        <v>33.360608444794124</v>
      </c>
      <c r="D11" s="8">
        <v>4.4590286425902859</v>
      </c>
    </row>
    <row r="12" spans="1:4" ht="14.4">
      <c r="A12" s="6">
        <v>10402</v>
      </c>
      <c r="B12" s="7" t="s">
        <v>32</v>
      </c>
      <c r="C12" s="44">
        <v>26.861788617886177</v>
      </c>
      <c r="D12" s="8">
        <v>4.778115095913261</v>
      </c>
    </row>
    <row r="13" spans="1:4" ht="14.4">
      <c r="A13" s="6">
        <v>10403</v>
      </c>
      <c r="B13" s="7" t="s">
        <v>35</v>
      </c>
      <c r="C13" s="44">
        <v>13.743240688220833</v>
      </c>
      <c r="D13" s="8">
        <v>2.0280940243557062</v>
      </c>
    </row>
    <row r="14" spans="1:4" ht="14.4">
      <c r="A14" s="6">
        <v>10404</v>
      </c>
      <c r="B14" s="7" t="s">
        <v>36</v>
      </c>
      <c r="C14" s="44">
        <v>0</v>
      </c>
      <c r="D14" s="8">
        <v>4.2550207961972664</v>
      </c>
    </row>
    <row r="15" spans="1:4" ht="14.4">
      <c r="A15" s="6">
        <v>10405</v>
      </c>
      <c r="B15" s="7" t="s">
        <v>37</v>
      </c>
      <c r="C15" s="44">
        <v>25.693884764934602</v>
      </c>
      <c r="D15" s="8">
        <v>10.272476241707009</v>
      </c>
    </row>
    <row r="16" spans="1:4" ht="14.4">
      <c r="A16" s="6">
        <v>10501</v>
      </c>
      <c r="B16" s="7" t="s">
        <v>39</v>
      </c>
      <c r="C16" s="44">
        <v>31.725186136071883</v>
      </c>
      <c r="D16" s="8">
        <v>5.5642579642579646</v>
      </c>
    </row>
    <row r="17" spans="1:4" ht="14.4">
      <c r="A17" s="6">
        <v>10502</v>
      </c>
      <c r="B17" s="7" t="s">
        <v>40</v>
      </c>
      <c r="C17" s="44">
        <v>10.679988245665589</v>
      </c>
      <c r="D17" s="8">
        <v>7.4031918330425786</v>
      </c>
    </row>
    <row r="18" spans="1:4" ht="14.4">
      <c r="A18" s="6">
        <v>10601</v>
      </c>
      <c r="B18" s="7" t="s">
        <v>42</v>
      </c>
      <c r="C18" s="44">
        <v>37.293551187939066</v>
      </c>
      <c r="D18" s="8">
        <v>15.826528964256873</v>
      </c>
    </row>
    <row r="19" spans="1:4" ht="14.4">
      <c r="A19" s="6">
        <v>10602</v>
      </c>
      <c r="B19" s="7" t="s">
        <v>41</v>
      </c>
      <c r="C19" s="44">
        <v>11.663671373555839</v>
      </c>
      <c r="D19" s="8">
        <v>5.6610276679841895</v>
      </c>
    </row>
    <row r="20" spans="1:4" ht="14.4">
      <c r="A20" s="6">
        <v>10701</v>
      </c>
      <c r="B20" s="7" t="s">
        <v>44</v>
      </c>
      <c r="C20" s="44">
        <v>9.2659131469363487</v>
      </c>
      <c r="D20" s="8">
        <v>11.644227642276423</v>
      </c>
    </row>
    <row r="21" spans="1:4" ht="15.75" customHeight="1">
      <c r="A21" s="6">
        <v>10702</v>
      </c>
      <c r="B21" s="7" t="s">
        <v>45</v>
      </c>
      <c r="C21" s="44">
        <v>27.979424012317594</v>
      </c>
      <c r="D21" s="8">
        <v>13.853991761311518</v>
      </c>
    </row>
    <row r="22" spans="1:4" ht="15.75" customHeight="1">
      <c r="A22" s="6">
        <v>10703</v>
      </c>
      <c r="B22" s="7" t="s">
        <v>46</v>
      </c>
      <c r="C22" s="44">
        <v>23.464562410329982</v>
      </c>
      <c r="D22" s="8">
        <v>13.32858721572733</v>
      </c>
    </row>
    <row r="23" spans="1:4" ht="15.75" customHeight="1">
      <c r="A23" s="6">
        <v>10704</v>
      </c>
      <c r="B23" s="7" t="s">
        <v>47</v>
      </c>
      <c r="C23" s="44">
        <v>36.844653825511358</v>
      </c>
      <c r="D23" s="8">
        <v>7.7195831836148034</v>
      </c>
    </row>
    <row r="24" spans="1:4" ht="15.75" customHeight="1">
      <c r="A24" s="6">
        <v>10801</v>
      </c>
      <c r="B24" s="7" t="s">
        <v>49</v>
      </c>
      <c r="C24" s="44">
        <v>4.432195121951219</v>
      </c>
      <c r="D24" s="8">
        <v>8.5267607310829305</v>
      </c>
    </row>
    <row r="25" spans="1:4" ht="15.75" customHeight="1">
      <c r="A25" s="6">
        <v>10901</v>
      </c>
      <c r="B25" s="7" t="s">
        <v>51</v>
      </c>
      <c r="C25" s="44">
        <v>13.430894308943088</v>
      </c>
      <c r="D25" s="8">
        <v>2.8647664766476644</v>
      </c>
    </row>
    <row r="26" spans="1:4" ht="15.75" customHeight="1">
      <c r="A26" s="6">
        <v>10902</v>
      </c>
      <c r="B26" s="7" t="s">
        <v>52</v>
      </c>
      <c r="C26" s="44">
        <v>15.134324806662701</v>
      </c>
      <c r="D26" s="8">
        <v>13.033397033397035</v>
      </c>
    </row>
    <row r="27" spans="1:4" ht="15.75" customHeight="1">
      <c r="A27" s="6">
        <v>10903</v>
      </c>
      <c r="B27" s="7" t="s">
        <v>53</v>
      </c>
      <c r="C27" s="44">
        <v>12.846942382467301</v>
      </c>
      <c r="D27" s="8">
        <v>3.6167676767676764</v>
      </c>
    </row>
    <row r="28" spans="1:4" ht="15.75" customHeight="1">
      <c r="A28" s="6">
        <v>11001</v>
      </c>
      <c r="B28" s="7" t="s">
        <v>55</v>
      </c>
      <c r="C28" s="44">
        <v>17.212408240587258</v>
      </c>
      <c r="D28" s="8">
        <v>5.4678692436172742</v>
      </c>
    </row>
    <row r="29" spans="1:4" ht="15.75" customHeight="1">
      <c r="A29" s="6">
        <v>11002</v>
      </c>
      <c r="B29" s="7" t="s">
        <v>56</v>
      </c>
      <c r="C29" s="44">
        <v>15.024390243902438</v>
      </c>
      <c r="D29" s="8">
        <v>15.593249863908543</v>
      </c>
    </row>
    <row r="30" spans="1:4" ht="15.75" customHeight="1">
      <c r="A30" s="6">
        <v>11003</v>
      </c>
      <c r="B30" s="7" t="s">
        <v>57</v>
      </c>
      <c r="C30" s="44">
        <v>6.198874296435271</v>
      </c>
      <c r="D30" s="8">
        <v>16.111818884904729</v>
      </c>
    </row>
    <row r="31" spans="1:4" ht="15.75" customHeight="1">
      <c r="A31" s="6">
        <v>20101</v>
      </c>
      <c r="B31" s="7" t="s">
        <v>59</v>
      </c>
      <c r="C31" s="44">
        <v>58.008954024519191</v>
      </c>
      <c r="D31" s="8">
        <v>11.710428994082841</v>
      </c>
    </row>
    <row r="32" spans="1:4" ht="15.75" customHeight="1">
      <c r="A32" s="6">
        <v>20102</v>
      </c>
      <c r="B32" s="7" t="s">
        <v>60</v>
      </c>
      <c r="C32" s="44">
        <v>113.52269503546098</v>
      </c>
      <c r="D32" s="8">
        <v>19.844420114768955</v>
      </c>
    </row>
    <row r="33" spans="1:4" ht="15.75" customHeight="1">
      <c r="A33" s="6">
        <v>20103</v>
      </c>
      <c r="B33" s="7" t="s">
        <v>61</v>
      </c>
      <c r="C33" s="44">
        <v>69.673522283226987</v>
      </c>
      <c r="D33" s="8">
        <v>13.899406017491584</v>
      </c>
    </row>
    <row r="34" spans="1:4" ht="15.75" customHeight="1">
      <c r="A34" s="6">
        <v>20104</v>
      </c>
      <c r="B34" s="7" t="s">
        <v>62</v>
      </c>
      <c r="C34" s="44">
        <v>99.349532942308272</v>
      </c>
      <c r="D34" s="8">
        <v>15.0051879626046</v>
      </c>
    </row>
    <row r="35" spans="1:4" ht="15.75" customHeight="1">
      <c r="A35" s="6">
        <v>20105</v>
      </c>
      <c r="B35" s="7" t="s">
        <v>63</v>
      </c>
      <c r="C35" s="44">
        <v>55.596193254836571</v>
      </c>
      <c r="D35" s="8">
        <v>15.146673737252316</v>
      </c>
    </row>
    <row r="36" spans="1:4" ht="15.75" customHeight="1">
      <c r="A36" s="6">
        <v>20201</v>
      </c>
      <c r="B36" s="7" t="s">
        <v>65</v>
      </c>
      <c r="C36" s="44">
        <v>7.0297321036451459</v>
      </c>
      <c r="D36" s="8">
        <v>18.845999063961251</v>
      </c>
    </row>
    <row r="37" spans="1:4" ht="15.75" customHeight="1">
      <c r="A37" s="6">
        <v>20202</v>
      </c>
      <c r="B37" s="7" t="s">
        <v>66</v>
      </c>
      <c r="C37" s="44">
        <v>59.591490493285463</v>
      </c>
      <c r="D37" s="8">
        <v>15.39044200318561</v>
      </c>
    </row>
    <row r="38" spans="1:4" ht="15.75" customHeight="1">
      <c r="A38" s="6">
        <v>20203</v>
      </c>
      <c r="B38" s="7" t="s">
        <v>67</v>
      </c>
      <c r="C38" s="44">
        <v>56.237856829161167</v>
      </c>
      <c r="D38" s="8">
        <v>20.697056322056323</v>
      </c>
    </row>
    <row r="39" spans="1:4" ht="15.75" customHeight="1">
      <c r="A39" s="6">
        <v>20204</v>
      </c>
      <c r="B39" s="7" t="s">
        <v>68</v>
      </c>
      <c r="C39" s="44">
        <v>67.485428194993403</v>
      </c>
      <c r="D39" s="8">
        <v>16.488324773312812</v>
      </c>
    </row>
    <row r="40" spans="1:4" ht="15.75" customHeight="1">
      <c r="A40" s="6">
        <v>20205</v>
      </c>
      <c r="B40" s="7" t="s">
        <v>69</v>
      </c>
      <c r="C40" s="44">
        <v>0</v>
      </c>
      <c r="D40" s="8">
        <v>8.3238161295226529</v>
      </c>
    </row>
    <row r="41" spans="1:4" ht="15.75" customHeight="1">
      <c r="A41" s="6">
        <v>20206</v>
      </c>
      <c r="B41" s="7" t="s">
        <v>70</v>
      </c>
      <c r="C41" s="44">
        <v>50.158088523305913</v>
      </c>
      <c r="D41" s="8">
        <v>42.770246708079156</v>
      </c>
    </row>
    <row r="42" spans="1:4" ht="15.75" customHeight="1">
      <c r="A42" s="6">
        <v>20301</v>
      </c>
      <c r="B42" s="7" t="s">
        <v>72</v>
      </c>
      <c r="C42" s="44">
        <v>20.735746093433729</v>
      </c>
      <c r="D42" s="8">
        <v>26.305800592537235</v>
      </c>
    </row>
    <row r="43" spans="1:4" ht="15.75" customHeight="1">
      <c r="A43" s="6">
        <v>20302</v>
      </c>
      <c r="B43" s="7" t="s">
        <v>73</v>
      </c>
      <c r="C43" s="44">
        <v>29.693588405797101</v>
      </c>
      <c r="D43" s="8">
        <v>17.02904701430645</v>
      </c>
    </row>
    <row r="44" spans="1:4" ht="15.75" customHeight="1">
      <c r="A44" s="6">
        <v>20303</v>
      </c>
      <c r="B44" s="7" t="s">
        <v>74</v>
      </c>
      <c r="C44" s="44">
        <v>0</v>
      </c>
      <c r="D44" s="8">
        <v>22.167636639676115</v>
      </c>
    </row>
    <row r="45" spans="1:4" ht="15.75" customHeight="1">
      <c r="A45" s="6">
        <v>20304</v>
      </c>
      <c r="B45" s="7" t="s">
        <v>75</v>
      </c>
      <c r="C45" s="44">
        <v>0</v>
      </c>
      <c r="D45" s="8">
        <v>14.82176291450485</v>
      </c>
    </row>
    <row r="46" spans="1:4" ht="15.75" customHeight="1">
      <c r="A46" s="6">
        <v>20305</v>
      </c>
      <c r="B46" s="7" t="s">
        <v>76</v>
      </c>
      <c r="C46" s="44">
        <v>0</v>
      </c>
      <c r="D46" s="8">
        <v>29.579913112638433</v>
      </c>
    </row>
    <row r="47" spans="1:4" ht="15.75" customHeight="1">
      <c r="A47" s="6">
        <v>20306</v>
      </c>
      <c r="B47" s="7" t="s">
        <v>77</v>
      </c>
      <c r="C47" s="44">
        <v>36.035908259462502</v>
      </c>
      <c r="D47" s="8">
        <v>36.549119914176728</v>
      </c>
    </row>
    <row r="48" spans="1:4" ht="15.75" customHeight="1">
      <c r="A48" s="6">
        <v>20307</v>
      </c>
      <c r="B48" s="7" t="s">
        <v>78</v>
      </c>
      <c r="C48" s="44">
        <v>0</v>
      </c>
      <c r="D48" s="8">
        <v>5.128065294080919</v>
      </c>
    </row>
    <row r="49" spans="1:4" ht="15.75" customHeight="1">
      <c r="A49" s="6">
        <v>20308</v>
      </c>
      <c r="B49" s="7" t="s">
        <v>79</v>
      </c>
      <c r="C49" s="44">
        <v>0</v>
      </c>
      <c r="D49" s="8">
        <v>9.8458853646353646</v>
      </c>
    </row>
    <row r="50" spans="1:4" ht="15.75" customHeight="1">
      <c r="A50" s="6">
        <v>20401</v>
      </c>
      <c r="B50" s="7" t="s">
        <v>81</v>
      </c>
      <c r="C50" s="44">
        <v>70.924176128496256</v>
      </c>
      <c r="D50" s="8">
        <v>14.726751613770846</v>
      </c>
    </row>
    <row r="51" spans="1:4" ht="15.75" customHeight="1">
      <c r="A51" s="6">
        <v>20402</v>
      </c>
      <c r="B51" s="7" t="s">
        <v>82</v>
      </c>
      <c r="C51" s="44">
        <v>97.310448895402473</v>
      </c>
      <c r="D51" s="8">
        <v>16.096245712885839</v>
      </c>
    </row>
    <row r="52" spans="1:4" ht="15.75" customHeight="1">
      <c r="A52" s="6">
        <v>20403</v>
      </c>
      <c r="B52" s="7" t="s">
        <v>83</v>
      </c>
      <c r="C52" s="44">
        <v>113.45803430162648</v>
      </c>
      <c r="D52" s="8">
        <v>23.414475587362276</v>
      </c>
    </row>
    <row r="53" spans="1:4" ht="15.75" customHeight="1">
      <c r="A53" s="6">
        <v>20404</v>
      </c>
      <c r="B53" s="7" t="s">
        <v>84</v>
      </c>
      <c r="C53" s="44">
        <v>162.16158716758125</v>
      </c>
      <c r="D53" s="8">
        <v>8.3238161295226512</v>
      </c>
    </row>
    <row r="54" spans="1:4" ht="15.75" customHeight="1">
      <c r="A54" s="6">
        <v>20405</v>
      </c>
      <c r="B54" s="7" t="s">
        <v>85</v>
      </c>
      <c r="C54" s="44">
        <v>61.861642512077296</v>
      </c>
      <c r="D54" s="8">
        <v>17.948228529283217</v>
      </c>
    </row>
    <row r="55" spans="1:4" ht="15.75" customHeight="1">
      <c r="A55" s="6">
        <v>20501</v>
      </c>
      <c r="B55" s="7" t="s">
        <v>87</v>
      </c>
      <c r="C55" s="44">
        <v>55.75512844436151</v>
      </c>
      <c r="D55" s="8">
        <v>10.120587012106835</v>
      </c>
    </row>
    <row r="56" spans="1:4" ht="15.75" customHeight="1">
      <c r="A56" s="6">
        <v>20502</v>
      </c>
      <c r="B56" s="7" t="s">
        <v>88</v>
      </c>
      <c r="C56" s="44">
        <v>88.796616046043965</v>
      </c>
      <c r="D56" s="8">
        <v>7.6071961978418932</v>
      </c>
    </row>
    <row r="57" spans="1:4" ht="15.75" customHeight="1">
      <c r="A57" s="6">
        <v>20503</v>
      </c>
      <c r="B57" s="7" t="s">
        <v>89</v>
      </c>
      <c r="C57" s="44">
        <v>70.69902001380261</v>
      </c>
      <c r="D57" s="8">
        <v>10.325273041565177</v>
      </c>
    </row>
    <row r="58" spans="1:4" ht="15.75" customHeight="1">
      <c r="A58" s="6">
        <v>20601</v>
      </c>
      <c r="B58" s="7" t="s">
        <v>91</v>
      </c>
      <c r="C58" s="44">
        <v>80.689098928796469</v>
      </c>
      <c r="D58" s="8">
        <v>13.442077536824879</v>
      </c>
    </row>
    <row r="59" spans="1:4" ht="15.75" customHeight="1">
      <c r="A59" s="6">
        <v>20602</v>
      </c>
      <c r="B59" s="7" t="s">
        <v>92</v>
      </c>
      <c r="C59" s="44">
        <v>144.53654792541423</v>
      </c>
      <c r="D59" s="8">
        <v>21.307846348423919</v>
      </c>
    </row>
    <row r="60" spans="1:4" ht="15.75" customHeight="1">
      <c r="A60" s="6">
        <v>20603</v>
      </c>
      <c r="B60" s="7" t="s">
        <v>93</v>
      </c>
      <c r="C60" s="44">
        <v>71.378818283166112</v>
      </c>
      <c r="D60" s="8">
        <v>0</v>
      </c>
    </row>
    <row r="61" spans="1:4" ht="15.75" customHeight="1">
      <c r="A61" s="6">
        <v>20604</v>
      </c>
      <c r="B61" s="7" t="s">
        <v>94</v>
      </c>
      <c r="C61" s="44">
        <v>175.08012031719988</v>
      </c>
      <c r="D61" s="8">
        <v>32.131094430045479</v>
      </c>
    </row>
    <row r="62" spans="1:4" ht="15.75" customHeight="1">
      <c r="A62" s="6">
        <v>20605</v>
      </c>
      <c r="B62" s="7" t="s">
        <v>95</v>
      </c>
      <c r="C62" s="44">
        <v>72.778402955385047</v>
      </c>
      <c r="D62" s="8">
        <v>17.404342816274635</v>
      </c>
    </row>
    <row r="63" spans="1:4" ht="15.75" customHeight="1">
      <c r="A63" s="6">
        <v>20606</v>
      </c>
      <c r="B63" s="7" t="s">
        <v>96</v>
      </c>
      <c r="C63" s="44">
        <v>94.242346014492753</v>
      </c>
      <c r="D63" s="8">
        <v>23.573792695177957</v>
      </c>
    </row>
    <row r="64" spans="1:4" ht="15.75" customHeight="1">
      <c r="A64" s="6">
        <v>20607</v>
      </c>
      <c r="B64" s="7" t="s">
        <v>97</v>
      </c>
      <c r="C64" s="44">
        <v>64.508129892273104</v>
      </c>
      <c r="D64" s="8">
        <v>14.586496836496835</v>
      </c>
    </row>
    <row r="65" spans="1:4" ht="15.75" customHeight="1">
      <c r="A65" s="6">
        <v>20608</v>
      </c>
      <c r="B65" s="7" t="s">
        <v>98</v>
      </c>
      <c r="C65" s="44">
        <v>70.475288937809566</v>
      </c>
      <c r="D65" s="8">
        <v>18.56713296132747</v>
      </c>
    </row>
    <row r="66" spans="1:4" ht="15.75" customHeight="1">
      <c r="A66" s="6">
        <v>20701</v>
      </c>
      <c r="B66" s="7" t="s">
        <v>100</v>
      </c>
      <c r="C66" s="44">
        <v>81.623000536768643</v>
      </c>
      <c r="D66" s="8">
        <v>20.179629914004913</v>
      </c>
    </row>
    <row r="67" spans="1:4" ht="15.75" customHeight="1">
      <c r="A67" s="6">
        <v>20702</v>
      </c>
      <c r="B67" s="7" t="s">
        <v>101</v>
      </c>
      <c r="C67" s="44">
        <v>83.812547919588596</v>
      </c>
      <c r="D67" s="8">
        <v>11.602895210849756</v>
      </c>
    </row>
    <row r="68" spans="1:4" ht="15.75" customHeight="1">
      <c r="A68" s="6">
        <v>20801</v>
      </c>
      <c r="B68" s="7" t="s">
        <v>103</v>
      </c>
      <c r="C68" s="44">
        <v>70.216052457218581</v>
      </c>
      <c r="D68" s="8">
        <v>15.962761311679515</v>
      </c>
    </row>
    <row r="69" spans="1:4" ht="15.75" customHeight="1">
      <c r="A69" s="6">
        <v>20802</v>
      </c>
      <c r="B69" s="7" t="s">
        <v>104</v>
      </c>
      <c r="C69" s="44">
        <v>84.356785243741754</v>
      </c>
      <c r="D69" s="8">
        <v>26.901326132883518</v>
      </c>
    </row>
    <row r="70" spans="1:4" ht="15.75" customHeight="1">
      <c r="A70" s="6">
        <v>20803</v>
      </c>
      <c r="B70" s="7" t="s">
        <v>105</v>
      </c>
      <c r="C70" s="44">
        <v>86.869540548874497</v>
      </c>
      <c r="D70" s="8">
        <v>10.243065453654626</v>
      </c>
    </row>
    <row r="71" spans="1:4" ht="15.75" customHeight="1">
      <c r="A71" s="6">
        <v>20804</v>
      </c>
      <c r="B71" s="7" t="s">
        <v>106</v>
      </c>
      <c r="C71" s="44">
        <v>87.187549849236461</v>
      </c>
      <c r="D71" s="8">
        <v>18.908421825088492</v>
      </c>
    </row>
    <row r="72" spans="1:4" ht="15.75" customHeight="1">
      <c r="A72" s="6">
        <v>20805</v>
      </c>
      <c r="B72" s="7" t="s">
        <v>107</v>
      </c>
      <c r="C72" s="44">
        <v>24.419069412662086</v>
      </c>
      <c r="D72" s="8">
        <v>15.522792241542243</v>
      </c>
    </row>
    <row r="73" spans="1:4" ht="15.75" customHeight="1">
      <c r="A73" s="6">
        <v>20806</v>
      </c>
      <c r="B73" s="7" t="s">
        <v>108</v>
      </c>
      <c r="C73" s="44">
        <v>72.620189035916823</v>
      </c>
      <c r="D73" s="8">
        <v>6.9871449262416423</v>
      </c>
    </row>
    <row r="74" spans="1:4" ht="15.75" customHeight="1">
      <c r="A74" s="6">
        <v>20807</v>
      </c>
      <c r="B74" s="7" t="s">
        <v>109</v>
      </c>
      <c r="C74" s="44">
        <v>21.331600866233551</v>
      </c>
      <c r="D74" s="8">
        <v>5.7868343872751939</v>
      </c>
    </row>
    <row r="75" spans="1:4" ht="15.75" customHeight="1">
      <c r="A75" s="6">
        <v>20901</v>
      </c>
      <c r="B75" s="7" t="s">
        <v>111</v>
      </c>
      <c r="C75" s="44">
        <v>81.875703324808185</v>
      </c>
      <c r="D75" s="8">
        <v>5.7530214985348547</v>
      </c>
    </row>
    <row r="76" spans="1:4" ht="15.75" customHeight="1">
      <c r="A76" s="6">
        <v>20902</v>
      </c>
      <c r="B76" s="7" t="s">
        <v>112</v>
      </c>
      <c r="C76" s="44">
        <v>64.551279143037164</v>
      </c>
      <c r="D76" s="8">
        <v>24.362388671773619</v>
      </c>
    </row>
    <row r="77" spans="1:4" ht="15.75" customHeight="1">
      <c r="A77" s="6">
        <v>20903</v>
      </c>
      <c r="B77" s="7" t="s">
        <v>113</v>
      </c>
      <c r="C77" s="44">
        <v>94.137282083595878</v>
      </c>
      <c r="D77" s="8">
        <v>15.663908534647172</v>
      </c>
    </row>
    <row r="78" spans="1:4" ht="15.75" customHeight="1">
      <c r="A78" s="6">
        <v>20904</v>
      </c>
      <c r="B78" s="7" t="s">
        <v>114</v>
      </c>
      <c r="C78" s="44">
        <v>84.356785243741768</v>
      </c>
      <c r="D78" s="8">
        <v>3.3199035429888033</v>
      </c>
    </row>
    <row r="79" spans="1:4" ht="15.75" customHeight="1">
      <c r="A79" s="6">
        <v>20905</v>
      </c>
      <c r="B79" s="7" t="s">
        <v>115</v>
      </c>
      <c r="C79" s="44">
        <v>128.77321502514047</v>
      </c>
      <c r="D79" s="8">
        <v>11.360636959194652</v>
      </c>
    </row>
    <row r="80" spans="1:4" ht="15.75" customHeight="1">
      <c r="A80" s="6">
        <v>21001</v>
      </c>
      <c r="B80" s="7" t="s">
        <v>116</v>
      </c>
      <c r="C80" s="44">
        <v>80.191018071211303</v>
      </c>
      <c r="D80" s="8">
        <v>10.627041955101248</v>
      </c>
    </row>
    <row r="81" spans="1:4" ht="15.75" customHeight="1">
      <c r="A81" s="6">
        <v>21002</v>
      </c>
      <c r="B81" s="7" t="s">
        <v>117</v>
      </c>
      <c r="C81" s="44">
        <v>101.96974040452302</v>
      </c>
      <c r="D81" s="8">
        <v>27.263131943215015</v>
      </c>
    </row>
    <row r="82" spans="1:4" ht="15.75" customHeight="1">
      <c r="A82" s="6">
        <v>21003</v>
      </c>
      <c r="B82" s="7" t="s">
        <v>118</v>
      </c>
      <c r="C82" s="44">
        <v>100.31617704661183</v>
      </c>
      <c r="D82" s="8">
        <v>14.123196219763843</v>
      </c>
    </row>
    <row r="83" spans="1:4" ht="15.75" customHeight="1">
      <c r="A83" s="6">
        <v>21004</v>
      </c>
      <c r="B83" s="7" t="s">
        <v>119</v>
      </c>
      <c r="C83" s="44">
        <v>84.356785243741768</v>
      </c>
      <c r="D83" s="8">
        <v>19.567532428139685</v>
      </c>
    </row>
    <row r="84" spans="1:4" ht="15.75" customHeight="1">
      <c r="A84" s="6">
        <v>21005</v>
      </c>
      <c r="B84" s="7" t="s">
        <v>120</v>
      </c>
      <c r="C84" s="44">
        <v>49.821457056706542</v>
      </c>
      <c r="D84" s="8">
        <v>12.168290528327606</v>
      </c>
    </row>
    <row r="85" spans="1:4" ht="15.75" customHeight="1">
      <c r="A85" s="6">
        <v>21006</v>
      </c>
      <c r="B85" s="7" t="s">
        <v>121</v>
      </c>
      <c r="C85" s="44">
        <v>22.632308236125837</v>
      </c>
      <c r="D85" s="8">
        <v>9.3770336806051109</v>
      </c>
    </row>
    <row r="86" spans="1:4" ht="15.75" customHeight="1">
      <c r="A86" s="6">
        <v>21101</v>
      </c>
      <c r="B86" s="7" t="s">
        <v>123</v>
      </c>
      <c r="C86" s="44">
        <v>63.267588932806333</v>
      </c>
      <c r="D86" s="8">
        <v>25.63185032942264</v>
      </c>
    </row>
    <row r="87" spans="1:4" ht="15.75" customHeight="1">
      <c r="A87" s="6">
        <v>21102</v>
      </c>
      <c r="B87" s="7" t="s">
        <v>124</v>
      </c>
      <c r="C87" s="44">
        <v>49.621638378671619</v>
      </c>
      <c r="D87" s="8">
        <v>17.884717458762044</v>
      </c>
    </row>
    <row r="88" spans="1:4" ht="15.75" customHeight="1">
      <c r="A88" s="6">
        <v>21103</v>
      </c>
      <c r="B88" s="7" t="s">
        <v>125</v>
      </c>
      <c r="C88" s="44">
        <v>63.556482032956119</v>
      </c>
      <c r="D88" s="8">
        <v>8.2441623866564058</v>
      </c>
    </row>
    <row r="89" spans="1:4" ht="15.75" customHeight="1">
      <c r="A89" s="6">
        <v>21104</v>
      </c>
      <c r="B89" s="7" t="s">
        <v>126</v>
      </c>
      <c r="C89" s="44">
        <v>48.612384716732535</v>
      </c>
      <c r="D89" s="8">
        <v>16.933955172591538</v>
      </c>
    </row>
    <row r="90" spans="1:4" ht="15.75" customHeight="1">
      <c r="A90" s="6">
        <v>21105</v>
      </c>
      <c r="B90" s="7" t="s">
        <v>127</v>
      </c>
      <c r="C90" s="44">
        <v>66.848773212021769</v>
      </c>
      <c r="D90" s="8">
        <v>18.569991642306888</v>
      </c>
    </row>
    <row r="91" spans="1:4" ht="15.75" customHeight="1">
      <c r="A91" s="6">
        <v>21201</v>
      </c>
      <c r="B91" s="7" t="s">
        <v>129</v>
      </c>
      <c r="C91" s="44">
        <v>107.4938251487544</v>
      </c>
      <c r="D91" s="8">
        <v>15.720750089723653</v>
      </c>
    </row>
    <row r="92" spans="1:4" ht="15.75" customHeight="1">
      <c r="A92" s="6">
        <v>21202</v>
      </c>
      <c r="B92" s="7" t="s">
        <v>130</v>
      </c>
      <c r="C92" s="44">
        <v>73.742355312410012</v>
      </c>
      <c r="D92" s="8">
        <v>13.692305459546839</v>
      </c>
    </row>
    <row r="93" spans="1:4" ht="15.75" customHeight="1">
      <c r="A93" s="6">
        <v>21203</v>
      </c>
      <c r="B93" s="7" t="s">
        <v>131</v>
      </c>
      <c r="C93" s="44">
        <v>37.366092792529912</v>
      </c>
      <c r="D93" s="8">
        <v>18.007463606937616</v>
      </c>
    </row>
    <row r="94" spans="1:4" ht="15.75" customHeight="1">
      <c r="A94" s="6">
        <v>21204</v>
      </c>
      <c r="B94" s="7" t="s">
        <v>132</v>
      </c>
      <c r="C94" s="44">
        <v>144.34383252818037</v>
      </c>
      <c r="D94" s="8">
        <v>9.2636018215655316</v>
      </c>
    </row>
    <row r="95" spans="1:4" ht="15.75" customHeight="1">
      <c r="A95" s="6">
        <v>21301</v>
      </c>
      <c r="B95" s="7" t="s">
        <v>134</v>
      </c>
      <c r="C95" s="44">
        <v>87.334083546462068</v>
      </c>
      <c r="D95" s="8">
        <v>17.489825836000932</v>
      </c>
    </row>
    <row r="96" spans="1:4" ht="15.75" customHeight="1">
      <c r="A96" s="6">
        <v>21302</v>
      </c>
      <c r="B96" s="7" t="s">
        <v>135</v>
      </c>
      <c r="C96" s="44">
        <v>70.47528893780958</v>
      </c>
      <c r="D96" s="8">
        <v>13.142867572930502</v>
      </c>
    </row>
    <row r="97" spans="1:4" ht="15.75" customHeight="1">
      <c r="A97" s="6">
        <v>21303</v>
      </c>
      <c r="B97" s="7" t="s">
        <v>136</v>
      </c>
      <c r="C97" s="44">
        <v>31.27835857352223</v>
      </c>
      <c r="D97" s="8">
        <v>34.80868563254927</v>
      </c>
    </row>
    <row r="98" spans="1:4" ht="15.75" customHeight="1">
      <c r="A98" s="6">
        <v>21304</v>
      </c>
      <c r="B98" s="7" t="s">
        <v>137</v>
      </c>
      <c r="C98" s="44">
        <v>33.438725682203938</v>
      </c>
      <c r="D98" s="8">
        <v>8.7973811609615762</v>
      </c>
    </row>
    <row r="99" spans="1:4" ht="15.75" customHeight="1">
      <c r="A99" s="6">
        <v>21305</v>
      </c>
      <c r="B99" s="7" t="s">
        <v>138</v>
      </c>
      <c r="C99" s="44">
        <v>23.691692876965771</v>
      </c>
      <c r="D99" s="8">
        <v>20.427148059409472</v>
      </c>
    </row>
    <row r="100" spans="1:4" ht="15.75" customHeight="1">
      <c r="A100" s="6">
        <v>21306</v>
      </c>
      <c r="B100" s="7" t="s">
        <v>139</v>
      </c>
      <c r="C100" s="44">
        <v>15.727536231884056</v>
      </c>
      <c r="D100" s="8">
        <v>21.905823616193103</v>
      </c>
    </row>
    <row r="101" spans="1:4" ht="15.75" customHeight="1">
      <c r="A101" s="6">
        <v>21307</v>
      </c>
      <c r="B101" s="7" t="s">
        <v>140</v>
      </c>
      <c r="C101" s="44">
        <v>0</v>
      </c>
      <c r="D101" s="8">
        <v>20.294816711556997</v>
      </c>
    </row>
    <row r="102" spans="1:4" ht="15.75" customHeight="1">
      <c r="A102" s="6">
        <v>21401</v>
      </c>
      <c r="B102" s="7" t="s">
        <v>142</v>
      </c>
      <c r="C102" s="44">
        <v>24.944210690353749</v>
      </c>
      <c r="D102" s="8">
        <v>14.155103214715048</v>
      </c>
    </row>
    <row r="103" spans="1:4" ht="15.75" customHeight="1">
      <c r="A103" s="6">
        <v>21402</v>
      </c>
      <c r="B103" s="7" t="s">
        <v>143</v>
      </c>
      <c r="C103" s="44">
        <v>50.568100146112229</v>
      </c>
      <c r="D103" s="8">
        <v>11.949925886856965</v>
      </c>
    </row>
    <row r="104" spans="1:4" ht="15.75" customHeight="1">
      <c r="A104" s="6">
        <v>21501</v>
      </c>
      <c r="B104" s="7" t="s">
        <v>145</v>
      </c>
      <c r="C104" s="44">
        <v>13.069361094100836</v>
      </c>
      <c r="D104" s="8">
        <v>17.910914124856433</v>
      </c>
    </row>
    <row r="105" spans="1:4" ht="15.75" customHeight="1">
      <c r="A105" s="6">
        <v>21502</v>
      </c>
      <c r="B105" s="7" t="s">
        <v>146</v>
      </c>
      <c r="C105" s="44">
        <v>14.90641988242826</v>
      </c>
      <c r="D105" s="8">
        <v>25.845449082167836</v>
      </c>
    </row>
    <row r="106" spans="1:4" ht="15.75" customHeight="1">
      <c r="A106" s="6">
        <v>21601</v>
      </c>
      <c r="B106" s="7" t="s">
        <v>148</v>
      </c>
      <c r="C106" s="44">
        <v>38.003739427214718</v>
      </c>
      <c r="D106" s="8">
        <v>11.842130163650783</v>
      </c>
    </row>
    <row r="107" spans="1:4" ht="15.75" customHeight="1">
      <c r="A107" s="6">
        <v>21602</v>
      </c>
      <c r="B107" s="7" t="s">
        <v>149</v>
      </c>
      <c r="C107" s="44">
        <v>26.512132505175977</v>
      </c>
      <c r="D107" s="8">
        <v>11.934406502588322</v>
      </c>
    </row>
    <row r="108" spans="1:4" ht="15.75" customHeight="1">
      <c r="A108" s="6">
        <v>21701</v>
      </c>
      <c r="B108" s="7" t="s">
        <v>151</v>
      </c>
      <c r="C108" s="44">
        <v>35.416970903861049</v>
      </c>
      <c r="D108" s="8">
        <v>10.325273041565177</v>
      </c>
    </row>
    <row r="109" spans="1:4" ht="15.75" customHeight="1">
      <c r="A109" s="6">
        <v>21702</v>
      </c>
      <c r="B109" s="7" t="s">
        <v>152</v>
      </c>
      <c r="C109" s="44">
        <v>0</v>
      </c>
      <c r="D109" s="8">
        <v>29.080674072762683</v>
      </c>
    </row>
    <row r="110" spans="1:4" ht="15.75" customHeight="1">
      <c r="A110" s="6">
        <v>21703</v>
      </c>
      <c r="B110" s="7" t="s">
        <v>153</v>
      </c>
      <c r="C110" s="44">
        <v>0</v>
      </c>
      <c r="D110" s="8">
        <v>0</v>
      </c>
    </row>
    <row r="111" spans="1:4" ht="15.75" customHeight="1">
      <c r="A111" s="6">
        <v>21801</v>
      </c>
      <c r="B111" s="7" t="s">
        <v>155</v>
      </c>
      <c r="C111" s="44">
        <v>11.896469713861018</v>
      </c>
      <c r="D111" s="8">
        <v>17.828838982525237</v>
      </c>
    </row>
    <row r="112" spans="1:4" ht="15.75" customHeight="1">
      <c r="A112" s="6">
        <v>21802</v>
      </c>
      <c r="B112" s="7" t="s">
        <v>157</v>
      </c>
      <c r="C112" s="44">
        <v>15.727536231884056</v>
      </c>
      <c r="D112" s="8">
        <v>16.696026538868114</v>
      </c>
    </row>
    <row r="113" spans="1:4" ht="15.75" customHeight="1">
      <c r="A113" s="6">
        <v>21803</v>
      </c>
      <c r="B113" s="7" t="s">
        <v>158</v>
      </c>
      <c r="C113" s="44">
        <v>0</v>
      </c>
      <c r="D113" s="8">
        <v>0</v>
      </c>
    </row>
    <row r="114" spans="1:4" ht="15.75" customHeight="1">
      <c r="A114" s="6">
        <v>21901</v>
      </c>
      <c r="B114" s="7" t="s">
        <v>160</v>
      </c>
      <c r="C114" s="44">
        <v>0</v>
      </c>
      <c r="D114" s="8">
        <v>38.640834509527174</v>
      </c>
    </row>
    <row r="115" spans="1:4" ht="15.75" customHeight="1">
      <c r="A115" s="6">
        <v>21902</v>
      </c>
      <c r="B115" s="7" t="s">
        <v>161</v>
      </c>
      <c r="C115" s="44">
        <v>0</v>
      </c>
      <c r="D115" s="8">
        <v>3.5235786069758466</v>
      </c>
    </row>
    <row r="116" spans="1:4" ht="15.75" customHeight="1">
      <c r="A116" s="6">
        <v>22001</v>
      </c>
      <c r="B116" s="7" t="s">
        <v>162</v>
      </c>
      <c r="C116" s="44">
        <v>34.851629584268899</v>
      </c>
      <c r="D116" s="8">
        <v>12.190890165817203</v>
      </c>
    </row>
    <row r="117" spans="1:4" ht="15.75" customHeight="1">
      <c r="A117" s="6">
        <v>22002</v>
      </c>
      <c r="B117" s="7" t="s">
        <v>163</v>
      </c>
      <c r="C117" s="44">
        <v>81.506893850372109</v>
      </c>
      <c r="D117" s="8">
        <v>20.152396945160103</v>
      </c>
    </row>
    <row r="118" spans="1:4" ht="15.75" customHeight="1">
      <c r="A118" s="6">
        <v>30101</v>
      </c>
      <c r="B118" s="7" t="s">
        <v>17</v>
      </c>
      <c r="C118" s="44">
        <v>53.516955270875997</v>
      </c>
      <c r="D118" s="8">
        <v>4.6539754335681396</v>
      </c>
    </row>
    <row r="119" spans="1:4" ht="15.75" customHeight="1">
      <c r="A119" s="6">
        <v>30201</v>
      </c>
      <c r="B119" s="7" t="s">
        <v>166</v>
      </c>
      <c r="C119" s="44">
        <v>68.121247848653624</v>
      </c>
      <c r="D119" s="8">
        <v>2.9564112831756741</v>
      </c>
    </row>
    <row r="120" spans="1:4" ht="15.75" customHeight="1">
      <c r="A120" s="6">
        <v>30202</v>
      </c>
      <c r="B120" s="7" t="s">
        <v>167</v>
      </c>
      <c r="C120" s="44">
        <v>0</v>
      </c>
      <c r="D120" s="8">
        <v>1.8434406383862696</v>
      </c>
    </row>
    <row r="121" spans="1:4" ht="15.75" customHeight="1">
      <c r="A121" s="6">
        <v>30203</v>
      </c>
      <c r="B121" s="7" t="s">
        <v>168</v>
      </c>
      <c r="C121" s="44">
        <v>53.340912654853376</v>
      </c>
      <c r="D121" s="8">
        <v>1.2606755333480295</v>
      </c>
    </row>
    <row r="122" spans="1:4" ht="15.75" customHeight="1">
      <c r="A122" s="6">
        <v>30301</v>
      </c>
      <c r="B122" s="7" t="s">
        <v>170</v>
      </c>
      <c r="C122" s="44">
        <v>165.7367502603507</v>
      </c>
      <c r="D122" s="8">
        <v>10.120562548590755</v>
      </c>
    </row>
    <row r="123" spans="1:4" ht="15.75" customHeight="1">
      <c r="A123" s="6">
        <v>30302</v>
      </c>
      <c r="B123" s="7" t="s">
        <v>171</v>
      </c>
      <c r="C123" s="44">
        <v>137.75420161350482</v>
      </c>
      <c r="D123" s="8">
        <v>7.6629297125076299</v>
      </c>
    </row>
    <row r="124" spans="1:4" ht="15.75" customHeight="1">
      <c r="A124" s="6">
        <v>30303</v>
      </c>
      <c r="B124" s="7" t="s">
        <v>172</v>
      </c>
      <c r="C124" s="44">
        <v>133.68154653006462</v>
      </c>
      <c r="D124" s="8">
        <v>15.750182859292387</v>
      </c>
    </row>
    <row r="125" spans="1:4" ht="15.75" customHeight="1">
      <c r="A125" s="6">
        <v>30401</v>
      </c>
      <c r="B125" s="7" t="s">
        <v>174</v>
      </c>
      <c r="C125" s="44">
        <v>116.77928202626335</v>
      </c>
      <c r="D125" s="8">
        <v>9.3184325911490902</v>
      </c>
    </row>
    <row r="126" spans="1:4" ht="15.75" customHeight="1">
      <c r="A126" s="6">
        <v>30402</v>
      </c>
      <c r="B126" s="7" t="s">
        <v>175</v>
      </c>
      <c r="C126" s="44">
        <v>51.783513745222606</v>
      </c>
      <c r="D126" s="8">
        <v>11.724282460136674</v>
      </c>
    </row>
    <row r="127" spans="1:4" ht="15.75" customHeight="1">
      <c r="A127" s="6">
        <v>30403</v>
      </c>
      <c r="B127" s="7" t="s">
        <v>176</v>
      </c>
      <c r="C127" s="44">
        <v>170.31659830146171</v>
      </c>
      <c r="D127" s="8">
        <v>5.5422048586808508</v>
      </c>
    </row>
    <row r="128" spans="1:4" ht="15.75" customHeight="1">
      <c r="A128" s="6">
        <v>30404</v>
      </c>
      <c r="B128" s="7" t="s">
        <v>177</v>
      </c>
      <c r="C128" s="44">
        <v>0</v>
      </c>
      <c r="D128" s="8">
        <v>14.55141440087885</v>
      </c>
    </row>
    <row r="129" spans="1:4" ht="15.75" customHeight="1">
      <c r="A129" s="6">
        <v>30501</v>
      </c>
      <c r="B129" s="7" t="s">
        <v>178</v>
      </c>
      <c r="C129" s="44">
        <v>204.15370886605749</v>
      </c>
      <c r="D129" s="8">
        <v>9.4095364848608938</v>
      </c>
    </row>
    <row r="130" spans="1:4" ht="15.75" customHeight="1">
      <c r="A130" s="6">
        <v>30502</v>
      </c>
      <c r="B130" s="7" t="s">
        <v>179</v>
      </c>
      <c r="C130" s="44">
        <v>51.973196945754573</v>
      </c>
      <c r="D130" s="8">
        <v>10.756222440492364</v>
      </c>
    </row>
    <row r="131" spans="1:4" ht="15.75" customHeight="1">
      <c r="A131" s="6">
        <v>30601</v>
      </c>
      <c r="B131" s="7" t="s">
        <v>180</v>
      </c>
      <c r="C131" s="44">
        <v>116.93969312794779</v>
      </c>
      <c r="D131" s="8">
        <v>15.133245023274242</v>
      </c>
    </row>
    <row r="132" spans="1:4" ht="15.75" customHeight="1">
      <c r="A132" s="6">
        <v>30602</v>
      </c>
      <c r="B132" s="7" t="s">
        <v>181</v>
      </c>
      <c r="C132" s="44">
        <v>120.03961731126059</v>
      </c>
      <c r="D132" s="8">
        <v>11.985790619098829</v>
      </c>
    </row>
    <row r="133" spans="1:4" ht="15.75" customHeight="1">
      <c r="A133" s="6">
        <v>30701</v>
      </c>
      <c r="B133" s="7" t="s">
        <v>182</v>
      </c>
      <c r="C133" s="44">
        <v>32.320461881984052</v>
      </c>
      <c r="D133" s="8">
        <v>8.3807888165010098</v>
      </c>
    </row>
    <row r="134" spans="1:4" ht="15.75" customHeight="1">
      <c r="A134" s="6">
        <v>30702</v>
      </c>
      <c r="B134" s="7" t="s">
        <v>183</v>
      </c>
      <c r="C134" s="44">
        <v>56.304296691234121</v>
      </c>
      <c r="D134" s="8">
        <v>4.7085471727456527</v>
      </c>
    </row>
    <row r="135" spans="1:4" ht="15.75" customHeight="1">
      <c r="A135" s="6">
        <v>30703</v>
      </c>
      <c r="B135" s="7" t="s">
        <v>184</v>
      </c>
      <c r="C135" s="44">
        <v>187.30934344806596</v>
      </c>
      <c r="D135" s="8">
        <v>0</v>
      </c>
    </row>
    <row r="136" spans="1:4" ht="15.75" customHeight="1">
      <c r="A136" s="6">
        <v>30801</v>
      </c>
      <c r="B136" s="7" t="s">
        <v>186</v>
      </c>
      <c r="C136" s="44">
        <v>47.295609220636656</v>
      </c>
      <c r="D136" s="8">
        <v>2.8549389107475664</v>
      </c>
    </row>
    <row r="137" spans="1:4" ht="15.75" customHeight="1">
      <c r="A137" s="6">
        <v>30802</v>
      </c>
      <c r="B137" s="7" t="s">
        <v>187</v>
      </c>
      <c r="C137" s="44">
        <v>65.085700762344018</v>
      </c>
      <c r="D137" s="8">
        <v>10.603356230097765</v>
      </c>
    </row>
    <row r="138" spans="1:4" ht="15.75" customHeight="1">
      <c r="A138" s="6">
        <v>30803</v>
      </c>
      <c r="B138" s="7" t="s">
        <v>188</v>
      </c>
      <c r="C138" s="44">
        <v>97.516720042549807</v>
      </c>
      <c r="D138" s="8">
        <v>11.081552419788917</v>
      </c>
    </row>
    <row r="139" spans="1:4" ht="15.75" customHeight="1">
      <c r="A139" s="6">
        <v>30901</v>
      </c>
      <c r="B139" s="7" t="s">
        <v>189</v>
      </c>
      <c r="C139" s="44">
        <v>21.252779808789377</v>
      </c>
      <c r="D139" s="8">
        <v>3.9750816402799045</v>
      </c>
    </row>
    <row r="140" spans="1:4" ht="15.75" customHeight="1">
      <c r="A140" s="6">
        <v>30902</v>
      </c>
      <c r="B140" s="7" t="s">
        <v>190</v>
      </c>
      <c r="C140" s="44">
        <v>42.272626537898162</v>
      </c>
      <c r="D140" s="8">
        <v>6.2478799022971172</v>
      </c>
    </row>
    <row r="141" spans="1:4" ht="15.75" customHeight="1">
      <c r="A141" s="6">
        <v>30903</v>
      </c>
      <c r="B141" s="7" t="s">
        <v>191</v>
      </c>
      <c r="C141" s="44">
        <v>21.227831786641232</v>
      </c>
      <c r="D141" s="8">
        <v>4.613354020949302</v>
      </c>
    </row>
    <row r="142" spans="1:4" ht="15.75" customHeight="1">
      <c r="A142" s="6">
        <v>30904</v>
      </c>
      <c r="B142" s="7" t="s">
        <v>192</v>
      </c>
      <c r="C142" s="44">
        <v>32.037669243445656</v>
      </c>
      <c r="D142" s="8">
        <v>3.9578206175480846</v>
      </c>
    </row>
    <row r="143" spans="1:4" ht="15.75" customHeight="1">
      <c r="A143" s="6">
        <v>30905</v>
      </c>
      <c r="B143" s="7" t="s">
        <v>193</v>
      </c>
      <c r="C143" s="44">
        <v>21.17713845700149</v>
      </c>
      <c r="D143" s="8">
        <v>3.9237893106213773</v>
      </c>
    </row>
    <row r="144" spans="1:4" ht="15.75" customHeight="1">
      <c r="A144" s="6">
        <v>31001</v>
      </c>
      <c r="B144" s="7" t="s">
        <v>195</v>
      </c>
      <c r="C144" s="44">
        <v>55.355979961350364</v>
      </c>
      <c r="D144" s="8">
        <v>4.6545453083912687</v>
      </c>
    </row>
    <row r="145" spans="1:4" ht="15.75" customHeight="1">
      <c r="A145" s="6">
        <v>31002</v>
      </c>
      <c r="B145" s="7" t="s">
        <v>196</v>
      </c>
      <c r="C145" s="44">
        <v>79.155831331609463</v>
      </c>
      <c r="D145" s="8">
        <v>8.668600709897726</v>
      </c>
    </row>
    <row r="146" spans="1:4" ht="15.75" customHeight="1">
      <c r="A146" s="6">
        <v>31003</v>
      </c>
      <c r="B146" s="7" t="s">
        <v>197</v>
      </c>
      <c r="C146" s="44">
        <v>79.553113718922205</v>
      </c>
      <c r="D146" s="8">
        <v>9.0988395319447513</v>
      </c>
    </row>
    <row r="147" spans="1:4" ht="15.75" customHeight="1">
      <c r="A147" s="6">
        <v>31101</v>
      </c>
      <c r="B147" s="7" t="s">
        <v>198</v>
      </c>
      <c r="C147" s="44">
        <v>116.93969312794778</v>
      </c>
      <c r="D147" s="8">
        <v>17.151908670551048</v>
      </c>
    </row>
    <row r="148" spans="1:4" ht="15.75" customHeight="1">
      <c r="A148" s="6">
        <v>31201</v>
      </c>
      <c r="B148" s="7" t="s">
        <v>200</v>
      </c>
      <c r="C148" s="44">
        <v>98.532519209659711</v>
      </c>
      <c r="D148" s="8">
        <v>7.0065433028705222</v>
      </c>
    </row>
    <row r="149" spans="1:4" ht="15.75" customHeight="1">
      <c r="A149" s="6">
        <v>31202</v>
      </c>
      <c r="B149" s="7" t="s">
        <v>201</v>
      </c>
      <c r="C149" s="44">
        <v>78.826015367727777</v>
      </c>
      <c r="D149" s="8">
        <v>5.1705766086600553</v>
      </c>
    </row>
    <row r="150" spans="1:4" ht="15.75" customHeight="1">
      <c r="A150" s="6">
        <v>31203</v>
      </c>
      <c r="B150" s="7" t="s">
        <v>202</v>
      </c>
      <c r="C150" s="44">
        <v>53.990421484745049</v>
      </c>
      <c r="D150" s="8">
        <v>7.6230705202449105</v>
      </c>
    </row>
    <row r="151" spans="1:4" ht="15.75" customHeight="1">
      <c r="A151" s="6">
        <v>31204</v>
      </c>
      <c r="B151" s="7" t="s">
        <v>203</v>
      </c>
      <c r="C151" s="44">
        <v>77.06831691184361</v>
      </c>
      <c r="D151" s="8">
        <v>8.4015893727285462</v>
      </c>
    </row>
    <row r="152" spans="1:4" ht="15.75" customHeight="1">
      <c r="A152" s="6">
        <v>31205</v>
      </c>
      <c r="B152" s="7" t="s">
        <v>204</v>
      </c>
      <c r="C152" s="44">
        <v>47.986616498210893</v>
      </c>
      <c r="D152" s="8">
        <v>6.3492846189348935</v>
      </c>
    </row>
    <row r="153" spans="1:4" ht="15.75" customHeight="1">
      <c r="A153" s="6">
        <v>31206</v>
      </c>
      <c r="B153" s="7" t="s">
        <v>205</v>
      </c>
      <c r="C153" s="44">
        <v>34.355164082786914</v>
      </c>
      <c r="D153" s="8">
        <v>5.8337607722573548</v>
      </c>
    </row>
    <row r="154" spans="1:4" ht="15.75" customHeight="1">
      <c r="A154" s="6">
        <v>31301</v>
      </c>
      <c r="B154" s="7" t="s">
        <v>206</v>
      </c>
      <c r="C154" s="44">
        <v>39.16820639390199</v>
      </c>
      <c r="D154" s="8">
        <v>5.4944366251541723</v>
      </c>
    </row>
    <row r="155" spans="1:4" ht="15.75" customHeight="1">
      <c r="A155" s="6">
        <v>31302</v>
      </c>
      <c r="B155" s="7" t="s">
        <v>207</v>
      </c>
      <c r="C155" s="44">
        <v>43.792230759848756</v>
      </c>
      <c r="D155" s="8">
        <v>13.593370968274405</v>
      </c>
    </row>
    <row r="156" spans="1:4" ht="15.75" customHeight="1">
      <c r="A156" s="6">
        <v>31303</v>
      </c>
      <c r="B156" s="7" t="s">
        <v>208</v>
      </c>
      <c r="C156" s="44">
        <v>28.838786110144305</v>
      </c>
      <c r="D156" s="8">
        <v>0</v>
      </c>
    </row>
    <row r="157" spans="1:4" ht="15.75" customHeight="1">
      <c r="A157" s="19">
        <v>31304</v>
      </c>
      <c r="B157" s="7" t="s">
        <v>209</v>
      </c>
      <c r="C157" s="44">
        <v>45.258956191996802</v>
      </c>
      <c r="D157" s="8">
        <v>20.098769931662872</v>
      </c>
    </row>
    <row r="158" spans="1:4" ht="15.75" customHeight="1">
      <c r="A158" s="6">
        <v>31401</v>
      </c>
      <c r="B158" s="7" t="s">
        <v>210</v>
      </c>
      <c r="C158" s="44">
        <v>30.883326916460504</v>
      </c>
      <c r="D158" s="8">
        <v>5.9901118003485099</v>
      </c>
    </row>
    <row r="159" spans="1:4" ht="15.75" customHeight="1">
      <c r="A159" s="6">
        <v>31402</v>
      </c>
      <c r="B159" s="7" t="s">
        <v>211</v>
      </c>
      <c r="C159" s="44">
        <v>0</v>
      </c>
      <c r="D159" s="8">
        <v>5.3682611996962795</v>
      </c>
    </row>
    <row r="160" spans="1:4" ht="15.75" customHeight="1">
      <c r="A160" s="6">
        <v>31403</v>
      </c>
      <c r="B160" s="7" t="s">
        <v>212</v>
      </c>
      <c r="C160" s="44">
        <v>65.385634867239617</v>
      </c>
      <c r="D160" s="8">
        <v>6.6615241250776567</v>
      </c>
    </row>
    <row r="161" spans="1:4" ht="15.75" customHeight="1">
      <c r="A161" s="6">
        <v>31404</v>
      </c>
      <c r="B161" s="7" t="s">
        <v>213</v>
      </c>
      <c r="C161" s="44">
        <v>102.81654178399273</v>
      </c>
      <c r="D161" s="8">
        <v>8.4958568551715032</v>
      </c>
    </row>
    <row r="162" spans="1:4" ht="15.75" customHeight="1">
      <c r="A162" s="6">
        <v>31405</v>
      </c>
      <c r="B162" s="7" t="s">
        <v>214</v>
      </c>
      <c r="C162" s="44">
        <v>0</v>
      </c>
      <c r="D162" s="8">
        <v>0</v>
      </c>
    </row>
    <row r="163" spans="1:4" ht="15.75" customHeight="1">
      <c r="A163" s="6">
        <v>31501</v>
      </c>
      <c r="B163" s="7" t="s">
        <v>215</v>
      </c>
      <c r="C163" s="44">
        <v>140.13513843151603</v>
      </c>
      <c r="D163" s="8">
        <v>30.853374895096511</v>
      </c>
    </row>
    <row r="164" spans="1:4" ht="15.75" customHeight="1">
      <c r="A164" s="6">
        <v>31601</v>
      </c>
      <c r="B164" s="7" t="s">
        <v>216</v>
      </c>
      <c r="C164" s="44">
        <v>70.590461523338291</v>
      </c>
      <c r="D164" s="8">
        <v>6.5470649476708225</v>
      </c>
    </row>
    <row r="165" spans="1:4" ht="15.75" customHeight="1">
      <c r="A165" s="6">
        <v>31602</v>
      </c>
      <c r="B165" s="7" t="s">
        <v>217</v>
      </c>
      <c r="C165" s="44">
        <v>21.114111259212795</v>
      </c>
      <c r="D165" s="8">
        <v>6.728426089031089</v>
      </c>
    </row>
    <row r="166" spans="1:4" ht="15.75" customHeight="1">
      <c r="A166" s="6">
        <v>40101</v>
      </c>
      <c r="B166" s="7" t="s">
        <v>20</v>
      </c>
      <c r="C166" s="44">
        <v>12.606130562602925</v>
      </c>
      <c r="D166" s="8">
        <v>28.264219963473646</v>
      </c>
    </row>
    <row r="167" spans="1:4" ht="15.75" customHeight="1">
      <c r="A167" s="6">
        <v>40102</v>
      </c>
      <c r="B167" s="7" t="s">
        <v>218</v>
      </c>
      <c r="C167" s="44">
        <v>134.1572470278515</v>
      </c>
      <c r="D167" s="8">
        <v>43.801239825346343</v>
      </c>
    </row>
    <row r="168" spans="1:4" ht="15.75" customHeight="1">
      <c r="A168" s="6">
        <v>40103</v>
      </c>
      <c r="B168" s="7" t="s">
        <v>219</v>
      </c>
      <c r="C168" s="44">
        <v>66.87784396055072</v>
      </c>
      <c r="D168" s="8">
        <v>16.954168869105576</v>
      </c>
    </row>
    <row r="169" spans="1:4" ht="15.75" customHeight="1">
      <c r="A169" s="6">
        <v>40104</v>
      </c>
      <c r="B169" s="7" t="s">
        <v>220</v>
      </c>
      <c r="C169" s="44">
        <v>148.39310282567482</v>
      </c>
      <c r="D169" s="8">
        <v>23.475418654003743</v>
      </c>
    </row>
    <row r="170" spans="1:4" ht="15.75" customHeight="1">
      <c r="A170" s="6">
        <v>40201</v>
      </c>
      <c r="B170" s="7" t="s">
        <v>222</v>
      </c>
      <c r="C170" s="44">
        <v>154.50835222026359</v>
      </c>
      <c r="D170" s="8">
        <v>28.990894819466245</v>
      </c>
    </row>
    <row r="171" spans="1:4" ht="15.75" customHeight="1">
      <c r="A171" s="6">
        <v>40202</v>
      </c>
      <c r="B171" s="7" t="s">
        <v>223</v>
      </c>
      <c r="C171" s="44">
        <v>151.71362750310121</v>
      </c>
      <c r="D171" s="8">
        <v>46.70081383052095</v>
      </c>
    </row>
    <row r="172" spans="1:4" ht="15.75" customHeight="1">
      <c r="A172" s="6">
        <v>40301</v>
      </c>
      <c r="B172" s="7" t="s">
        <v>225</v>
      </c>
      <c r="C172" s="44">
        <v>30.156573810432381</v>
      </c>
      <c r="D172" s="8">
        <v>26.139331394600717</v>
      </c>
    </row>
    <row r="173" spans="1:4" ht="15.75" customHeight="1">
      <c r="A173" s="6">
        <v>40302</v>
      </c>
      <c r="B173" s="7" t="s">
        <v>226</v>
      </c>
      <c r="C173" s="44">
        <v>81.925358851674631</v>
      </c>
      <c r="D173" s="8">
        <v>18.297531976220501</v>
      </c>
    </row>
    <row r="174" spans="1:4" ht="15.75" customHeight="1">
      <c r="A174" s="6">
        <v>40401</v>
      </c>
      <c r="B174" s="7" t="s">
        <v>228</v>
      </c>
      <c r="C174" s="44">
        <v>157.54876702245124</v>
      </c>
      <c r="D174" s="8">
        <v>57.238433361510275</v>
      </c>
    </row>
    <row r="175" spans="1:4" ht="15.75" customHeight="1">
      <c r="A175" s="6">
        <v>40402</v>
      </c>
      <c r="B175" s="7" t="s">
        <v>229</v>
      </c>
      <c r="C175" s="44">
        <v>179.21172248803828</v>
      </c>
      <c r="D175" s="8">
        <v>14.6380255809764</v>
      </c>
    </row>
    <row r="176" spans="1:4" ht="15.75" customHeight="1">
      <c r="A176" s="6">
        <v>40501</v>
      </c>
      <c r="B176" s="7" t="s">
        <v>231</v>
      </c>
      <c r="C176" s="44">
        <v>0</v>
      </c>
      <c r="D176" s="8">
        <v>9.9656200941915216</v>
      </c>
    </row>
    <row r="177" spans="1:4" ht="15.75" customHeight="1">
      <c r="A177" s="6">
        <v>40502</v>
      </c>
      <c r="B177" s="7" t="s">
        <v>232</v>
      </c>
      <c r="C177" s="44">
        <v>63.019506808980481</v>
      </c>
      <c r="D177" s="8">
        <v>10.239903216050003</v>
      </c>
    </row>
    <row r="178" spans="1:4" ht="15.75" customHeight="1">
      <c r="A178" s="6">
        <v>40503</v>
      </c>
      <c r="B178" s="7" t="s">
        <v>233</v>
      </c>
      <c r="C178" s="44">
        <v>144.57416267942583</v>
      </c>
      <c r="D178" s="8">
        <v>0</v>
      </c>
    </row>
    <row r="179" spans="1:4" ht="15.75" customHeight="1">
      <c r="A179" s="6">
        <v>40504</v>
      </c>
      <c r="B179" s="7" t="s">
        <v>234</v>
      </c>
      <c r="C179" s="44">
        <v>0</v>
      </c>
      <c r="D179" s="8">
        <v>0</v>
      </c>
    </row>
    <row r="180" spans="1:4" ht="15.75" customHeight="1">
      <c r="A180" s="6">
        <v>40505</v>
      </c>
      <c r="B180" s="7" t="s">
        <v>235</v>
      </c>
      <c r="C180" s="44">
        <v>0</v>
      </c>
      <c r="D180" s="8">
        <v>20.765571173013033</v>
      </c>
    </row>
    <row r="181" spans="1:4" ht="15.75" customHeight="1">
      <c r="A181" s="6">
        <v>40601</v>
      </c>
      <c r="B181" s="7" t="s">
        <v>236</v>
      </c>
      <c r="C181" s="44">
        <v>206.53451811346551</v>
      </c>
      <c r="D181" s="8">
        <v>30.31984925091886</v>
      </c>
    </row>
    <row r="182" spans="1:4" ht="15.75" customHeight="1">
      <c r="A182" s="6">
        <v>40602</v>
      </c>
      <c r="B182" s="7" t="s">
        <v>237</v>
      </c>
      <c r="C182" s="44">
        <v>65.832877648667122</v>
      </c>
      <c r="D182" s="8">
        <v>10.629994767137624</v>
      </c>
    </row>
    <row r="183" spans="1:4" ht="15.75" customHeight="1">
      <c r="A183" s="6">
        <v>40603</v>
      </c>
      <c r="B183" s="7" t="s">
        <v>238</v>
      </c>
      <c r="C183" s="44">
        <v>40.291160090987525</v>
      </c>
      <c r="D183" s="8">
        <v>9.921328449328449</v>
      </c>
    </row>
    <row r="184" spans="1:4" ht="15.75" customHeight="1">
      <c r="A184" s="6">
        <v>40701</v>
      </c>
      <c r="B184" s="7" t="s">
        <v>240</v>
      </c>
      <c r="C184" s="44">
        <v>46.636826670782526</v>
      </c>
      <c r="D184" s="8">
        <v>39.559727361246352</v>
      </c>
    </row>
    <row r="185" spans="1:4" ht="15.75" customHeight="1">
      <c r="A185" s="6">
        <v>40702</v>
      </c>
      <c r="B185" s="7" t="s">
        <v>241</v>
      </c>
      <c r="C185" s="44">
        <v>55.858199217050888</v>
      </c>
      <c r="D185" s="8">
        <v>37.517628589897498</v>
      </c>
    </row>
    <row r="186" spans="1:4" ht="15.75" customHeight="1">
      <c r="A186" s="6">
        <v>40801</v>
      </c>
      <c r="B186" s="7" t="s">
        <v>243</v>
      </c>
      <c r="C186" s="44">
        <v>87.777170198222848</v>
      </c>
      <c r="D186" s="8">
        <v>33.859354946245524</v>
      </c>
    </row>
    <row r="187" spans="1:4" ht="15.75" customHeight="1">
      <c r="A187" s="6">
        <v>40802</v>
      </c>
      <c r="B187" s="7" t="s">
        <v>244</v>
      </c>
      <c r="C187" s="44">
        <v>0</v>
      </c>
      <c r="D187" s="8">
        <v>12.198354650813666</v>
      </c>
    </row>
    <row r="188" spans="1:4" ht="15.75" customHeight="1">
      <c r="A188" s="6">
        <v>40901</v>
      </c>
      <c r="B188" s="7" t="s">
        <v>245</v>
      </c>
      <c r="C188" s="44">
        <v>55.542616170626864</v>
      </c>
      <c r="D188" s="8">
        <v>17.171530008453086</v>
      </c>
    </row>
    <row r="189" spans="1:4" ht="15.75" customHeight="1">
      <c r="A189" s="6">
        <v>40902</v>
      </c>
      <c r="B189" s="7" t="s">
        <v>246</v>
      </c>
      <c r="C189" s="44">
        <v>0</v>
      </c>
      <c r="D189" s="8">
        <v>18.917787297448314</v>
      </c>
    </row>
    <row r="190" spans="1:4" ht="15.75" customHeight="1">
      <c r="A190" s="6">
        <v>40903</v>
      </c>
      <c r="B190" s="7" t="s">
        <v>247</v>
      </c>
      <c r="C190" s="44">
        <v>144.57416267942585</v>
      </c>
      <c r="D190" s="8">
        <v>40.342751224678935</v>
      </c>
    </row>
    <row r="191" spans="1:4" ht="15.75" customHeight="1">
      <c r="A191" s="6">
        <v>41001</v>
      </c>
      <c r="B191" s="7" t="s">
        <v>249</v>
      </c>
      <c r="C191" s="44">
        <v>67.800296980696245</v>
      </c>
      <c r="D191" s="8">
        <v>37.623015187060126</v>
      </c>
    </row>
    <row r="192" spans="1:4" ht="15.75" customHeight="1">
      <c r="A192" s="6">
        <v>41101</v>
      </c>
      <c r="B192" s="7" t="s">
        <v>251</v>
      </c>
      <c r="C192" s="44">
        <v>148.9551979121357</v>
      </c>
      <c r="D192" s="8">
        <v>55.80747252747252</v>
      </c>
    </row>
    <row r="193" spans="1:4" ht="15.75" customHeight="1">
      <c r="A193" s="6">
        <v>41201</v>
      </c>
      <c r="B193" s="7" t="s">
        <v>253</v>
      </c>
      <c r="C193" s="44">
        <v>124.44358306583487</v>
      </c>
      <c r="D193" s="8">
        <v>17.57715670156615</v>
      </c>
    </row>
    <row r="194" spans="1:4" ht="15.75" customHeight="1">
      <c r="A194" s="6">
        <v>41202</v>
      </c>
      <c r="B194" s="7" t="s">
        <v>254</v>
      </c>
      <c r="C194" s="44">
        <v>0</v>
      </c>
      <c r="D194" s="8">
        <v>42.928825021132717</v>
      </c>
    </row>
    <row r="195" spans="1:4" ht="15.75" customHeight="1">
      <c r="A195" s="6">
        <v>41301</v>
      </c>
      <c r="B195" s="7" t="s">
        <v>255</v>
      </c>
      <c r="C195" s="44">
        <v>0</v>
      </c>
      <c r="D195" s="8">
        <v>39.744194084846903</v>
      </c>
    </row>
    <row r="196" spans="1:4" ht="15.75" customHeight="1">
      <c r="A196" s="6">
        <v>41401</v>
      </c>
      <c r="B196" s="7" t="s">
        <v>257</v>
      </c>
      <c r="C196" s="44">
        <v>97.875428716602471</v>
      </c>
      <c r="D196" s="8">
        <v>21.957038371464602</v>
      </c>
    </row>
    <row r="197" spans="1:4" ht="15.75" customHeight="1">
      <c r="A197" s="6">
        <v>41501</v>
      </c>
      <c r="B197" s="7" t="s">
        <v>259</v>
      </c>
      <c r="C197" s="44">
        <v>0</v>
      </c>
      <c r="D197" s="8">
        <v>0</v>
      </c>
    </row>
    <row r="198" spans="1:4" ht="15.75" customHeight="1">
      <c r="A198" s="6">
        <v>41502</v>
      </c>
      <c r="B198" s="7" t="s">
        <v>260</v>
      </c>
      <c r="C198" s="44">
        <v>0</v>
      </c>
      <c r="D198" s="8">
        <v>28.619216680755137</v>
      </c>
    </row>
    <row r="199" spans="1:4" ht="15.75" customHeight="1">
      <c r="A199" s="6">
        <v>41503</v>
      </c>
      <c r="B199" s="7" t="s">
        <v>224</v>
      </c>
      <c r="C199" s="44">
        <v>0</v>
      </c>
      <c r="D199" s="8">
        <v>0</v>
      </c>
    </row>
    <row r="200" spans="1:4" ht="15.75" customHeight="1">
      <c r="A200" s="6">
        <v>41601</v>
      </c>
      <c r="B200" s="7" t="s">
        <v>262</v>
      </c>
      <c r="C200" s="44">
        <v>163.85071770334929</v>
      </c>
      <c r="D200" s="8">
        <v>54.446314660948808</v>
      </c>
    </row>
    <row r="201" spans="1:4" ht="15.75" customHeight="1">
      <c r="A201" s="6">
        <v>50101</v>
      </c>
      <c r="B201" s="7" t="s">
        <v>263</v>
      </c>
      <c r="C201" s="44">
        <v>77.057947134942864</v>
      </c>
      <c r="D201" s="8">
        <v>14.520144320819233</v>
      </c>
    </row>
    <row r="202" spans="1:4" ht="15.75" customHeight="1">
      <c r="A202" s="6">
        <v>50102</v>
      </c>
      <c r="B202" s="7" t="s">
        <v>265</v>
      </c>
      <c r="C202" s="44">
        <v>218.98023222883035</v>
      </c>
      <c r="D202" s="8">
        <v>34.514327523767129</v>
      </c>
    </row>
    <row r="203" spans="1:4" ht="15.75" customHeight="1">
      <c r="A203" s="6">
        <v>50103</v>
      </c>
      <c r="B203" s="7" t="s">
        <v>266</v>
      </c>
      <c r="C203" s="44">
        <v>14.171906158357771</v>
      </c>
      <c r="D203" s="8">
        <v>20.445813333485081</v>
      </c>
    </row>
    <row r="204" spans="1:4" ht="15.75" customHeight="1">
      <c r="A204" s="6">
        <v>50104</v>
      </c>
      <c r="B204" s="7" t="s">
        <v>267</v>
      </c>
      <c r="C204" s="44">
        <v>36.610757575757575</v>
      </c>
      <c r="D204" s="8">
        <v>8.3220487377790739</v>
      </c>
    </row>
    <row r="205" spans="1:4" ht="15.75" customHeight="1">
      <c r="A205" s="6">
        <v>50201</v>
      </c>
      <c r="B205" s="7" t="s">
        <v>269</v>
      </c>
      <c r="C205" s="44">
        <v>212.7381859131859</v>
      </c>
      <c r="D205" s="8">
        <v>30.89667104763166</v>
      </c>
    </row>
    <row r="206" spans="1:4" ht="15.75" customHeight="1">
      <c r="A206" s="6">
        <v>50202</v>
      </c>
      <c r="B206" s="7" t="s">
        <v>270</v>
      </c>
      <c r="C206" s="44">
        <v>157.70787878787877</v>
      </c>
      <c r="D206" s="8">
        <v>41.141048062729787</v>
      </c>
    </row>
    <row r="207" spans="1:4" ht="15.75" customHeight="1">
      <c r="A207" s="6">
        <v>50203</v>
      </c>
      <c r="B207" s="7" t="s">
        <v>271</v>
      </c>
      <c r="C207" s="44">
        <v>74.536871711123212</v>
      </c>
      <c r="D207" s="8">
        <v>18.720167285231863</v>
      </c>
    </row>
    <row r="208" spans="1:4" ht="15.75" customHeight="1">
      <c r="A208" s="6">
        <v>50204</v>
      </c>
      <c r="B208" s="7" t="s">
        <v>272</v>
      </c>
      <c r="C208" s="44">
        <v>130.23589651455262</v>
      </c>
      <c r="D208" s="8">
        <v>30.046975969033923</v>
      </c>
    </row>
    <row r="209" spans="1:4" ht="15.75" customHeight="1">
      <c r="A209" s="6">
        <v>50301</v>
      </c>
      <c r="B209" s="7" t="s">
        <v>274</v>
      </c>
      <c r="C209" s="44">
        <v>123.36854346901147</v>
      </c>
      <c r="D209" s="8">
        <v>22.676567926455569</v>
      </c>
    </row>
    <row r="210" spans="1:4" ht="15.75" customHeight="1">
      <c r="A210" s="6">
        <v>50302</v>
      </c>
      <c r="B210" s="7" t="s">
        <v>275</v>
      </c>
      <c r="C210" s="44">
        <v>116.29299465240641</v>
      </c>
      <c r="D210" s="8">
        <v>17.60203114321617</v>
      </c>
    </row>
    <row r="211" spans="1:4" ht="15.75" customHeight="1">
      <c r="A211" s="6">
        <v>50303</v>
      </c>
      <c r="B211" s="7" t="s">
        <v>276</v>
      </c>
      <c r="C211" s="44">
        <v>113.31901154401153</v>
      </c>
      <c r="D211" s="8">
        <v>8.1920167262512766</v>
      </c>
    </row>
    <row r="212" spans="1:4" ht="15.75" customHeight="1">
      <c r="A212" s="6">
        <v>50401</v>
      </c>
      <c r="B212" s="7" t="s">
        <v>277</v>
      </c>
      <c r="C212" s="44">
        <v>313.80649350649344</v>
      </c>
      <c r="D212" s="8">
        <v>52.730222605755337</v>
      </c>
    </row>
    <row r="213" spans="1:4" ht="15.75" customHeight="1">
      <c r="A213" s="6">
        <v>50402</v>
      </c>
      <c r="B213" s="7" t="s">
        <v>278</v>
      </c>
      <c r="C213" s="44">
        <v>74.546791443850253</v>
      </c>
      <c r="D213" s="8">
        <v>17.592295506521914</v>
      </c>
    </row>
    <row r="214" spans="1:4" ht="15.75" customHeight="1">
      <c r="A214" s="6">
        <v>50403</v>
      </c>
      <c r="B214" s="7" t="s">
        <v>279</v>
      </c>
      <c r="C214" s="44">
        <v>157.74832707687284</v>
      </c>
      <c r="D214" s="8">
        <v>36.582427117464732</v>
      </c>
    </row>
    <row r="215" spans="1:4" ht="15.75" customHeight="1">
      <c r="A215" s="6">
        <v>50404</v>
      </c>
      <c r="B215" s="7" t="s">
        <v>280</v>
      </c>
      <c r="C215" s="44">
        <v>245.31065989847716</v>
      </c>
      <c r="D215" s="8">
        <v>18.48878334186686</v>
      </c>
    </row>
    <row r="216" spans="1:4" ht="15.75" customHeight="1">
      <c r="A216" s="6">
        <v>50405</v>
      </c>
      <c r="B216" s="46" t="s">
        <v>281</v>
      </c>
      <c r="C216" s="44">
        <v>206.7971662228984</v>
      </c>
      <c r="D216" s="8">
        <v>42.37476925064918</v>
      </c>
    </row>
    <row r="217" spans="1:4" ht="15.75" customHeight="1">
      <c r="A217" s="6">
        <v>50501</v>
      </c>
      <c r="B217" s="7" t="s">
        <v>283</v>
      </c>
      <c r="C217" s="44">
        <v>193.11168831168831</v>
      </c>
      <c r="D217" s="8">
        <v>35.251026083506027</v>
      </c>
    </row>
    <row r="218" spans="1:4" ht="15.75" customHeight="1">
      <c r="A218" s="6">
        <v>50502</v>
      </c>
      <c r="B218" s="7" t="s">
        <v>284</v>
      </c>
      <c r="C218" s="44">
        <v>168.97272727272727</v>
      </c>
      <c r="D218" s="8">
        <v>19.29053084552206</v>
      </c>
    </row>
    <row r="219" spans="1:4" ht="15.75" customHeight="1">
      <c r="A219" s="6">
        <v>50601</v>
      </c>
      <c r="B219" s="7" t="s">
        <v>286</v>
      </c>
      <c r="C219" s="44">
        <v>21.820981336544246</v>
      </c>
      <c r="D219" s="8">
        <v>7.0795206276245608</v>
      </c>
    </row>
    <row r="220" spans="1:4" ht="15.75" customHeight="1">
      <c r="A220" s="6">
        <v>50602</v>
      </c>
      <c r="B220" s="7" t="s">
        <v>287</v>
      </c>
      <c r="C220" s="44">
        <v>45.763446969696972</v>
      </c>
      <c r="D220" s="8">
        <v>12.743137129724209</v>
      </c>
    </row>
    <row r="221" spans="1:4" ht="15.75" customHeight="1">
      <c r="A221" s="6">
        <v>50701</v>
      </c>
      <c r="B221" s="7" t="s">
        <v>289</v>
      </c>
      <c r="C221" s="44">
        <v>66.42124484586688</v>
      </c>
      <c r="D221" s="8">
        <v>41.880147972282806</v>
      </c>
    </row>
    <row r="222" spans="1:4" ht="15.75" customHeight="1">
      <c r="A222" s="6">
        <v>50702</v>
      </c>
      <c r="B222" s="7" t="s">
        <v>290</v>
      </c>
      <c r="C222" s="44">
        <v>83.285135717363204</v>
      </c>
      <c r="D222" s="8">
        <v>43.346734173550068</v>
      </c>
    </row>
    <row r="223" spans="1:4" ht="15.75" customHeight="1">
      <c r="A223" s="6">
        <v>50801</v>
      </c>
      <c r="B223" s="7" t="s">
        <v>292</v>
      </c>
      <c r="C223" s="44">
        <v>23.798975672215107</v>
      </c>
      <c r="D223" s="8">
        <v>9.4864621653509964</v>
      </c>
    </row>
    <row r="224" spans="1:4" ht="15.75" customHeight="1">
      <c r="A224" s="6">
        <v>50802</v>
      </c>
      <c r="B224" s="7" t="s">
        <v>293</v>
      </c>
      <c r="C224" s="44">
        <v>8.3841429562803604</v>
      </c>
      <c r="D224" s="8">
        <v>17.807003849396274</v>
      </c>
    </row>
    <row r="225" spans="1:4" ht="15.75" customHeight="1">
      <c r="A225" s="6">
        <v>50901</v>
      </c>
      <c r="B225" s="7" t="s">
        <v>295</v>
      </c>
      <c r="C225" s="44">
        <v>7.6272411616161611</v>
      </c>
      <c r="D225" s="8">
        <v>19.418113721484506</v>
      </c>
    </row>
    <row r="226" spans="1:4" ht="15.75" customHeight="1">
      <c r="A226" s="6">
        <v>50902</v>
      </c>
      <c r="B226" s="7" t="s">
        <v>296</v>
      </c>
      <c r="C226" s="44">
        <v>0</v>
      </c>
      <c r="D226" s="8">
        <v>28.449794522174976</v>
      </c>
    </row>
    <row r="227" spans="1:4" ht="15.75" customHeight="1">
      <c r="A227" s="6">
        <v>51001</v>
      </c>
      <c r="B227" s="7" t="s">
        <v>298</v>
      </c>
      <c r="C227" s="44">
        <v>23.368568665377172</v>
      </c>
      <c r="D227" s="8">
        <v>30.131555774717338</v>
      </c>
    </row>
    <row r="228" spans="1:4" ht="15.75" customHeight="1">
      <c r="A228" s="6">
        <v>51002</v>
      </c>
      <c r="B228" s="7" t="s">
        <v>299</v>
      </c>
      <c r="C228" s="44">
        <v>0</v>
      </c>
      <c r="D228" s="8">
        <v>20.054773187762684</v>
      </c>
    </row>
    <row r="229" spans="1:4" ht="15.75" customHeight="1">
      <c r="A229" s="6">
        <v>51003</v>
      </c>
      <c r="B229" s="7" t="s">
        <v>300</v>
      </c>
      <c r="C229" s="44">
        <v>0</v>
      </c>
      <c r="D229" s="8">
        <v>35.20406228643234</v>
      </c>
    </row>
    <row r="230" spans="1:4" ht="15.75" customHeight="1">
      <c r="A230" s="6">
        <v>51101</v>
      </c>
      <c r="B230" s="7" t="s">
        <v>302</v>
      </c>
      <c r="C230" s="44">
        <v>24.626070118222582</v>
      </c>
      <c r="D230" s="8">
        <v>15.556939663570827</v>
      </c>
    </row>
    <row r="231" spans="1:4" ht="15.75" customHeight="1">
      <c r="A231" s="6">
        <v>51102</v>
      </c>
      <c r="B231" s="7" t="s">
        <v>303</v>
      </c>
      <c r="C231" s="44">
        <v>30.091033623910334</v>
      </c>
      <c r="D231" s="8">
        <v>17.929464642498093</v>
      </c>
    </row>
    <row r="232" spans="1:4" ht="15.75" customHeight="1">
      <c r="A232" s="6">
        <v>51103</v>
      </c>
      <c r="B232" s="7" t="s">
        <v>304</v>
      </c>
      <c r="C232" s="44">
        <v>51.084778012684986</v>
      </c>
      <c r="D232" s="8">
        <v>17.024628531162364</v>
      </c>
    </row>
    <row r="233" spans="1:4" ht="15.75" customHeight="1">
      <c r="A233" s="6">
        <v>51201</v>
      </c>
      <c r="B233" s="7" t="s">
        <v>306</v>
      </c>
      <c r="C233" s="44">
        <v>25.431495855808443</v>
      </c>
      <c r="D233" s="8">
        <v>20.514105416194059</v>
      </c>
    </row>
    <row r="234" spans="1:4" ht="15.75" customHeight="1">
      <c r="A234" s="6">
        <v>51202</v>
      </c>
      <c r="B234" s="7" t="s">
        <v>307</v>
      </c>
      <c r="C234" s="44">
        <v>25.394745139253804</v>
      </c>
      <c r="D234" s="8">
        <v>21.229347756243364</v>
      </c>
    </row>
    <row r="235" spans="1:4" ht="15.75" customHeight="1">
      <c r="A235" s="6">
        <v>51203</v>
      </c>
      <c r="B235" s="7" t="s">
        <v>308</v>
      </c>
      <c r="C235" s="44">
        <v>13.815380217267009</v>
      </c>
      <c r="D235" s="8">
        <v>12.929622063329926</v>
      </c>
    </row>
    <row r="236" spans="1:4" ht="15.75" customHeight="1">
      <c r="A236" s="6">
        <v>51204</v>
      </c>
      <c r="B236" s="46" t="s">
        <v>309</v>
      </c>
      <c r="C236" s="44">
        <v>50.691818181818178</v>
      </c>
      <c r="D236" s="8">
        <v>33.700858524890471</v>
      </c>
    </row>
    <row r="237" spans="1:4" ht="15.75" customHeight="1">
      <c r="A237" s="6">
        <v>51301</v>
      </c>
      <c r="B237" s="7" t="s">
        <v>311</v>
      </c>
      <c r="C237" s="44">
        <v>59.908512396694206</v>
      </c>
      <c r="D237" s="8">
        <v>26.827657115208865</v>
      </c>
    </row>
    <row r="238" spans="1:4" ht="15.75" customHeight="1">
      <c r="A238" s="6">
        <v>51302</v>
      </c>
      <c r="B238" s="7" t="s">
        <v>312</v>
      </c>
      <c r="C238" s="44">
        <v>51.084778012684978</v>
      </c>
      <c r="D238" s="8">
        <v>36.931054021238459</v>
      </c>
    </row>
    <row r="239" spans="1:4" ht="15.75" customHeight="1">
      <c r="A239" s="6">
        <v>51401</v>
      </c>
      <c r="B239" s="7" t="s">
        <v>314</v>
      </c>
      <c r="C239" s="44">
        <v>26.788359201773833</v>
      </c>
      <c r="D239" s="8">
        <v>34.339401107467339</v>
      </c>
    </row>
    <row r="240" spans="1:4" ht="15.75" customHeight="1">
      <c r="A240" s="6">
        <v>51402</v>
      </c>
      <c r="B240" s="7" t="s">
        <v>315</v>
      </c>
      <c r="C240" s="44">
        <v>0</v>
      </c>
      <c r="D240" s="8">
        <v>0</v>
      </c>
    </row>
    <row r="241" spans="1:4" ht="15.75" customHeight="1">
      <c r="A241" s="6">
        <v>51501</v>
      </c>
      <c r="B241" s="7" t="s">
        <v>317</v>
      </c>
      <c r="C241" s="44">
        <v>6.7175701973867108</v>
      </c>
      <c r="D241" s="8">
        <v>15.11811058275898</v>
      </c>
    </row>
    <row r="242" spans="1:4" ht="15.75" customHeight="1">
      <c r="A242" s="6">
        <v>51601</v>
      </c>
      <c r="B242" s="7" t="s">
        <v>319</v>
      </c>
      <c r="C242" s="44">
        <v>0</v>
      </c>
      <c r="D242" s="8">
        <v>19.114705694586313</v>
      </c>
    </row>
    <row r="243" spans="1:4" ht="15.75" customHeight="1">
      <c r="A243" s="6">
        <v>60101</v>
      </c>
      <c r="B243" s="7" t="s">
        <v>25</v>
      </c>
      <c r="C243" s="44">
        <v>22.240937660392596</v>
      </c>
      <c r="D243" s="8">
        <v>17.884052036341032</v>
      </c>
    </row>
    <row r="244" spans="1:4" ht="15.75" customHeight="1">
      <c r="A244" s="6">
        <v>60201</v>
      </c>
      <c r="B244" s="7" t="s">
        <v>321</v>
      </c>
      <c r="C244" s="44">
        <v>35.921463215099621</v>
      </c>
      <c r="D244" s="8">
        <v>19.696943569007555</v>
      </c>
    </row>
    <row r="245" spans="1:4" ht="15.75" customHeight="1">
      <c r="A245" s="6">
        <v>60202</v>
      </c>
      <c r="B245" s="7" t="s">
        <v>322</v>
      </c>
      <c r="C245" s="44">
        <v>50.413383997156991</v>
      </c>
      <c r="D245" s="8">
        <v>14.609730602307611</v>
      </c>
    </row>
    <row r="246" spans="1:4" ht="15.75" customHeight="1">
      <c r="A246" s="6">
        <v>60301</v>
      </c>
      <c r="B246" s="7" t="s">
        <v>324</v>
      </c>
      <c r="C246" s="44">
        <v>45.041171238408765</v>
      </c>
      <c r="D246" s="8">
        <v>32.302903061811769</v>
      </c>
    </row>
    <row r="247" spans="1:4" ht="15.75" customHeight="1">
      <c r="A247" s="6">
        <v>60302</v>
      </c>
      <c r="B247" s="7" t="s">
        <v>325</v>
      </c>
      <c r="C247" s="44">
        <v>13.835475231257456</v>
      </c>
      <c r="D247" s="8">
        <v>21.482017287862366</v>
      </c>
    </row>
    <row r="248" spans="1:4" ht="15.75" customHeight="1">
      <c r="A248" s="6">
        <v>60303</v>
      </c>
      <c r="B248" s="7" t="s">
        <v>326</v>
      </c>
      <c r="C248" s="44">
        <v>53.150762313744693</v>
      </c>
      <c r="D248" s="8">
        <v>18.486057012857191</v>
      </c>
    </row>
    <row r="249" spans="1:4" ht="15.75" customHeight="1">
      <c r="A249" s="6">
        <v>60401</v>
      </c>
      <c r="B249" s="7" t="s">
        <v>328</v>
      </c>
      <c r="C249" s="44">
        <v>13.642646308173729</v>
      </c>
      <c r="D249" s="8">
        <v>17.095203443364092</v>
      </c>
    </row>
    <row r="250" spans="1:4" ht="15.75" customHeight="1">
      <c r="A250" s="6">
        <v>60402</v>
      </c>
      <c r="B250" s="7" t="s">
        <v>329</v>
      </c>
      <c r="C250" s="44">
        <v>66.930589580271118</v>
      </c>
      <c r="D250" s="8">
        <v>21.195853529778759</v>
      </c>
    </row>
    <row r="251" spans="1:4" ht="15.75" customHeight="1">
      <c r="A251" s="6">
        <v>60501</v>
      </c>
      <c r="B251" s="7" t="s">
        <v>331</v>
      </c>
      <c r="C251" s="44">
        <v>37.830333241022807</v>
      </c>
      <c r="D251" s="8">
        <v>15.145113033339905</v>
      </c>
    </row>
    <row r="252" spans="1:4" ht="15.75" customHeight="1">
      <c r="A252" s="6">
        <v>60502</v>
      </c>
      <c r="B252" s="7" t="s">
        <v>332</v>
      </c>
      <c r="C252" s="44">
        <v>34.959281164695177</v>
      </c>
      <c r="D252" s="8">
        <v>29.375715007848459</v>
      </c>
    </row>
    <row r="253" spans="1:4" ht="15.75" customHeight="1">
      <c r="A253" s="6">
        <v>60601</v>
      </c>
      <c r="B253" s="7" t="s">
        <v>205</v>
      </c>
      <c r="C253" s="44">
        <v>13.819198201573622</v>
      </c>
      <c r="D253" s="8">
        <v>22.888577943615257</v>
      </c>
    </row>
    <row r="254" spans="1:4" ht="15.75" customHeight="1">
      <c r="A254" s="6">
        <v>70101</v>
      </c>
      <c r="B254" s="7" t="s">
        <v>335</v>
      </c>
      <c r="C254" s="44">
        <v>19.669631188129305</v>
      </c>
      <c r="D254" s="8">
        <v>4.6016260349392093</v>
      </c>
    </row>
    <row r="255" spans="1:4" ht="15.75" customHeight="1">
      <c r="A255" s="6">
        <v>70102</v>
      </c>
      <c r="B255" s="7" t="s">
        <v>336</v>
      </c>
      <c r="C255" s="44">
        <v>37.026682927157935</v>
      </c>
      <c r="D255" s="8">
        <v>5.5011238546021</v>
      </c>
    </row>
    <row r="256" spans="1:4" ht="15.75" customHeight="1">
      <c r="A256" s="6">
        <v>70103</v>
      </c>
      <c r="B256" s="7" t="s">
        <v>337</v>
      </c>
      <c r="C256" s="44">
        <v>8.4742616580310877</v>
      </c>
      <c r="D256" s="8">
        <v>5.0017144510897635</v>
      </c>
    </row>
    <row r="257" spans="1:4" ht="15.75" customHeight="1">
      <c r="A257" s="6">
        <v>70104</v>
      </c>
      <c r="B257" s="7" t="s">
        <v>338</v>
      </c>
      <c r="C257" s="44">
        <v>11.588733891324566</v>
      </c>
      <c r="D257" s="8">
        <v>4.4776749901990414</v>
      </c>
    </row>
    <row r="258" spans="1:4" ht="15.75" customHeight="1">
      <c r="A258" s="6">
        <v>70105</v>
      </c>
      <c r="B258" s="7" t="s">
        <v>339</v>
      </c>
      <c r="C258" s="44">
        <v>18.224218619421695</v>
      </c>
      <c r="D258" s="8">
        <v>5.9060435915339049</v>
      </c>
    </row>
    <row r="259" spans="1:4" ht="15.75" customHeight="1">
      <c r="A259" s="6">
        <v>70201</v>
      </c>
      <c r="B259" s="7" t="s">
        <v>340</v>
      </c>
      <c r="C259" s="44">
        <v>12.772059770958684</v>
      </c>
      <c r="D259" s="8">
        <v>6.1854480536756533</v>
      </c>
    </row>
    <row r="260" spans="1:4" ht="15.75" customHeight="1">
      <c r="A260" s="6">
        <v>70202</v>
      </c>
      <c r="B260" s="7" t="s">
        <v>341</v>
      </c>
      <c r="C260" s="44">
        <v>22.448375253062487</v>
      </c>
      <c r="D260" s="8">
        <v>7.3581681914267909</v>
      </c>
    </row>
    <row r="261" spans="1:4" ht="15.75" customHeight="1">
      <c r="A261" s="6">
        <v>70301</v>
      </c>
      <c r="B261" s="7" t="s">
        <v>343</v>
      </c>
      <c r="C261" s="44">
        <v>25.221663946930246</v>
      </c>
      <c r="D261" s="8">
        <v>8.9319833557201758</v>
      </c>
    </row>
    <row r="262" spans="1:4" ht="15.75" customHeight="1">
      <c r="A262" s="6">
        <v>70302</v>
      </c>
      <c r="B262" s="7" t="s">
        <v>344</v>
      </c>
      <c r="C262" s="44">
        <v>52.702121972207472</v>
      </c>
      <c r="D262" s="8">
        <v>16.416659809530408</v>
      </c>
    </row>
    <row r="263" spans="1:4" ht="15.75" customHeight="1">
      <c r="A263" s="6">
        <v>70303</v>
      </c>
      <c r="B263" s="7" t="s">
        <v>345</v>
      </c>
      <c r="C263" s="44">
        <v>47.079231433506045</v>
      </c>
      <c r="D263" s="8">
        <v>10.564227189119894</v>
      </c>
    </row>
    <row r="264" spans="1:4" ht="15.75" customHeight="1">
      <c r="A264" s="6">
        <v>70401</v>
      </c>
      <c r="B264" s="7" t="s">
        <v>347</v>
      </c>
      <c r="C264" s="44">
        <v>17.16306158588575</v>
      </c>
      <c r="D264" s="8">
        <v>1.6589079097832808</v>
      </c>
    </row>
    <row r="265" spans="1:4" ht="15.75" customHeight="1">
      <c r="A265" s="6">
        <v>70402</v>
      </c>
      <c r="B265" s="7" t="s">
        <v>348</v>
      </c>
      <c r="C265" s="44">
        <v>18.646705416492768</v>
      </c>
      <c r="D265" s="8">
        <v>6.5101680157041351</v>
      </c>
    </row>
    <row r="266" spans="1:4" ht="15.75" customHeight="1">
      <c r="A266" s="6">
        <v>70403</v>
      </c>
      <c r="B266" s="7" t="s">
        <v>349</v>
      </c>
      <c r="C266" s="44">
        <v>31.246660269941795</v>
      </c>
      <c r="D266" s="8">
        <v>6.23091147883747</v>
      </c>
    </row>
    <row r="267" spans="1:4" ht="15.75" customHeight="1">
      <c r="A267" s="6">
        <v>70404</v>
      </c>
      <c r="B267" s="7" t="s">
        <v>350</v>
      </c>
      <c r="C267" s="44">
        <v>29.096177366630346</v>
      </c>
      <c r="D267" s="8">
        <v>3.4078152222967391</v>
      </c>
    </row>
    <row r="268" spans="1:4" ht="15.75" customHeight="1">
      <c r="A268" s="6">
        <v>70501</v>
      </c>
      <c r="B268" s="7" t="s">
        <v>352</v>
      </c>
      <c r="C268" s="44">
        <v>16.248917160538969</v>
      </c>
      <c r="D268" s="8">
        <v>9.8941250813383412</v>
      </c>
    </row>
    <row r="269" spans="1:4" ht="15.75" customHeight="1">
      <c r="A269" s="6">
        <v>70502</v>
      </c>
      <c r="B269" s="7" t="s">
        <v>353</v>
      </c>
      <c r="C269" s="44">
        <v>27.563910136480597</v>
      </c>
      <c r="D269" s="8">
        <v>11.771152500719653</v>
      </c>
    </row>
    <row r="270" spans="1:4" ht="15.75" customHeight="1">
      <c r="A270" s="6">
        <v>70503</v>
      </c>
      <c r="B270" s="7" t="s">
        <v>354</v>
      </c>
      <c r="C270" s="44">
        <v>16.535144698597247</v>
      </c>
      <c r="D270" s="8">
        <v>4.9502236029954769</v>
      </c>
    </row>
    <row r="271" spans="1:4" ht="15.75" customHeight="1">
      <c r="A271" s="6">
        <v>70601</v>
      </c>
      <c r="B271" s="7" t="s">
        <v>356</v>
      </c>
      <c r="C271" s="44">
        <v>6.2054089944392405</v>
      </c>
      <c r="D271" s="8">
        <v>3.779073140823376</v>
      </c>
    </row>
    <row r="272" spans="1:4" ht="15.75" customHeight="1">
      <c r="A272" s="6">
        <v>70602</v>
      </c>
      <c r="B272" s="7" t="s">
        <v>357</v>
      </c>
      <c r="C272" s="44">
        <v>19.058580435732569</v>
      </c>
      <c r="D272" s="8">
        <v>8.1680696839369809</v>
      </c>
    </row>
    <row r="273" spans="1:4" ht="15.75" customHeight="1">
      <c r="A273" s="6">
        <v>70603</v>
      </c>
      <c r="B273" s="7" t="s">
        <v>358</v>
      </c>
      <c r="C273" s="44">
        <v>18.078424870466318</v>
      </c>
      <c r="D273" s="8">
        <v>5.4175524046768677</v>
      </c>
    </row>
    <row r="274" spans="1:4" ht="15.75" customHeight="1">
      <c r="A274" s="6">
        <v>70701</v>
      </c>
      <c r="B274" s="7" t="s">
        <v>360</v>
      </c>
      <c r="C274" s="44">
        <v>21.021424267984091</v>
      </c>
      <c r="D274" s="8">
        <v>8.9873549172713716</v>
      </c>
    </row>
    <row r="275" spans="1:4" ht="15.75" customHeight="1">
      <c r="A275" s="6">
        <v>70702</v>
      </c>
      <c r="B275" s="7" t="s">
        <v>361</v>
      </c>
      <c r="C275" s="44">
        <v>39.521220288575478</v>
      </c>
      <c r="D275" s="8">
        <v>17.532333666054701</v>
      </c>
    </row>
    <row r="276" spans="1:4" ht="15.75" customHeight="1">
      <c r="A276" s="6">
        <v>70703</v>
      </c>
      <c r="B276" s="7" t="s">
        <v>362</v>
      </c>
      <c r="C276" s="44">
        <v>18.186194914403526</v>
      </c>
      <c r="D276" s="8">
        <v>6.9086420207188599</v>
      </c>
    </row>
    <row r="277" spans="1:4" ht="15.75" customHeight="1">
      <c r="A277" s="6">
        <v>70704</v>
      </c>
      <c r="B277" s="7" t="s">
        <v>363</v>
      </c>
      <c r="C277" s="44">
        <v>0</v>
      </c>
      <c r="D277" s="8">
        <v>5.5935739629515666</v>
      </c>
    </row>
    <row r="278" spans="1:4" ht="15.75" customHeight="1">
      <c r="A278" s="6">
        <v>70705</v>
      </c>
      <c r="B278" s="7" t="s">
        <v>364</v>
      </c>
      <c r="C278" s="44">
        <v>64.183756936566823</v>
      </c>
      <c r="D278" s="8">
        <v>16.112936644525625</v>
      </c>
    </row>
    <row r="279" spans="1:4" ht="15.75" customHeight="1">
      <c r="A279" s="6">
        <v>70706</v>
      </c>
      <c r="B279" s="7" t="s">
        <v>365</v>
      </c>
      <c r="C279" s="44">
        <v>14.208342899692845</v>
      </c>
      <c r="D279" s="8">
        <v>5.6167477546157896</v>
      </c>
    </row>
    <row r="280" spans="1:4" ht="15.75" customHeight="1">
      <c r="A280" s="6">
        <v>70707</v>
      </c>
      <c r="B280" s="7" t="s">
        <v>366</v>
      </c>
      <c r="C280" s="44">
        <v>0</v>
      </c>
      <c r="D280" s="8">
        <v>3.9126767367110711</v>
      </c>
    </row>
    <row r="281" spans="1:4" ht="15.75" customHeight="1">
      <c r="A281" s="6">
        <v>70801</v>
      </c>
      <c r="B281" s="7" t="s">
        <v>367</v>
      </c>
      <c r="C281" s="44">
        <v>12.554461715601612</v>
      </c>
      <c r="D281" s="8">
        <v>4.8019214495999512</v>
      </c>
    </row>
    <row r="282" spans="1:4" ht="15.75" customHeight="1">
      <c r="A282" s="6">
        <v>70802</v>
      </c>
      <c r="B282" s="7" t="s">
        <v>368</v>
      </c>
      <c r="C282" s="44">
        <v>0</v>
      </c>
      <c r="D282" s="8">
        <v>13.834107033371287</v>
      </c>
    </row>
    <row r="283" spans="1:4" ht="15.75" customHeight="1">
      <c r="A283" s="6">
        <v>70803</v>
      </c>
      <c r="B283" s="7" t="s">
        <v>369</v>
      </c>
      <c r="C283" s="44">
        <v>0</v>
      </c>
      <c r="D283" s="8">
        <v>0</v>
      </c>
    </row>
    <row r="284" spans="1:4" ht="15.75" customHeight="1">
      <c r="A284" s="6">
        <v>70804</v>
      </c>
      <c r="B284" s="7" t="s">
        <v>370</v>
      </c>
      <c r="C284" s="44">
        <v>0</v>
      </c>
      <c r="D284" s="8">
        <v>0</v>
      </c>
    </row>
    <row r="285" spans="1:4" ht="15.75" customHeight="1">
      <c r="A285" s="6">
        <v>70805</v>
      </c>
      <c r="B285" s="7" t="s">
        <v>371</v>
      </c>
      <c r="C285" s="44">
        <v>0</v>
      </c>
      <c r="D285" s="8">
        <v>6.6785344299033804</v>
      </c>
    </row>
    <row r="286" spans="1:4" ht="15.75" customHeight="1">
      <c r="A286" s="6">
        <v>70901</v>
      </c>
      <c r="B286" s="7" t="s">
        <v>373</v>
      </c>
      <c r="C286" s="44">
        <v>0</v>
      </c>
      <c r="D286" s="8">
        <v>7.6379858550444304</v>
      </c>
    </row>
    <row r="287" spans="1:4" ht="15.75" customHeight="1">
      <c r="A287" s="6">
        <v>70902</v>
      </c>
      <c r="B287" s="7" t="s">
        <v>374</v>
      </c>
      <c r="C287" s="44">
        <v>18.573724181985948</v>
      </c>
      <c r="D287" s="8">
        <v>5.192426232364558</v>
      </c>
    </row>
    <row r="288" spans="1:4" ht="15.75" customHeight="1">
      <c r="A288" s="6">
        <v>70903</v>
      </c>
      <c r="B288" s="7" t="s">
        <v>375</v>
      </c>
      <c r="C288" s="44">
        <v>26.585918927156357</v>
      </c>
      <c r="D288" s="8">
        <v>5.0035091100244919</v>
      </c>
    </row>
    <row r="289" spans="1:4" ht="15.75" customHeight="1">
      <c r="A289" s="6">
        <v>70904</v>
      </c>
      <c r="B289" s="7" t="s">
        <v>376</v>
      </c>
      <c r="C289" s="44">
        <v>28.848550325212209</v>
      </c>
      <c r="D289" s="8">
        <v>0</v>
      </c>
    </row>
    <row r="290" spans="1:4" ht="15.75" customHeight="1">
      <c r="A290" s="6">
        <v>71001</v>
      </c>
      <c r="B290" s="7" t="s">
        <v>378</v>
      </c>
      <c r="C290" s="44">
        <v>20.005634308889327</v>
      </c>
      <c r="D290" s="8">
        <v>4.678200446067585</v>
      </c>
    </row>
    <row r="291" spans="1:4" ht="15.75" customHeight="1">
      <c r="A291" s="6">
        <v>71002</v>
      </c>
      <c r="B291" s="7" t="s">
        <v>379</v>
      </c>
      <c r="C291" s="44">
        <v>11.144234509191568</v>
      </c>
      <c r="D291" s="8">
        <v>8.4535774857077861</v>
      </c>
    </row>
    <row r="292" spans="1:4" ht="15.75" customHeight="1">
      <c r="A292" s="6">
        <v>71003</v>
      </c>
      <c r="B292" s="7" t="s">
        <v>380</v>
      </c>
      <c r="C292" s="44">
        <v>25.542515515572511</v>
      </c>
      <c r="D292" s="8">
        <v>8.513296635920792</v>
      </c>
    </row>
    <row r="293" spans="1:4" ht="15.75" customHeight="1">
      <c r="A293" s="6">
        <v>71004</v>
      </c>
      <c r="B293" s="7" t="s">
        <v>381</v>
      </c>
      <c r="C293" s="44">
        <v>39.7619315332837</v>
      </c>
      <c r="D293" s="8">
        <v>8.5992027573730709</v>
      </c>
    </row>
    <row r="294" spans="1:4" ht="15.75" customHeight="1">
      <c r="A294" s="6">
        <v>71005</v>
      </c>
      <c r="B294" s="7" t="s">
        <v>382</v>
      </c>
      <c r="C294" s="44">
        <v>22.598031088082905</v>
      </c>
      <c r="D294" s="8">
        <v>6.3306230346785872</v>
      </c>
    </row>
    <row r="295" spans="1:4" ht="15.75" customHeight="1">
      <c r="A295" s="6">
        <v>71101</v>
      </c>
      <c r="B295" s="7" t="s">
        <v>384</v>
      </c>
      <c r="C295" s="44">
        <v>25.391046166385284</v>
      </c>
      <c r="D295" s="8">
        <v>10.551147254506866</v>
      </c>
    </row>
    <row r="296" spans="1:4" ht="15.75" customHeight="1">
      <c r="A296" s="6">
        <v>71102</v>
      </c>
      <c r="B296" s="7" t="s">
        <v>385</v>
      </c>
      <c r="C296" s="44">
        <v>57.615376711826094</v>
      </c>
      <c r="D296" s="8">
        <v>11.685953767319846</v>
      </c>
    </row>
    <row r="297" spans="1:4" ht="15.75" customHeight="1">
      <c r="A297" s="6">
        <v>71103</v>
      </c>
      <c r="B297" s="7" t="s">
        <v>386</v>
      </c>
      <c r="C297" s="44">
        <v>19.065336401856541</v>
      </c>
      <c r="D297" s="8">
        <v>44.031136364278503</v>
      </c>
    </row>
    <row r="298" spans="1:4" ht="15.75" customHeight="1">
      <c r="A298" s="6">
        <v>71104</v>
      </c>
      <c r="B298" s="7" t="s">
        <v>387</v>
      </c>
      <c r="C298" s="44">
        <v>69.980999498579308</v>
      </c>
      <c r="D298" s="8">
        <v>1.5664269084579854</v>
      </c>
    </row>
    <row r="299" spans="1:4" ht="15.75" customHeight="1">
      <c r="A299" s="6">
        <v>71105</v>
      </c>
      <c r="B299" s="7" t="s">
        <v>388</v>
      </c>
      <c r="C299" s="44">
        <v>25.108923431203223</v>
      </c>
      <c r="D299" s="8">
        <v>7.640138006595584</v>
      </c>
    </row>
    <row r="300" spans="1:4" ht="15.75" customHeight="1">
      <c r="A300" s="6">
        <v>71106</v>
      </c>
      <c r="B300" s="7" t="s">
        <v>389</v>
      </c>
      <c r="C300" s="44">
        <v>28.004444721892749</v>
      </c>
      <c r="D300" s="8">
        <v>9.1366289203199056</v>
      </c>
    </row>
    <row r="301" spans="1:4" ht="15.75" customHeight="1">
      <c r="A301" s="6">
        <v>71201</v>
      </c>
      <c r="B301" s="7" t="s">
        <v>391</v>
      </c>
      <c r="C301" s="44">
        <v>26.66059847470455</v>
      </c>
      <c r="D301" s="8">
        <v>4.2971235793039186</v>
      </c>
    </row>
    <row r="302" spans="1:4" ht="15.75" customHeight="1">
      <c r="A302" s="6">
        <v>71301</v>
      </c>
      <c r="B302" s="7" t="s">
        <v>393</v>
      </c>
      <c r="C302" s="44">
        <v>9.0795660621761662</v>
      </c>
      <c r="D302" s="8">
        <v>10.724812618704778</v>
      </c>
    </row>
    <row r="303" spans="1:4" ht="15.75" customHeight="1">
      <c r="A303" s="6">
        <v>71302</v>
      </c>
      <c r="B303" s="7" t="s">
        <v>394</v>
      </c>
      <c r="C303" s="44">
        <v>7.747896373056995</v>
      </c>
      <c r="D303" s="8">
        <v>3.6117016031179117</v>
      </c>
    </row>
    <row r="304" spans="1:4" ht="15.75" customHeight="1">
      <c r="A304" s="6">
        <v>71401</v>
      </c>
      <c r="B304" s="7" t="s">
        <v>396</v>
      </c>
      <c r="C304" s="44">
        <v>24.78113069711441</v>
      </c>
      <c r="D304" s="8">
        <v>7.7753740260553954</v>
      </c>
    </row>
    <row r="305" spans="1:4" ht="15.75" customHeight="1">
      <c r="A305" s="6">
        <v>71402</v>
      </c>
      <c r="B305" s="7" t="s">
        <v>397</v>
      </c>
      <c r="C305" s="44">
        <v>31.978345879362603</v>
      </c>
      <c r="D305" s="8">
        <v>5.7385925471762382</v>
      </c>
    </row>
    <row r="306" spans="1:4" ht="15.75" customHeight="1">
      <c r="A306" s="6">
        <v>71403</v>
      </c>
      <c r="B306" s="7" t="s">
        <v>398</v>
      </c>
      <c r="C306" s="44">
        <v>10.350243246450182</v>
      </c>
      <c r="D306" s="8">
        <v>14.435589947865692</v>
      </c>
    </row>
    <row r="307" spans="1:4" ht="15.75" customHeight="1">
      <c r="A307" s="6">
        <v>71501</v>
      </c>
      <c r="B307" s="7" t="s">
        <v>400</v>
      </c>
      <c r="C307" s="44">
        <v>18.701818831516885</v>
      </c>
      <c r="D307" s="8">
        <v>8.2667224955511358</v>
      </c>
    </row>
    <row r="308" spans="1:4" ht="15.75" customHeight="1">
      <c r="A308" s="6">
        <v>71502</v>
      </c>
      <c r="B308" s="7" t="s">
        <v>401</v>
      </c>
      <c r="C308" s="44">
        <v>22.473180087596255</v>
      </c>
      <c r="D308" s="8">
        <v>15.875204792393278</v>
      </c>
    </row>
    <row r="309" spans="1:4" ht="15.75" customHeight="1">
      <c r="A309" s="6">
        <v>71503</v>
      </c>
      <c r="B309" s="7" t="s">
        <v>332</v>
      </c>
      <c r="C309" s="44">
        <v>33.728404609078964</v>
      </c>
      <c r="D309" s="8">
        <v>6.6384746689699412</v>
      </c>
    </row>
    <row r="310" spans="1:4" ht="15.75" customHeight="1">
      <c r="A310" s="6">
        <v>80101</v>
      </c>
      <c r="B310" s="7" t="s">
        <v>402</v>
      </c>
      <c r="C310" s="44">
        <v>26.907095522870542</v>
      </c>
      <c r="D310" s="8">
        <v>8.066792694499755</v>
      </c>
    </row>
    <row r="311" spans="1:4" ht="15.75" customHeight="1">
      <c r="A311" s="6">
        <v>80102</v>
      </c>
      <c r="B311" s="7" t="s">
        <v>385</v>
      </c>
      <c r="C311" s="44">
        <v>44.555301296720067</v>
      </c>
      <c r="D311" s="8">
        <v>17.199817251461987</v>
      </c>
    </row>
    <row r="312" spans="1:4" ht="15.75" customHeight="1">
      <c r="A312" s="6">
        <v>80201</v>
      </c>
      <c r="B312" s="7" t="s">
        <v>404</v>
      </c>
      <c r="C312" s="44">
        <v>34.564847552406171</v>
      </c>
      <c r="D312" s="8">
        <v>12.473149915182356</v>
      </c>
    </row>
    <row r="313" spans="1:4" ht="15.75" customHeight="1">
      <c r="A313" s="6">
        <v>80202</v>
      </c>
      <c r="B313" s="7" t="s">
        <v>405</v>
      </c>
      <c r="C313" s="44">
        <v>29.555386895081142</v>
      </c>
      <c r="D313" s="8">
        <v>10.371001025788976</v>
      </c>
    </row>
    <row r="314" spans="1:4" ht="15.75" customHeight="1">
      <c r="A314" s="6">
        <v>80301</v>
      </c>
      <c r="B314" s="7" t="s">
        <v>407</v>
      </c>
      <c r="C314" s="44">
        <v>46.885886287625432</v>
      </c>
      <c r="D314" s="8">
        <v>22.934877963194012</v>
      </c>
    </row>
    <row r="315" spans="1:4" ht="15.75" customHeight="1">
      <c r="A315" s="6">
        <v>80302</v>
      </c>
      <c r="B315" s="7" t="s">
        <v>408</v>
      </c>
      <c r="C315" s="44">
        <v>74.49646376811593</v>
      </c>
      <c r="D315" s="8">
        <v>19.785096570548895</v>
      </c>
    </row>
    <row r="316" spans="1:4" ht="15.75" customHeight="1">
      <c r="A316" s="6">
        <v>80303</v>
      </c>
      <c r="B316" s="7" t="s">
        <v>409</v>
      </c>
      <c r="C316" s="44">
        <v>23.087747035573123</v>
      </c>
      <c r="D316" s="8">
        <v>15.754291874230002</v>
      </c>
    </row>
    <row r="317" spans="1:4" ht="15.75" customHeight="1">
      <c r="A317" s="6">
        <v>80304</v>
      </c>
      <c r="B317" s="7" t="s">
        <v>410</v>
      </c>
      <c r="C317" s="44">
        <v>32.205734089477005</v>
      </c>
      <c r="D317" s="8">
        <v>15.095819076133447</v>
      </c>
    </row>
    <row r="318" spans="1:4" ht="15.75" customHeight="1">
      <c r="A318" s="6">
        <v>80401</v>
      </c>
      <c r="B318" s="7" t="s">
        <v>412</v>
      </c>
      <c r="C318" s="44">
        <v>35.110398717691851</v>
      </c>
      <c r="D318" s="8">
        <v>6.953117612293144</v>
      </c>
    </row>
    <row r="319" spans="1:4" ht="15.75" customHeight="1">
      <c r="A319" s="6">
        <v>80402</v>
      </c>
      <c r="B319" s="7" t="s">
        <v>413</v>
      </c>
      <c r="C319" s="44">
        <v>6.9389403658826323</v>
      </c>
      <c r="D319" s="8">
        <v>5.4923786181139116</v>
      </c>
    </row>
    <row r="320" spans="1:4" ht="15.75" customHeight="1">
      <c r="A320" s="6">
        <v>80501</v>
      </c>
      <c r="B320" s="7" t="s">
        <v>415</v>
      </c>
      <c r="C320" s="44">
        <v>26.733180778032043</v>
      </c>
      <c r="D320" s="8">
        <v>16.532707982012369</v>
      </c>
    </row>
    <row r="321" spans="1:4" ht="15.75" customHeight="1">
      <c r="A321" s="6">
        <v>80601</v>
      </c>
      <c r="B321" s="7" t="s">
        <v>417</v>
      </c>
      <c r="C321" s="44">
        <v>29.761548913043484</v>
      </c>
      <c r="D321" s="8">
        <v>20.59641981792717</v>
      </c>
    </row>
    <row r="322" spans="1:4" ht="15.75" customHeight="1">
      <c r="A322" s="6">
        <v>80602</v>
      </c>
      <c r="B322" s="7" t="s">
        <v>418</v>
      </c>
      <c r="C322" s="44">
        <v>21.40156326331217</v>
      </c>
      <c r="D322" s="8">
        <v>21.392148526077097</v>
      </c>
    </row>
    <row r="323" spans="1:4" ht="15.75" customHeight="1">
      <c r="A323" s="6">
        <v>80701</v>
      </c>
      <c r="B323" s="7" t="s">
        <v>420</v>
      </c>
      <c r="C323" s="44">
        <v>44.29625884732053</v>
      </c>
      <c r="D323" s="8">
        <v>12.477118464312229</v>
      </c>
    </row>
    <row r="324" spans="1:4" ht="15.75" customHeight="1">
      <c r="A324" s="6">
        <v>80702</v>
      </c>
      <c r="B324" s="7" t="s">
        <v>386</v>
      </c>
      <c r="C324" s="44">
        <v>31.225231646471851</v>
      </c>
      <c r="D324" s="8">
        <v>10.913427643784788</v>
      </c>
    </row>
    <row r="325" spans="1:4" ht="15.75" customHeight="1">
      <c r="A325" s="6">
        <v>80703</v>
      </c>
      <c r="B325" s="7" t="s">
        <v>421</v>
      </c>
      <c r="C325" s="44">
        <v>81.924263674614295</v>
      </c>
      <c r="D325" s="8">
        <v>0</v>
      </c>
    </row>
    <row r="326" spans="1:4" ht="15.75" customHeight="1">
      <c r="A326" s="6">
        <v>80801</v>
      </c>
      <c r="B326" s="7" t="s">
        <v>423</v>
      </c>
      <c r="C326" s="44">
        <v>4.2469099898211429</v>
      </c>
      <c r="D326" s="8">
        <v>10.738111537057319</v>
      </c>
    </row>
    <row r="327" spans="1:4" ht="15.75" customHeight="1">
      <c r="A327" s="6">
        <v>80802</v>
      </c>
      <c r="B327" s="7" t="s">
        <v>424</v>
      </c>
      <c r="C327" s="44">
        <v>16.279821627647713</v>
      </c>
      <c r="D327" s="8">
        <v>21.359250181554103</v>
      </c>
    </row>
    <row r="328" spans="1:4" ht="15.75" customHeight="1">
      <c r="A328" s="6">
        <v>80803</v>
      </c>
      <c r="B328" s="7" t="s">
        <v>425</v>
      </c>
      <c r="C328" s="44">
        <v>21.706428836863619</v>
      </c>
      <c r="D328" s="8">
        <v>4.2570107830366188</v>
      </c>
    </row>
    <row r="329" spans="1:4" ht="15.75" customHeight="1">
      <c r="A329" s="6">
        <v>80901</v>
      </c>
      <c r="B329" s="46" t="s">
        <v>426</v>
      </c>
      <c r="C329" s="44">
        <v>30.971367974549313</v>
      </c>
      <c r="D329" s="8">
        <v>38.904348544973544</v>
      </c>
    </row>
    <row r="330" spans="1:4" ht="15.75" customHeight="1">
      <c r="A330" s="6">
        <v>90101</v>
      </c>
      <c r="B330" s="7" t="s">
        <v>428</v>
      </c>
      <c r="C330" s="44">
        <v>50.48553830992855</v>
      </c>
      <c r="D330" s="8">
        <v>11.911916064321469</v>
      </c>
    </row>
    <row r="331" spans="1:4" ht="15.75" customHeight="1">
      <c r="A331" s="6">
        <v>90102</v>
      </c>
      <c r="B331" s="7" t="s">
        <v>429</v>
      </c>
      <c r="C331" s="44">
        <v>0</v>
      </c>
      <c r="D331" s="8">
        <v>2.143549295774648</v>
      </c>
    </row>
    <row r="332" spans="1:4" ht="15.75" customHeight="1">
      <c r="A332" s="6">
        <v>90103</v>
      </c>
      <c r="B332" s="7" t="s">
        <v>430</v>
      </c>
      <c r="C332" s="44">
        <v>0</v>
      </c>
      <c r="D332" s="8">
        <v>0</v>
      </c>
    </row>
    <row r="333" spans="1:4" ht="15.75" customHeight="1">
      <c r="A333" s="6">
        <v>90104</v>
      </c>
      <c r="B333" s="7" t="s">
        <v>431</v>
      </c>
      <c r="C333" s="44">
        <v>0</v>
      </c>
      <c r="D333" s="8">
        <v>5.0939859690462166</v>
      </c>
    </row>
    <row r="334" spans="1:4" ht="15.75" customHeight="1">
      <c r="A334" s="6">
        <v>90201</v>
      </c>
      <c r="B334" s="7" t="s">
        <v>433</v>
      </c>
      <c r="C334" s="44">
        <v>0</v>
      </c>
      <c r="D334" s="8">
        <v>8.8723066878089742</v>
      </c>
    </row>
    <row r="335" spans="1:4" ht="15.75" customHeight="1">
      <c r="A335" s="6">
        <v>90202</v>
      </c>
      <c r="B335" s="7" t="s">
        <v>382</v>
      </c>
      <c r="C335" s="44">
        <v>0</v>
      </c>
      <c r="D335" s="8">
        <v>0</v>
      </c>
    </row>
    <row r="336" spans="1:4" ht="15.75" customHeight="1">
      <c r="A336" s="6">
        <v>90203</v>
      </c>
      <c r="B336" s="7" t="s">
        <v>434</v>
      </c>
      <c r="C336" s="44">
        <v>0</v>
      </c>
      <c r="D336" s="8">
        <v>6.2312479528332787</v>
      </c>
    </row>
    <row r="337" spans="1:4" ht="15.75" customHeight="1">
      <c r="A337" s="6">
        <v>90301</v>
      </c>
      <c r="B337" s="7" t="s">
        <v>436</v>
      </c>
      <c r="C337" s="44">
        <v>44.762079510703366</v>
      </c>
      <c r="D337" s="8">
        <v>11.926275755422745</v>
      </c>
    </row>
    <row r="338" spans="1:4" ht="15.75" customHeight="1">
      <c r="A338" s="6">
        <v>90302</v>
      </c>
      <c r="B338" s="7" t="s">
        <v>437</v>
      </c>
      <c r="C338" s="44">
        <v>0</v>
      </c>
      <c r="D338" s="8">
        <v>3.4003002788303429</v>
      </c>
    </row>
    <row r="339" spans="1:4" ht="15.75" customHeight="1">
      <c r="A339" s="6">
        <v>90303</v>
      </c>
      <c r="B339" s="7" t="s">
        <v>438</v>
      </c>
      <c r="C339" s="44">
        <v>62.552136752136754</v>
      </c>
      <c r="D339" s="8">
        <v>15.677554689841175</v>
      </c>
    </row>
    <row r="340" spans="1:4" ht="15.75" customHeight="1">
      <c r="A340" s="6">
        <v>90401</v>
      </c>
      <c r="B340" s="7" t="s">
        <v>440</v>
      </c>
      <c r="C340" s="44">
        <v>0</v>
      </c>
      <c r="D340" s="8">
        <v>5.8248622167789348</v>
      </c>
    </row>
    <row r="341" spans="1:4" ht="15.75" customHeight="1">
      <c r="A341" s="6">
        <v>90402</v>
      </c>
      <c r="B341" s="7" t="s">
        <v>102</v>
      </c>
      <c r="C341" s="44">
        <v>191.33594771241829</v>
      </c>
      <c r="D341" s="8">
        <v>12.698751752219477</v>
      </c>
    </row>
    <row r="342" spans="1:4" ht="15.75" customHeight="1">
      <c r="A342" s="6">
        <v>90501</v>
      </c>
      <c r="B342" s="7" t="s">
        <v>442</v>
      </c>
      <c r="C342" s="44">
        <v>342.3906432748538</v>
      </c>
      <c r="D342" s="8">
        <v>10.632684998882183</v>
      </c>
    </row>
    <row r="343" spans="1:4" ht="15.75" customHeight="1">
      <c r="A343" s="6">
        <v>90502</v>
      </c>
      <c r="B343" s="7" t="s">
        <v>443</v>
      </c>
      <c r="C343" s="44">
        <v>212.13333333333333</v>
      </c>
      <c r="D343" s="8">
        <v>18.781097801763856</v>
      </c>
    </row>
    <row r="344" spans="1:4" ht="15.75" customHeight="1">
      <c r="A344" s="6">
        <v>90503</v>
      </c>
      <c r="B344" s="7" t="s">
        <v>444</v>
      </c>
      <c r="C344" s="44">
        <v>0</v>
      </c>
      <c r="D344" s="8">
        <v>29.937839326461567</v>
      </c>
    </row>
    <row r="345" spans="1:4" ht="15.75" customHeight="1">
      <c r="A345" s="23"/>
      <c r="B345" s="24"/>
      <c r="C345" s="34"/>
      <c r="D345" s="32"/>
    </row>
    <row r="346" spans="1:4" ht="15.75" customHeight="1">
      <c r="A346" s="23"/>
      <c r="B346" s="24"/>
      <c r="C346" s="34"/>
      <c r="D346" s="32"/>
    </row>
    <row r="347" spans="1:4" ht="15.75" customHeight="1">
      <c r="A347" s="23"/>
      <c r="B347" s="24"/>
      <c r="C347" s="34"/>
      <c r="D347" s="32"/>
    </row>
    <row r="348" spans="1:4" ht="15.75" customHeight="1">
      <c r="A348" s="23"/>
      <c r="B348" s="24"/>
      <c r="C348" s="34"/>
    </row>
    <row r="349" spans="1:4" ht="15.75" customHeight="1">
      <c r="A349" s="23"/>
      <c r="B349" s="24"/>
      <c r="C349" s="34"/>
    </row>
    <row r="350" spans="1:4" ht="15.75" customHeight="1">
      <c r="A350" s="23"/>
      <c r="B350" s="24"/>
      <c r="C350" s="34"/>
      <c r="D350" s="34"/>
    </row>
    <row r="351" spans="1:4" ht="15.75" customHeight="1">
      <c r="A351" s="23"/>
      <c r="B351" s="24"/>
      <c r="C351" s="34"/>
      <c r="D351" s="34"/>
    </row>
    <row r="352" spans="1:4" ht="15.75" customHeight="1">
      <c r="A352" s="23"/>
      <c r="B352" s="24"/>
      <c r="C352" s="34"/>
      <c r="D352" s="34"/>
    </row>
    <row r="353" spans="1:4" ht="15.75" customHeight="1">
      <c r="A353" s="23"/>
      <c r="B353" s="35"/>
      <c r="C353" s="34"/>
      <c r="D353" s="34"/>
    </row>
    <row r="354" spans="1:4" ht="15.75" customHeight="1">
      <c r="A354" s="23"/>
      <c r="B354" s="35"/>
      <c r="D354" s="32"/>
    </row>
    <row r="355" spans="1:4" ht="15.75" customHeight="1">
      <c r="A355" s="23"/>
      <c r="B355" s="35"/>
    </row>
    <row r="356" spans="1:4" ht="15.75" customHeight="1">
      <c r="A356" s="23"/>
      <c r="B356" s="35"/>
    </row>
    <row r="357" spans="1:4" ht="15.75" customHeight="1">
      <c r="A357" s="23"/>
      <c r="B357" s="35"/>
    </row>
    <row r="358" spans="1:4" ht="15.75" customHeight="1">
      <c r="A358" s="23"/>
      <c r="B358" s="35"/>
    </row>
    <row r="359" spans="1:4" ht="15.75" customHeight="1">
      <c r="A359" s="23"/>
      <c r="B359" s="35"/>
    </row>
    <row r="360" spans="1:4" ht="15.75" customHeight="1">
      <c r="A360" s="23"/>
      <c r="B360" s="35"/>
    </row>
    <row r="361" spans="1:4" ht="15.75" customHeight="1">
      <c r="A361" s="23"/>
      <c r="B361" s="35"/>
    </row>
    <row r="362" spans="1:4" ht="15.75" customHeight="1">
      <c r="A362" s="23"/>
      <c r="B362" s="35"/>
    </row>
    <row r="363" spans="1:4" ht="15.75" customHeight="1">
      <c r="A363" s="23"/>
      <c r="B363" s="35"/>
    </row>
    <row r="364" spans="1:4" ht="15.75" customHeight="1">
      <c r="A364" s="23"/>
      <c r="B364" s="35"/>
    </row>
    <row r="365" spans="1:4" ht="15.75" customHeight="1">
      <c r="A365" s="23"/>
      <c r="B365" s="35"/>
    </row>
    <row r="366" spans="1:4" ht="15.75" customHeight="1">
      <c r="A366" s="23"/>
      <c r="B366" s="35"/>
    </row>
    <row r="367" spans="1:4" ht="15.75" customHeight="1">
      <c r="A367" s="23"/>
      <c r="B367" s="35"/>
    </row>
    <row r="368" spans="1:4" ht="15.75" customHeight="1">
      <c r="A368" s="23"/>
      <c r="B368" s="35"/>
    </row>
    <row r="369" spans="1:2" ht="15.75" customHeight="1">
      <c r="A369" s="23"/>
      <c r="B369" s="35"/>
    </row>
    <row r="370" spans="1:2" ht="15.75" customHeight="1">
      <c r="A370" s="23"/>
      <c r="B370" s="35"/>
    </row>
    <row r="371" spans="1:2" ht="15.75" customHeight="1">
      <c r="A371" s="23"/>
      <c r="B371" s="35"/>
    </row>
    <row r="372" spans="1:2" ht="15.75" customHeight="1">
      <c r="A372" s="23"/>
      <c r="B372" s="35"/>
    </row>
    <row r="373" spans="1:2" ht="15.75" customHeight="1">
      <c r="A373" s="23"/>
      <c r="B373" s="35"/>
    </row>
    <row r="374" spans="1:2" ht="15.75" customHeight="1">
      <c r="A374" s="23"/>
      <c r="B374" s="35"/>
    </row>
    <row r="375" spans="1:2" ht="15.75" customHeight="1">
      <c r="A375" s="23"/>
      <c r="B375" s="35"/>
    </row>
    <row r="376" spans="1:2" ht="15.75" customHeight="1">
      <c r="A376" s="23"/>
      <c r="B376" s="35"/>
    </row>
    <row r="377" spans="1:2" ht="15.75" customHeight="1">
      <c r="A377" s="23"/>
      <c r="B377" s="35"/>
    </row>
    <row r="378" spans="1:2" ht="15.75" customHeight="1">
      <c r="A378" s="23"/>
      <c r="B378" s="35"/>
    </row>
    <row r="379" spans="1:2" ht="15.75" customHeight="1">
      <c r="A379" s="23"/>
      <c r="B379" s="35"/>
    </row>
    <row r="380" spans="1:2" ht="15.75" customHeight="1">
      <c r="A380" s="23"/>
      <c r="B380" s="35"/>
    </row>
    <row r="381" spans="1:2" ht="15.75" customHeight="1">
      <c r="A381" s="23"/>
      <c r="B381" s="35"/>
    </row>
    <row r="382" spans="1:2" ht="15.75" customHeight="1">
      <c r="A382" s="23"/>
      <c r="B382" s="35"/>
    </row>
    <row r="383" spans="1:2" ht="15.75" customHeight="1">
      <c r="A383" s="23"/>
      <c r="B383" s="35"/>
    </row>
    <row r="384" spans="1:2" ht="15.75" customHeight="1">
      <c r="A384" s="23"/>
      <c r="B384" s="35"/>
    </row>
    <row r="385" spans="1:2" ht="15.75" customHeight="1">
      <c r="A385" s="23"/>
      <c r="B385" s="35"/>
    </row>
    <row r="386" spans="1:2" ht="15.75" customHeight="1">
      <c r="A386" s="23"/>
      <c r="B386" s="35"/>
    </row>
    <row r="387" spans="1:2" ht="15.75" customHeight="1">
      <c r="A387" s="23"/>
      <c r="B387" s="35"/>
    </row>
    <row r="388" spans="1:2" ht="15.75" customHeight="1">
      <c r="A388" s="23"/>
      <c r="B388" s="35"/>
    </row>
    <row r="389" spans="1:2" ht="15.75" customHeight="1">
      <c r="A389" s="23"/>
      <c r="B389" s="35"/>
    </row>
    <row r="390" spans="1:2" ht="15.75" customHeight="1">
      <c r="A390" s="23"/>
      <c r="B390" s="35"/>
    </row>
    <row r="391" spans="1:2" ht="15.75" customHeight="1">
      <c r="A391" s="23"/>
      <c r="B391" s="35"/>
    </row>
    <row r="392" spans="1:2" ht="15.75" customHeight="1">
      <c r="A392" s="23"/>
      <c r="B392" s="35"/>
    </row>
    <row r="393" spans="1:2" ht="15.75" customHeight="1">
      <c r="A393" s="23"/>
      <c r="B393" s="35"/>
    </row>
    <row r="394" spans="1:2" ht="15.75" customHeight="1">
      <c r="A394" s="23"/>
      <c r="B394" s="35"/>
    </row>
    <row r="395" spans="1:2" ht="15.75" customHeight="1">
      <c r="A395" s="23"/>
      <c r="B395" s="35"/>
    </row>
    <row r="396" spans="1:2" ht="15.75" customHeight="1">
      <c r="A396" s="23"/>
      <c r="B396" s="35"/>
    </row>
    <row r="397" spans="1:2" ht="15.75" customHeight="1">
      <c r="A397" s="23"/>
      <c r="B397" s="35"/>
    </row>
    <row r="398" spans="1:2" ht="15.75" customHeight="1">
      <c r="A398" s="23"/>
      <c r="B398" s="35"/>
    </row>
    <row r="399" spans="1:2" ht="15.75" customHeight="1">
      <c r="A399" s="23"/>
      <c r="B399" s="35"/>
    </row>
    <row r="400" spans="1:2" ht="15.75" customHeight="1">
      <c r="A400" s="23"/>
      <c r="B400" s="35"/>
    </row>
    <row r="401" spans="1:2" ht="15.75" customHeight="1">
      <c r="A401" s="23"/>
      <c r="B401" s="35"/>
    </row>
    <row r="402" spans="1:2" ht="15.75" customHeight="1">
      <c r="A402" s="23"/>
      <c r="B402" s="35"/>
    </row>
    <row r="403" spans="1:2" ht="15.75" customHeight="1">
      <c r="A403" s="23"/>
      <c r="B403" s="35"/>
    </row>
    <row r="404" spans="1:2" ht="15.75" customHeight="1">
      <c r="A404" s="23"/>
      <c r="B404" s="35"/>
    </row>
    <row r="405" spans="1:2" ht="15.75" customHeight="1">
      <c r="A405" s="23"/>
      <c r="B405" s="35"/>
    </row>
    <row r="406" spans="1:2" ht="15.75" customHeight="1">
      <c r="A406" s="23"/>
      <c r="B406" s="35"/>
    </row>
    <row r="407" spans="1:2" ht="15.75" customHeight="1">
      <c r="A407" s="23"/>
      <c r="B407" s="35"/>
    </row>
    <row r="408" spans="1:2" ht="15.75" customHeight="1">
      <c r="A408" s="23"/>
      <c r="B408" s="35"/>
    </row>
    <row r="409" spans="1:2" ht="15.75" customHeight="1">
      <c r="A409" s="23"/>
      <c r="B409" s="35"/>
    </row>
    <row r="410" spans="1:2" ht="15.75" customHeight="1">
      <c r="A410" s="23"/>
      <c r="B410" s="35"/>
    </row>
    <row r="411" spans="1:2" ht="15.75" customHeight="1">
      <c r="A411" s="23"/>
      <c r="B411" s="35"/>
    </row>
    <row r="412" spans="1:2" ht="15.75" customHeight="1">
      <c r="A412" s="23"/>
      <c r="B412" s="35"/>
    </row>
    <row r="413" spans="1:2" ht="15.75" customHeight="1">
      <c r="A413" s="23"/>
      <c r="B413" s="35"/>
    </row>
    <row r="414" spans="1:2" ht="15.75" customHeight="1">
      <c r="A414" s="23"/>
      <c r="B414" s="35"/>
    </row>
    <row r="415" spans="1:2" ht="15.75" customHeight="1">
      <c r="A415" s="23"/>
      <c r="B415" s="35"/>
    </row>
    <row r="416" spans="1:2" ht="15.75" customHeight="1">
      <c r="A416" s="23"/>
      <c r="B416" s="35"/>
    </row>
    <row r="417" spans="1:2" ht="15.75" customHeight="1">
      <c r="A417" s="23"/>
      <c r="B417" s="35"/>
    </row>
    <row r="418" spans="1:2" ht="15.75" customHeight="1">
      <c r="A418" s="23"/>
      <c r="B418" s="35"/>
    </row>
    <row r="419" spans="1:2" ht="15.75" customHeight="1">
      <c r="A419" s="23"/>
      <c r="B419" s="35"/>
    </row>
    <row r="420" spans="1:2" ht="15.75" customHeight="1">
      <c r="A420" s="23"/>
      <c r="B420" s="35"/>
    </row>
    <row r="421" spans="1:2" ht="15.75" customHeight="1">
      <c r="A421" s="23"/>
      <c r="B421" s="35"/>
    </row>
    <row r="422" spans="1:2" ht="15.75" customHeight="1">
      <c r="A422" s="23"/>
      <c r="B422" s="35"/>
    </row>
    <row r="423" spans="1:2" ht="15.75" customHeight="1">
      <c r="A423" s="23"/>
      <c r="B423" s="35"/>
    </row>
    <row r="424" spans="1:2" ht="15.75" customHeight="1">
      <c r="A424" s="23"/>
      <c r="B424" s="35"/>
    </row>
    <row r="425" spans="1:2" ht="15.75" customHeight="1">
      <c r="A425" s="23"/>
      <c r="B425" s="35"/>
    </row>
    <row r="426" spans="1:2" ht="15.75" customHeight="1">
      <c r="A426" s="23"/>
      <c r="B426" s="35"/>
    </row>
    <row r="427" spans="1:2" ht="15.75" customHeight="1">
      <c r="A427" s="23"/>
      <c r="B427" s="35"/>
    </row>
    <row r="428" spans="1:2" ht="15.75" customHeight="1">
      <c r="A428" s="23"/>
      <c r="B428" s="35"/>
    </row>
    <row r="429" spans="1:2" ht="15.75" customHeight="1">
      <c r="A429" s="23"/>
      <c r="B429" s="35"/>
    </row>
    <row r="430" spans="1:2" ht="15.75" customHeight="1">
      <c r="A430" s="23"/>
      <c r="B430" s="35"/>
    </row>
    <row r="431" spans="1:2" ht="15.75" customHeight="1">
      <c r="A431" s="23"/>
      <c r="B431" s="35"/>
    </row>
    <row r="432" spans="1:2" ht="15.75" customHeight="1">
      <c r="A432" s="23"/>
      <c r="B432" s="35"/>
    </row>
    <row r="433" spans="1:2" ht="15.75" customHeight="1">
      <c r="A433" s="23"/>
      <c r="B433" s="35"/>
    </row>
    <row r="434" spans="1:2" ht="15.75" customHeight="1">
      <c r="A434" s="23"/>
      <c r="B434" s="35"/>
    </row>
    <row r="435" spans="1:2" ht="15.75" customHeight="1">
      <c r="A435" s="23"/>
      <c r="B435" s="35"/>
    </row>
    <row r="436" spans="1:2" ht="15.75" customHeight="1">
      <c r="A436" s="23"/>
      <c r="B436" s="35"/>
    </row>
    <row r="437" spans="1:2" ht="15.75" customHeight="1">
      <c r="A437" s="23"/>
      <c r="B437" s="35"/>
    </row>
    <row r="438" spans="1:2" ht="15.75" customHeight="1">
      <c r="A438" s="23"/>
      <c r="B438" s="35"/>
    </row>
    <row r="439" spans="1:2" ht="15.75" customHeight="1">
      <c r="A439" s="23"/>
      <c r="B439" s="35"/>
    </row>
    <row r="440" spans="1:2" ht="15.75" customHeight="1">
      <c r="A440" s="23"/>
      <c r="B440" s="35"/>
    </row>
    <row r="441" spans="1:2" ht="15.75" customHeight="1">
      <c r="A441" s="23"/>
      <c r="B441" s="35"/>
    </row>
    <row r="442" spans="1:2" ht="15.75" customHeight="1">
      <c r="A442" s="23"/>
      <c r="B442" s="35"/>
    </row>
    <row r="443" spans="1:2" ht="15.75" customHeight="1">
      <c r="A443" s="23"/>
      <c r="B443" s="35"/>
    </row>
    <row r="444" spans="1:2" ht="15.75" customHeight="1">
      <c r="A444" s="23"/>
      <c r="B444" s="35"/>
    </row>
    <row r="445" spans="1:2" ht="15.75" customHeight="1">
      <c r="A445" s="23"/>
      <c r="B445" s="35"/>
    </row>
    <row r="446" spans="1:2" ht="15.75" customHeight="1">
      <c r="A446" s="23"/>
      <c r="B446" s="35"/>
    </row>
    <row r="447" spans="1:2" ht="15.75" customHeight="1">
      <c r="A447" s="23"/>
      <c r="B447" s="35"/>
    </row>
    <row r="448" spans="1:2" ht="15.75" customHeight="1">
      <c r="A448" s="23"/>
      <c r="B448" s="35"/>
    </row>
    <row r="449" spans="1:2" ht="15.75" customHeight="1">
      <c r="A449" s="23"/>
      <c r="B449" s="35"/>
    </row>
    <row r="450" spans="1:2" ht="15.75" customHeight="1">
      <c r="A450" s="23"/>
      <c r="B450" s="35"/>
    </row>
    <row r="451" spans="1:2" ht="15.75" customHeight="1">
      <c r="A451" s="23"/>
      <c r="B451" s="35"/>
    </row>
    <row r="452" spans="1:2" ht="15.75" customHeight="1">
      <c r="A452" s="23"/>
      <c r="B452" s="35"/>
    </row>
    <row r="453" spans="1:2" ht="15.75" customHeight="1">
      <c r="A453" s="23"/>
      <c r="B453" s="35"/>
    </row>
    <row r="454" spans="1:2" ht="15.75" customHeight="1">
      <c r="A454" s="23"/>
      <c r="B454" s="35"/>
    </row>
    <row r="455" spans="1:2" ht="15.75" customHeight="1">
      <c r="A455" s="23"/>
      <c r="B455" s="35"/>
    </row>
    <row r="456" spans="1:2" ht="15.75" customHeight="1">
      <c r="A456" s="23"/>
      <c r="B456" s="35"/>
    </row>
    <row r="457" spans="1:2" ht="15.75" customHeight="1">
      <c r="A457" s="23"/>
      <c r="B457" s="35"/>
    </row>
    <row r="458" spans="1:2" ht="15.75" customHeight="1">
      <c r="A458" s="23"/>
      <c r="B458" s="35"/>
    </row>
    <row r="459" spans="1:2" ht="15.75" customHeight="1">
      <c r="A459" s="23"/>
      <c r="B459" s="35"/>
    </row>
    <row r="460" spans="1:2" ht="15.75" customHeight="1">
      <c r="A460" s="23"/>
      <c r="B460" s="35"/>
    </row>
    <row r="461" spans="1:2" ht="15.75" customHeight="1">
      <c r="A461" s="23"/>
      <c r="B461" s="35"/>
    </row>
    <row r="462" spans="1:2" ht="15.75" customHeight="1">
      <c r="A462" s="23"/>
      <c r="B462" s="35"/>
    </row>
    <row r="463" spans="1:2" ht="15.75" customHeight="1">
      <c r="A463" s="23"/>
      <c r="B463" s="35"/>
    </row>
    <row r="464" spans="1:2" ht="15.75" customHeight="1">
      <c r="A464" s="23"/>
      <c r="B464" s="35"/>
    </row>
    <row r="465" spans="1:2" ht="15.75" customHeight="1">
      <c r="A465" s="23"/>
      <c r="B465" s="35"/>
    </row>
    <row r="466" spans="1:2" ht="15.75" customHeight="1">
      <c r="A466" s="23"/>
      <c r="B466" s="35"/>
    </row>
    <row r="467" spans="1:2" ht="15.75" customHeight="1">
      <c r="A467" s="23"/>
      <c r="B467" s="35"/>
    </row>
    <row r="468" spans="1:2" ht="15.75" customHeight="1">
      <c r="A468" s="23"/>
      <c r="B468" s="35"/>
    </row>
    <row r="469" spans="1:2" ht="15.75" customHeight="1">
      <c r="A469" s="23"/>
      <c r="B469" s="35"/>
    </row>
    <row r="470" spans="1:2" ht="15.75" customHeight="1">
      <c r="A470" s="23"/>
      <c r="B470" s="35"/>
    </row>
    <row r="471" spans="1:2" ht="15.75" customHeight="1">
      <c r="A471" s="23"/>
      <c r="B471" s="35"/>
    </row>
    <row r="472" spans="1:2" ht="15.75" customHeight="1">
      <c r="A472" s="23"/>
      <c r="B472" s="35"/>
    </row>
    <row r="473" spans="1:2" ht="15.75" customHeight="1">
      <c r="A473" s="23"/>
      <c r="B473" s="35"/>
    </row>
    <row r="474" spans="1:2" ht="15.75" customHeight="1">
      <c r="A474" s="23"/>
      <c r="B474" s="35"/>
    </row>
    <row r="475" spans="1:2" ht="15.75" customHeight="1">
      <c r="A475" s="23"/>
      <c r="B475" s="35"/>
    </row>
    <row r="476" spans="1:2" ht="15.75" customHeight="1">
      <c r="A476" s="23"/>
      <c r="B476" s="35"/>
    </row>
    <row r="477" spans="1:2" ht="15.75" customHeight="1">
      <c r="A477" s="23"/>
      <c r="B477" s="35"/>
    </row>
    <row r="478" spans="1:2" ht="15.75" customHeight="1">
      <c r="A478" s="23"/>
      <c r="B478" s="35"/>
    </row>
    <row r="479" spans="1:2" ht="15.75" customHeight="1">
      <c r="A479" s="23"/>
      <c r="B479" s="35"/>
    </row>
    <row r="480" spans="1:2" ht="15.75" customHeight="1">
      <c r="A480" s="23"/>
      <c r="B480" s="35"/>
    </row>
    <row r="481" spans="1:2" ht="15.75" customHeight="1">
      <c r="A481" s="23"/>
      <c r="B481" s="35"/>
    </row>
    <row r="482" spans="1:2" ht="15.75" customHeight="1">
      <c r="A482" s="23"/>
      <c r="B482" s="35"/>
    </row>
    <row r="483" spans="1:2" ht="15.75" customHeight="1">
      <c r="A483" s="23"/>
      <c r="B483" s="35"/>
    </row>
    <row r="484" spans="1:2" ht="15.75" customHeight="1">
      <c r="A484" s="23"/>
      <c r="B484" s="35"/>
    </row>
    <row r="485" spans="1:2" ht="15.75" customHeight="1">
      <c r="A485" s="23"/>
      <c r="B485" s="35"/>
    </row>
    <row r="486" spans="1:2" ht="15.75" customHeight="1">
      <c r="A486" s="23"/>
      <c r="B486" s="35"/>
    </row>
    <row r="487" spans="1:2" ht="15.75" customHeight="1">
      <c r="A487" s="23"/>
      <c r="B487" s="35"/>
    </row>
    <row r="488" spans="1:2" ht="15.75" customHeight="1">
      <c r="A488" s="23"/>
      <c r="B488" s="35"/>
    </row>
    <row r="489" spans="1:2" ht="15.75" customHeight="1">
      <c r="A489" s="23"/>
      <c r="B489" s="35"/>
    </row>
    <row r="490" spans="1:2" ht="15.75" customHeight="1">
      <c r="A490" s="23"/>
      <c r="B490" s="35"/>
    </row>
    <row r="491" spans="1:2" ht="15.75" customHeight="1">
      <c r="A491" s="23"/>
      <c r="B491" s="35"/>
    </row>
    <row r="492" spans="1:2" ht="15.75" customHeight="1">
      <c r="A492" s="23"/>
      <c r="B492" s="35"/>
    </row>
    <row r="493" spans="1:2" ht="15.75" customHeight="1">
      <c r="A493" s="23"/>
      <c r="B493" s="35"/>
    </row>
    <row r="494" spans="1:2" ht="15.75" customHeight="1">
      <c r="A494" s="23"/>
      <c r="B494" s="35"/>
    </row>
    <row r="495" spans="1:2" ht="15.75" customHeight="1">
      <c r="A495" s="23"/>
      <c r="B495" s="35"/>
    </row>
    <row r="496" spans="1:2" ht="15.75" customHeight="1">
      <c r="A496" s="23"/>
      <c r="B496" s="35"/>
    </row>
    <row r="497" spans="1:2" ht="15.75" customHeight="1">
      <c r="A497" s="23"/>
      <c r="B497" s="35"/>
    </row>
    <row r="498" spans="1:2" ht="15.75" customHeight="1">
      <c r="A498" s="23"/>
      <c r="B498" s="35"/>
    </row>
    <row r="499" spans="1:2" ht="15.75" customHeight="1">
      <c r="A499" s="23"/>
      <c r="B499" s="35"/>
    </row>
    <row r="500" spans="1:2" ht="15.75" customHeight="1">
      <c r="A500" s="23"/>
      <c r="B500" s="35"/>
    </row>
    <row r="501" spans="1:2" ht="15.75" customHeight="1">
      <c r="A501" s="23"/>
      <c r="B501" s="35"/>
    </row>
    <row r="502" spans="1:2" ht="15.75" customHeight="1">
      <c r="A502" s="23"/>
      <c r="B502" s="35"/>
    </row>
    <row r="503" spans="1:2" ht="15.75" customHeight="1">
      <c r="A503" s="23"/>
      <c r="B503" s="35"/>
    </row>
    <row r="504" spans="1:2" ht="15.75" customHeight="1">
      <c r="A504" s="23"/>
      <c r="B504" s="35"/>
    </row>
    <row r="505" spans="1:2" ht="15.75" customHeight="1">
      <c r="A505" s="23"/>
      <c r="B505" s="35"/>
    </row>
    <row r="506" spans="1:2" ht="15.75" customHeight="1">
      <c r="A506" s="23"/>
      <c r="B506" s="35"/>
    </row>
    <row r="507" spans="1:2" ht="15.75" customHeight="1">
      <c r="A507" s="23"/>
      <c r="B507" s="35"/>
    </row>
    <row r="508" spans="1:2" ht="15.75" customHeight="1">
      <c r="A508" s="23"/>
      <c r="B508" s="35"/>
    </row>
    <row r="509" spans="1:2" ht="15.75" customHeight="1">
      <c r="A509" s="23"/>
      <c r="B509" s="35"/>
    </row>
    <row r="510" spans="1:2" ht="15.75" customHeight="1">
      <c r="A510" s="23"/>
      <c r="B510" s="35"/>
    </row>
    <row r="511" spans="1:2" ht="15.75" customHeight="1">
      <c r="A511" s="23"/>
      <c r="B511" s="35"/>
    </row>
    <row r="512" spans="1:2" ht="15.75" customHeight="1">
      <c r="A512" s="23"/>
      <c r="B512" s="35"/>
    </row>
    <row r="513" spans="1:2" ht="15.75" customHeight="1">
      <c r="A513" s="23"/>
      <c r="B513" s="35"/>
    </row>
    <row r="514" spans="1:2" ht="15.75" customHeight="1">
      <c r="A514" s="23"/>
      <c r="B514" s="35"/>
    </row>
    <row r="515" spans="1:2" ht="15.75" customHeight="1">
      <c r="A515" s="23"/>
      <c r="B515" s="35"/>
    </row>
    <row r="516" spans="1:2" ht="15.75" customHeight="1">
      <c r="A516" s="23"/>
      <c r="B516" s="35"/>
    </row>
    <row r="517" spans="1:2" ht="15.75" customHeight="1">
      <c r="A517" s="23"/>
      <c r="B517" s="35"/>
    </row>
    <row r="518" spans="1:2" ht="15.75" customHeight="1">
      <c r="A518" s="23"/>
      <c r="B518" s="35"/>
    </row>
    <row r="519" spans="1:2" ht="15.75" customHeight="1">
      <c r="A519" s="23"/>
      <c r="B519" s="35"/>
    </row>
    <row r="520" spans="1:2" ht="15.75" customHeight="1">
      <c r="A520" s="23"/>
      <c r="B520" s="35"/>
    </row>
    <row r="521" spans="1:2" ht="15.75" customHeight="1">
      <c r="A521" s="23"/>
      <c r="B521" s="35"/>
    </row>
    <row r="522" spans="1:2" ht="15.75" customHeight="1">
      <c r="A522" s="23"/>
      <c r="B522" s="35"/>
    </row>
    <row r="523" spans="1:2" ht="15.75" customHeight="1">
      <c r="A523" s="23"/>
      <c r="B523" s="35"/>
    </row>
    <row r="524" spans="1:2" ht="15.75" customHeight="1">
      <c r="A524" s="23"/>
      <c r="B524" s="35"/>
    </row>
    <row r="525" spans="1:2" ht="15.75" customHeight="1">
      <c r="A525" s="23"/>
      <c r="B525" s="35"/>
    </row>
    <row r="526" spans="1:2" ht="15.75" customHeight="1">
      <c r="A526" s="23"/>
      <c r="B526" s="35"/>
    </row>
    <row r="527" spans="1:2" ht="15.75" customHeight="1">
      <c r="A527" s="23"/>
      <c r="B527" s="35"/>
    </row>
    <row r="528" spans="1:2" ht="15.75" customHeight="1">
      <c r="A528" s="23"/>
      <c r="B528" s="35"/>
    </row>
    <row r="529" spans="1:2" ht="15.75" customHeight="1">
      <c r="A529" s="23"/>
      <c r="B529" s="35"/>
    </row>
    <row r="530" spans="1:2" ht="15.75" customHeight="1">
      <c r="A530" s="23"/>
      <c r="B530" s="35"/>
    </row>
    <row r="531" spans="1:2" ht="15.75" customHeight="1">
      <c r="A531" s="23"/>
      <c r="B531" s="35"/>
    </row>
    <row r="532" spans="1:2" ht="15.75" customHeight="1">
      <c r="A532" s="23"/>
      <c r="B532" s="35"/>
    </row>
    <row r="533" spans="1:2" ht="15.75" customHeight="1">
      <c r="A533" s="23"/>
      <c r="B533" s="35"/>
    </row>
    <row r="534" spans="1:2" ht="15.75" customHeight="1">
      <c r="A534" s="23"/>
      <c r="B534" s="35"/>
    </row>
    <row r="535" spans="1:2" ht="15.75" customHeight="1">
      <c r="A535" s="23"/>
      <c r="B535" s="35"/>
    </row>
    <row r="536" spans="1:2" ht="15.75" customHeight="1">
      <c r="A536" s="23"/>
      <c r="B536" s="35"/>
    </row>
    <row r="537" spans="1:2" ht="15.75" customHeight="1">
      <c r="A537" s="23"/>
      <c r="B537" s="35"/>
    </row>
    <row r="538" spans="1:2" ht="15.75" customHeight="1">
      <c r="A538" s="23"/>
      <c r="B538" s="35"/>
    </row>
    <row r="539" spans="1:2" ht="15.75" customHeight="1">
      <c r="A539" s="23"/>
      <c r="B539" s="35"/>
    </row>
    <row r="540" spans="1:2" ht="15.75" customHeight="1">
      <c r="A540" s="23"/>
      <c r="B540" s="35"/>
    </row>
    <row r="541" spans="1:2" ht="15.75" customHeight="1">
      <c r="A541" s="23"/>
      <c r="B541" s="35"/>
    </row>
    <row r="542" spans="1:2" ht="15.75" customHeight="1">
      <c r="A542" s="23"/>
      <c r="B542" s="35"/>
    </row>
    <row r="543" spans="1:2" ht="15.75" customHeight="1">
      <c r="A543" s="23"/>
      <c r="B543" s="35"/>
    </row>
    <row r="544" spans="1:2" ht="15.75" customHeight="1">
      <c r="A544" s="23"/>
      <c r="B544" s="35"/>
    </row>
    <row r="545" spans="1:1" ht="15.75" customHeight="1">
      <c r="A545" s="23"/>
    </row>
    <row r="546" spans="1:1" ht="15.75" customHeight="1">
      <c r="A546" s="23"/>
    </row>
    <row r="547" spans="1:1" ht="15.75" customHeight="1">
      <c r="A547" s="23"/>
    </row>
    <row r="548" spans="1:1" ht="15.75" customHeight="1">
      <c r="A548" s="23"/>
    </row>
    <row r="549" spans="1:1" ht="15.75" customHeight="1">
      <c r="A549" s="23"/>
    </row>
    <row r="550" spans="1:1" ht="15.75" customHeight="1">
      <c r="A550" s="23"/>
    </row>
    <row r="551" spans="1:1" ht="15.75" customHeight="1">
      <c r="A551" s="23"/>
    </row>
    <row r="552" spans="1:1" ht="15.75" customHeight="1">
      <c r="A552" s="23"/>
    </row>
    <row r="553" spans="1:1" ht="15.75" customHeight="1">
      <c r="A553" s="23"/>
    </row>
    <row r="554" spans="1:1" ht="15.75" customHeight="1">
      <c r="A554" s="23"/>
    </row>
    <row r="555" spans="1:1" ht="15.75" customHeight="1">
      <c r="A555" s="23"/>
    </row>
    <row r="556" spans="1:1" ht="15.75" customHeight="1">
      <c r="A556" s="23"/>
    </row>
    <row r="557" spans="1:1" ht="15.75" customHeight="1">
      <c r="A557" s="23"/>
    </row>
    <row r="558" spans="1:1" ht="15.75" customHeight="1">
      <c r="A558" s="23"/>
    </row>
    <row r="559" spans="1:1" ht="15.75" customHeight="1">
      <c r="A559" s="23"/>
    </row>
    <row r="560" spans="1:1" ht="15.75" customHeight="1">
      <c r="A560" s="23"/>
    </row>
    <row r="561" spans="1:1" ht="15.75" customHeight="1">
      <c r="A561" s="23"/>
    </row>
    <row r="562" spans="1:1" ht="15.75" customHeight="1">
      <c r="A562" s="23"/>
    </row>
    <row r="563" spans="1:1" ht="15.75" customHeight="1">
      <c r="A563" s="23"/>
    </row>
    <row r="564" spans="1:1" ht="15.75" customHeight="1">
      <c r="A564" s="23"/>
    </row>
    <row r="565" spans="1:1" ht="15.75" customHeight="1">
      <c r="A565" s="23"/>
    </row>
    <row r="566" spans="1:1" ht="15.75" customHeight="1">
      <c r="A566" s="23"/>
    </row>
    <row r="567" spans="1:1" ht="15.75" customHeight="1">
      <c r="A567" s="23"/>
    </row>
    <row r="568" spans="1:1" ht="15.75" customHeight="1">
      <c r="A568" s="23"/>
    </row>
    <row r="569" spans="1:1" ht="15.75" customHeight="1">
      <c r="A569" s="23"/>
    </row>
    <row r="570" spans="1:1" ht="15.75" customHeight="1">
      <c r="A570" s="23"/>
    </row>
    <row r="571" spans="1:1" ht="15.75" customHeight="1">
      <c r="A571" s="23"/>
    </row>
    <row r="572" spans="1:1" ht="15.75" customHeight="1">
      <c r="A572" s="23"/>
    </row>
    <row r="573" spans="1:1" ht="15.75" customHeight="1">
      <c r="A573" s="23"/>
    </row>
    <row r="574" spans="1:1" ht="15.75" customHeight="1">
      <c r="A574" s="23"/>
    </row>
    <row r="575" spans="1:1" ht="15.75" customHeight="1">
      <c r="A575" s="23"/>
    </row>
    <row r="576" spans="1:1" ht="15.75" customHeight="1">
      <c r="A576" s="23"/>
    </row>
    <row r="577" spans="1:1" ht="15.75" customHeight="1">
      <c r="A577" s="23"/>
    </row>
    <row r="578" spans="1:1" ht="15.75" customHeight="1">
      <c r="A578" s="23"/>
    </row>
    <row r="579" spans="1:1" ht="15.75" customHeight="1">
      <c r="A579" s="23"/>
    </row>
    <row r="580" spans="1:1" ht="15.75" customHeight="1">
      <c r="A580" s="23"/>
    </row>
    <row r="581" spans="1:1" ht="15.75" customHeight="1">
      <c r="A581" s="23"/>
    </row>
    <row r="582" spans="1:1" ht="15.75" customHeight="1">
      <c r="A582" s="23"/>
    </row>
    <row r="583" spans="1:1" ht="15.75" customHeight="1">
      <c r="A583" s="23"/>
    </row>
    <row r="584" spans="1:1" ht="15.75" customHeight="1">
      <c r="A584" s="23"/>
    </row>
    <row r="585" spans="1:1" ht="15.75" customHeight="1">
      <c r="A585" s="23"/>
    </row>
    <row r="586" spans="1:1" ht="15.75" customHeight="1">
      <c r="A586" s="23"/>
    </row>
    <row r="587" spans="1:1" ht="15.75" customHeight="1">
      <c r="A587" s="23"/>
    </row>
    <row r="588" spans="1:1" ht="15.75" customHeight="1">
      <c r="A588" s="23"/>
    </row>
    <row r="589" spans="1:1" ht="15.75" customHeight="1">
      <c r="A589" s="23"/>
    </row>
    <row r="590" spans="1:1" ht="15.75" customHeight="1">
      <c r="A590" s="23"/>
    </row>
    <row r="591" spans="1:1" ht="15.75" customHeight="1">
      <c r="A591" s="23"/>
    </row>
    <row r="592" spans="1:1" ht="15.75" customHeight="1">
      <c r="A592" s="23"/>
    </row>
    <row r="593" spans="1:1" ht="15.75" customHeight="1">
      <c r="A593" s="23"/>
    </row>
    <row r="594" spans="1:1" ht="15.75" customHeight="1">
      <c r="A594" s="23"/>
    </row>
    <row r="595" spans="1:1" ht="15.75" customHeight="1">
      <c r="A595" s="23"/>
    </row>
    <row r="596" spans="1:1" ht="15.75" customHeight="1">
      <c r="A596" s="23"/>
    </row>
    <row r="597" spans="1:1" ht="15.75" customHeight="1">
      <c r="A597" s="23"/>
    </row>
    <row r="598" spans="1:1" ht="15.75" customHeight="1">
      <c r="A598" s="23"/>
    </row>
    <row r="599" spans="1:1" ht="15.75" customHeight="1">
      <c r="A599" s="23"/>
    </row>
    <row r="600" spans="1:1" ht="15.75" customHeight="1">
      <c r="A600" s="23"/>
    </row>
    <row r="601" spans="1:1" ht="15.75" customHeight="1">
      <c r="A601" s="23"/>
    </row>
    <row r="602" spans="1:1" ht="15.75" customHeight="1">
      <c r="A602" s="23"/>
    </row>
    <row r="603" spans="1:1" ht="15.75" customHeight="1">
      <c r="A603" s="23"/>
    </row>
    <row r="604" spans="1:1" ht="15.75" customHeight="1">
      <c r="A604" s="23"/>
    </row>
    <row r="605" spans="1:1" ht="15.75" customHeight="1">
      <c r="A605" s="23"/>
    </row>
    <row r="606" spans="1:1" ht="15.75" customHeight="1">
      <c r="A606" s="23"/>
    </row>
    <row r="607" spans="1:1" ht="15.75" customHeight="1">
      <c r="A607" s="23"/>
    </row>
    <row r="608" spans="1:1" ht="15.75" customHeight="1">
      <c r="A608" s="23"/>
    </row>
    <row r="609" spans="1:1" ht="15.75" customHeight="1">
      <c r="A609" s="23"/>
    </row>
    <row r="610" spans="1:1" ht="15.75" customHeight="1">
      <c r="A610" s="23"/>
    </row>
    <row r="611" spans="1:1" ht="15.75" customHeight="1">
      <c r="A611" s="23"/>
    </row>
    <row r="612" spans="1:1" ht="15.75" customHeight="1">
      <c r="A612" s="23"/>
    </row>
    <row r="613" spans="1:1" ht="15.75" customHeight="1">
      <c r="A613" s="23"/>
    </row>
    <row r="614" spans="1:1" ht="15.75" customHeight="1">
      <c r="A614" s="23"/>
    </row>
    <row r="615" spans="1:1" ht="15.75" customHeight="1">
      <c r="A615" s="23"/>
    </row>
    <row r="616" spans="1:1" ht="15.75" customHeight="1">
      <c r="A616" s="23"/>
    </row>
    <row r="617" spans="1:1" ht="15.75" customHeight="1">
      <c r="A617" s="23"/>
    </row>
    <row r="618" spans="1:1" ht="15.75" customHeight="1">
      <c r="A618" s="23"/>
    </row>
    <row r="619" spans="1:1" ht="15.75" customHeight="1">
      <c r="A619" s="23"/>
    </row>
    <row r="620" spans="1:1" ht="15.75" customHeight="1">
      <c r="A620" s="23"/>
    </row>
    <row r="621" spans="1:1" ht="15.75" customHeight="1">
      <c r="A621" s="23"/>
    </row>
    <row r="622" spans="1:1" ht="15.75" customHeight="1">
      <c r="A622" s="23"/>
    </row>
    <row r="623" spans="1:1" ht="15.75" customHeight="1">
      <c r="A623" s="23"/>
    </row>
    <row r="624" spans="1:1" ht="15.75" customHeight="1">
      <c r="A624" s="23"/>
    </row>
    <row r="625" spans="1:1" ht="15.75" customHeight="1">
      <c r="A625" s="23"/>
    </row>
    <row r="626" spans="1:1" ht="15.75" customHeight="1">
      <c r="A626" s="23"/>
    </row>
    <row r="627" spans="1:1" ht="15.75" customHeight="1">
      <c r="A627" s="23"/>
    </row>
    <row r="628" spans="1:1" ht="15.75" customHeight="1">
      <c r="A628" s="23"/>
    </row>
    <row r="629" spans="1:1" ht="15.75" customHeight="1">
      <c r="A629" s="23"/>
    </row>
    <row r="630" spans="1:1" ht="15.75" customHeight="1">
      <c r="A630" s="23"/>
    </row>
    <row r="631" spans="1:1" ht="15.75" customHeight="1">
      <c r="A631" s="23"/>
    </row>
    <row r="632" spans="1:1" ht="15.75" customHeight="1">
      <c r="A632" s="23"/>
    </row>
    <row r="633" spans="1:1" ht="15.75" customHeight="1">
      <c r="A633" s="23"/>
    </row>
    <row r="634" spans="1:1" ht="15.75" customHeight="1">
      <c r="A634" s="23"/>
    </row>
    <row r="635" spans="1:1" ht="15.75" customHeight="1">
      <c r="A635" s="23"/>
    </row>
    <row r="636" spans="1:1" ht="15.75" customHeight="1">
      <c r="A636" s="23"/>
    </row>
    <row r="637" spans="1:1" ht="15.75" customHeight="1">
      <c r="A637" s="23"/>
    </row>
    <row r="638" spans="1:1" ht="15.75" customHeight="1">
      <c r="A638" s="23"/>
    </row>
    <row r="639" spans="1:1" ht="15.75" customHeight="1">
      <c r="A639" s="23"/>
    </row>
    <row r="640" spans="1:1" ht="15.75" customHeight="1">
      <c r="A640" s="23"/>
    </row>
    <row r="641" spans="1:1" ht="15.75" customHeight="1">
      <c r="A641" s="23"/>
    </row>
    <row r="642" spans="1:1" ht="15.75" customHeight="1">
      <c r="A642" s="23"/>
    </row>
    <row r="643" spans="1:1" ht="15.75" customHeight="1">
      <c r="A643" s="23"/>
    </row>
    <row r="644" spans="1:1" ht="15.75" customHeight="1">
      <c r="A644" s="23"/>
    </row>
    <row r="645" spans="1:1" ht="15.75" customHeight="1">
      <c r="A645" s="23"/>
    </row>
    <row r="646" spans="1:1" ht="15.75" customHeight="1">
      <c r="A646" s="23"/>
    </row>
    <row r="647" spans="1:1" ht="15.75" customHeight="1">
      <c r="A647" s="23"/>
    </row>
    <row r="648" spans="1:1" ht="15.75" customHeight="1">
      <c r="A648" s="23"/>
    </row>
    <row r="649" spans="1:1" ht="15.75" customHeight="1">
      <c r="A649" s="23"/>
    </row>
    <row r="650" spans="1:1" ht="15.75" customHeight="1">
      <c r="A650" s="23"/>
    </row>
    <row r="651" spans="1:1" ht="15.75" customHeight="1">
      <c r="A651" s="23"/>
    </row>
    <row r="652" spans="1:1" ht="15.75" customHeight="1">
      <c r="A652" s="23"/>
    </row>
    <row r="653" spans="1:1" ht="15.75" customHeight="1">
      <c r="A653" s="23"/>
    </row>
    <row r="654" spans="1:1" ht="15.75" customHeight="1">
      <c r="A654" s="23"/>
    </row>
    <row r="655" spans="1:1" ht="15.75" customHeight="1">
      <c r="A655" s="23"/>
    </row>
    <row r="656" spans="1:1" ht="15.75" customHeight="1">
      <c r="A656" s="23"/>
    </row>
    <row r="657" spans="1:1" ht="15.75" customHeight="1">
      <c r="A657" s="23"/>
    </row>
    <row r="658" spans="1:1" ht="15.75" customHeight="1">
      <c r="A658" s="23"/>
    </row>
    <row r="659" spans="1:1" ht="15.75" customHeight="1">
      <c r="A659" s="23"/>
    </row>
    <row r="660" spans="1:1" ht="15.75" customHeight="1">
      <c r="A660" s="23"/>
    </row>
    <row r="661" spans="1:1" ht="15.75" customHeight="1">
      <c r="A661" s="23"/>
    </row>
    <row r="662" spans="1:1" ht="15.75" customHeight="1">
      <c r="A662" s="23"/>
    </row>
    <row r="663" spans="1:1" ht="15.75" customHeight="1">
      <c r="A663" s="23"/>
    </row>
    <row r="664" spans="1:1" ht="15.75" customHeight="1">
      <c r="A664" s="23"/>
    </row>
    <row r="665" spans="1:1" ht="15.75" customHeight="1">
      <c r="A665" s="23"/>
    </row>
    <row r="666" spans="1:1" ht="15.75" customHeight="1">
      <c r="A666" s="23"/>
    </row>
    <row r="667" spans="1:1" ht="15.75" customHeight="1">
      <c r="A667" s="23"/>
    </row>
    <row r="668" spans="1:1" ht="15.75" customHeight="1">
      <c r="A668" s="23"/>
    </row>
    <row r="669" spans="1:1" ht="15.75" customHeight="1">
      <c r="A669" s="23"/>
    </row>
    <row r="670" spans="1:1" ht="15.75" customHeight="1">
      <c r="A670" s="23"/>
    </row>
    <row r="671" spans="1:1" ht="15.75" customHeight="1">
      <c r="A671" s="23"/>
    </row>
    <row r="672" spans="1:1" ht="15.75" customHeight="1">
      <c r="A672" s="23"/>
    </row>
    <row r="673" spans="1:1" ht="15.75" customHeight="1">
      <c r="A673" s="23"/>
    </row>
    <row r="674" spans="1:1" ht="15.75" customHeight="1">
      <c r="A674" s="23"/>
    </row>
    <row r="675" spans="1:1" ht="15.75" customHeight="1">
      <c r="A675" s="23"/>
    </row>
    <row r="676" spans="1:1" ht="15.75" customHeight="1">
      <c r="A676" s="23"/>
    </row>
    <row r="677" spans="1:1" ht="15.75" customHeight="1">
      <c r="A677" s="23"/>
    </row>
    <row r="678" spans="1:1" ht="15.75" customHeight="1">
      <c r="A678" s="23"/>
    </row>
    <row r="679" spans="1:1" ht="15.75" customHeight="1">
      <c r="A679" s="23"/>
    </row>
    <row r="680" spans="1:1" ht="15.75" customHeight="1">
      <c r="A680" s="23"/>
    </row>
    <row r="681" spans="1:1" ht="15.75" customHeight="1">
      <c r="A681" s="23"/>
    </row>
    <row r="682" spans="1:1" ht="15.75" customHeight="1">
      <c r="A682" s="23"/>
    </row>
    <row r="683" spans="1:1" ht="15.75" customHeight="1">
      <c r="A683" s="23"/>
    </row>
    <row r="684" spans="1:1" ht="15.75" customHeight="1">
      <c r="A684" s="23"/>
    </row>
    <row r="685" spans="1:1" ht="15.75" customHeight="1">
      <c r="A685" s="23"/>
    </row>
    <row r="686" spans="1:1" ht="15.75" customHeight="1">
      <c r="A686" s="23"/>
    </row>
    <row r="687" spans="1:1" ht="15.75" customHeight="1">
      <c r="A687" s="23"/>
    </row>
    <row r="688" spans="1:1" ht="15.75" customHeight="1">
      <c r="A688" s="23"/>
    </row>
    <row r="689" spans="1:1" ht="15.75" customHeight="1">
      <c r="A689" s="23"/>
    </row>
    <row r="690" spans="1:1" ht="15.75" customHeight="1">
      <c r="A690" s="23"/>
    </row>
    <row r="691" spans="1:1" ht="15.75" customHeight="1">
      <c r="A691" s="23"/>
    </row>
    <row r="692" spans="1:1" ht="15.75" customHeight="1">
      <c r="A692" s="23"/>
    </row>
    <row r="693" spans="1:1" ht="15.75" customHeight="1">
      <c r="A693" s="23"/>
    </row>
    <row r="694" spans="1:1" ht="15.75" customHeight="1">
      <c r="A694" s="23"/>
    </row>
    <row r="695" spans="1:1" ht="15.75" customHeight="1">
      <c r="A695" s="23"/>
    </row>
    <row r="696" spans="1:1" ht="15.75" customHeight="1">
      <c r="A696" s="23"/>
    </row>
    <row r="697" spans="1:1" ht="15.75" customHeight="1">
      <c r="A697" s="23"/>
    </row>
    <row r="698" spans="1:1" ht="15.75" customHeight="1">
      <c r="A698" s="23"/>
    </row>
    <row r="699" spans="1:1" ht="15.75" customHeight="1">
      <c r="A699" s="23"/>
    </row>
    <row r="700" spans="1:1" ht="15.75" customHeight="1">
      <c r="A700" s="23"/>
    </row>
    <row r="701" spans="1:1" ht="15.75" customHeight="1">
      <c r="A701" s="23"/>
    </row>
    <row r="702" spans="1:1" ht="15.75" customHeight="1">
      <c r="A702" s="23"/>
    </row>
    <row r="703" spans="1:1" ht="15.75" customHeight="1">
      <c r="A703" s="23"/>
    </row>
    <row r="704" spans="1:1" ht="15.75" customHeight="1">
      <c r="A704" s="23"/>
    </row>
    <row r="705" spans="1:1" ht="15.75" customHeight="1">
      <c r="A705" s="23"/>
    </row>
    <row r="706" spans="1:1" ht="15.75" customHeight="1">
      <c r="A706" s="23"/>
    </row>
    <row r="707" spans="1:1" ht="15.75" customHeight="1">
      <c r="A707" s="23"/>
    </row>
    <row r="708" spans="1:1" ht="15.75" customHeight="1">
      <c r="A708" s="23"/>
    </row>
    <row r="709" spans="1:1" ht="15.75" customHeight="1">
      <c r="A709" s="23"/>
    </row>
    <row r="710" spans="1:1" ht="15.75" customHeight="1">
      <c r="A710" s="23"/>
    </row>
    <row r="711" spans="1:1" ht="15.75" customHeight="1">
      <c r="A711" s="23"/>
    </row>
    <row r="712" spans="1:1" ht="15.75" customHeight="1">
      <c r="A712" s="23"/>
    </row>
    <row r="713" spans="1:1" ht="15.75" customHeight="1">
      <c r="A713" s="23"/>
    </row>
    <row r="714" spans="1:1" ht="15.75" customHeight="1">
      <c r="A714" s="23"/>
    </row>
    <row r="715" spans="1:1" ht="15.75" customHeight="1">
      <c r="A715" s="23"/>
    </row>
    <row r="716" spans="1:1" ht="15.75" customHeight="1">
      <c r="A716" s="23"/>
    </row>
    <row r="717" spans="1:1" ht="15.75" customHeight="1">
      <c r="A717" s="23"/>
    </row>
    <row r="718" spans="1:1" ht="15.75" customHeight="1">
      <c r="A718" s="23"/>
    </row>
    <row r="719" spans="1:1" ht="15.75" customHeight="1">
      <c r="A719" s="23"/>
    </row>
    <row r="720" spans="1:1" ht="15.75" customHeight="1">
      <c r="A720" s="23"/>
    </row>
    <row r="721" spans="1:1" ht="15.75" customHeight="1">
      <c r="A721" s="23"/>
    </row>
    <row r="722" spans="1:1" ht="15.75" customHeight="1">
      <c r="A722" s="23"/>
    </row>
    <row r="723" spans="1:1" ht="15.75" customHeight="1">
      <c r="A723" s="23"/>
    </row>
    <row r="724" spans="1:1" ht="15.75" customHeight="1">
      <c r="A724" s="23"/>
    </row>
    <row r="725" spans="1:1" ht="15.75" customHeight="1">
      <c r="A725" s="23"/>
    </row>
    <row r="726" spans="1:1" ht="15.75" customHeight="1">
      <c r="A726" s="23"/>
    </row>
    <row r="727" spans="1:1" ht="15.75" customHeight="1">
      <c r="A727" s="23"/>
    </row>
    <row r="728" spans="1:1" ht="15.75" customHeight="1">
      <c r="A728" s="23"/>
    </row>
    <row r="729" spans="1:1" ht="15.75" customHeight="1">
      <c r="A729" s="23"/>
    </row>
    <row r="730" spans="1:1" ht="15.75" customHeight="1">
      <c r="A730" s="23"/>
    </row>
    <row r="731" spans="1:1" ht="15.75" customHeight="1">
      <c r="A731" s="23"/>
    </row>
    <row r="732" spans="1:1" ht="15.75" customHeight="1">
      <c r="A732" s="23"/>
    </row>
    <row r="733" spans="1:1" ht="15.75" customHeight="1">
      <c r="A733" s="23"/>
    </row>
    <row r="734" spans="1:1" ht="15.75" customHeight="1">
      <c r="A734" s="23"/>
    </row>
    <row r="735" spans="1:1" ht="15.75" customHeight="1">
      <c r="A735" s="23"/>
    </row>
    <row r="736" spans="1:1" ht="15.75" customHeight="1">
      <c r="A736" s="23"/>
    </row>
    <row r="737" spans="1:1" ht="15.75" customHeight="1">
      <c r="A737" s="23"/>
    </row>
    <row r="738" spans="1:1" ht="15.75" customHeight="1">
      <c r="A738" s="23"/>
    </row>
    <row r="739" spans="1:1" ht="15.75" customHeight="1">
      <c r="A739" s="23"/>
    </row>
    <row r="740" spans="1:1" ht="15.75" customHeight="1">
      <c r="A740" s="23"/>
    </row>
    <row r="741" spans="1:1" ht="15.75" customHeight="1">
      <c r="A741" s="23"/>
    </row>
    <row r="742" spans="1:1" ht="15.75" customHeight="1">
      <c r="A742" s="23"/>
    </row>
    <row r="743" spans="1:1" ht="15.75" customHeight="1">
      <c r="A743" s="23"/>
    </row>
    <row r="744" spans="1:1" ht="15.75" customHeight="1">
      <c r="A744" s="23"/>
    </row>
    <row r="745" spans="1:1" ht="15.75" customHeight="1">
      <c r="A745" s="23"/>
    </row>
    <row r="746" spans="1:1" ht="15.75" customHeight="1">
      <c r="A746" s="23"/>
    </row>
    <row r="747" spans="1:1" ht="15.75" customHeight="1">
      <c r="A747" s="23"/>
    </row>
    <row r="748" spans="1:1" ht="15.75" customHeight="1">
      <c r="A748" s="23"/>
    </row>
    <row r="749" spans="1:1" ht="15.75" customHeight="1">
      <c r="A749" s="23"/>
    </row>
    <row r="750" spans="1:1" ht="15.75" customHeight="1">
      <c r="A750" s="23"/>
    </row>
    <row r="751" spans="1:1" ht="15.75" customHeight="1">
      <c r="A751" s="23"/>
    </row>
    <row r="752" spans="1:1" ht="15.75" customHeight="1">
      <c r="A752" s="23"/>
    </row>
    <row r="753" spans="1:1" ht="15.75" customHeight="1">
      <c r="A753" s="23"/>
    </row>
    <row r="754" spans="1:1" ht="15.75" customHeight="1">
      <c r="A754" s="23"/>
    </row>
    <row r="755" spans="1:1" ht="15.75" customHeight="1">
      <c r="A755" s="23"/>
    </row>
    <row r="756" spans="1:1" ht="15.75" customHeight="1">
      <c r="A756" s="23"/>
    </row>
    <row r="757" spans="1:1" ht="15.75" customHeight="1">
      <c r="A757" s="23"/>
    </row>
    <row r="758" spans="1:1" ht="15.75" customHeight="1">
      <c r="A758" s="23"/>
    </row>
    <row r="759" spans="1:1" ht="15.75" customHeight="1">
      <c r="A759" s="23"/>
    </row>
    <row r="760" spans="1:1" ht="15.75" customHeight="1">
      <c r="A760" s="23"/>
    </row>
    <row r="761" spans="1:1" ht="15.75" customHeight="1">
      <c r="A761" s="23"/>
    </row>
    <row r="762" spans="1:1" ht="15.75" customHeight="1">
      <c r="A762" s="23"/>
    </row>
    <row r="763" spans="1:1" ht="15.75" customHeight="1">
      <c r="A763" s="23"/>
    </row>
    <row r="764" spans="1:1" ht="15.75" customHeight="1">
      <c r="A764" s="23"/>
    </row>
    <row r="765" spans="1:1" ht="15.75" customHeight="1">
      <c r="A765" s="23"/>
    </row>
    <row r="766" spans="1:1" ht="15.75" customHeight="1">
      <c r="A766" s="23"/>
    </row>
    <row r="767" spans="1:1" ht="15.75" customHeight="1">
      <c r="A767" s="23"/>
    </row>
    <row r="768" spans="1:1" ht="15.75" customHeight="1">
      <c r="A768" s="23"/>
    </row>
    <row r="769" spans="1:1" ht="15.75" customHeight="1">
      <c r="A769" s="23"/>
    </row>
    <row r="770" spans="1:1" ht="15.75" customHeight="1">
      <c r="A770" s="23"/>
    </row>
    <row r="771" spans="1:1" ht="15.75" customHeight="1">
      <c r="A771" s="23"/>
    </row>
    <row r="772" spans="1:1" ht="15.75" customHeight="1">
      <c r="A772" s="23"/>
    </row>
    <row r="773" spans="1:1" ht="15.75" customHeight="1">
      <c r="A773" s="23"/>
    </row>
    <row r="774" spans="1:1" ht="15.75" customHeight="1">
      <c r="A774" s="23"/>
    </row>
    <row r="775" spans="1:1" ht="15.75" customHeight="1">
      <c r="A775" s="23"/>
    </row>
    <row r="776" spans="1:1" ht="15.75" customHeight="1">
      <c r="A776" s="23"/>
    </row>
    <row r="777" spans="1:1" ht="15.75" customHeight="1">
      <c r="A777" s="23"/>
    </row>
    <row r="778" spans="1:1" ht="15.75" customHeight="1">
      <c r="A778" s="23"/>
    </row>
    <row r="779" spans="1:1" ht="15.75" customHeight="1">
      <c r="A779" s="23"/>
    </row>
    <row r="780" spans="1:1" ht="15.75" customHeight="1">
      <c r="A780" s="23"/>
    </row>
    <row r="781" spans="1:1" ht="15.75" customHeight="1">
      <c r="A781" s="23"/>
    </row>
    <row r="782" spans="1:1" ht="15.75" customHeight="1">
      <c r="A782" s="23"/>
    </row>
    <row r="783" spans="1:1" ht="15.75" customHeight="1">
      <c r="A783" s="23"/>
    </row>
    <row r="784" spans="1:1" ht="15.75" customHeight="1">
      <c r="A784" s="23"/>
    </row>
    <row r="785" spans="1:1" ht="15.75" customHeight="1">
      <c r="A785" s="23"/>
    </row>
    <row r="786" spans="1:1" ht="15.75" customHeight="1">
      <c r="A786" s="23"/>
    </row>
    <row r="787" spans="1:1" ht="15.75" customHeight="1">
      <c r="A787" s="23"/>
    </row>
    <row r="788" spans="1:1" ht="15.75" customHeight="1">
      <c r="A788" s="23"/>
    </row>
    <row r="789" spans="1:1" ht="15.75" customHeight="1">
      <c r="A789" s="23"/>
    </row>
    <row r="790" spans="1:1" ht="15.75" customHeight="1">
      <c r="A790" s="23"/>
    </row>
    <row r="791" spans="1:1" ht="15.75" customHeight="1">
      <c r="A791" s="23"/>
    </row>
    <row r="792" spans="1:1" ht="15.75" customHeight="1">
      <c r="A792" s="23"/>
    </row>
    <row r="793" spans="1:1" ht="15.75" customHeight="1">
      <c r="A793" s="23"/>
    </row>
    <row r="794" spans="1:1" ht="15.75" customHeight="1">
      <c r="A794" s="23"/>
    </row>
    <row r="795" spans="1:1" ht="15.75" customHeight="1">
      <c r="A795" s="23"/>
    </row>
    <row r="796" spans="1:1" ht="15.75" customHeight="1">
      <c r="A796" s="23"/>
    </row>
    <row r="797" spans="1:1" ht="15.75" customHeight="1">
      <c r="A797" s="23"/>
    </row>
    <row r="798" spans="1:1" ht="15.75" customHeight="1">
      <c r="A798" s="23"/>
    </row>
    <row r="799" spans="1:1" ht="15.75" customHeight="1">
      <c r="A799" s="23"/>
    </row>
    <row r="800" spans="1:1" ht="15.75" customHeight="1">
      <c r="A800" s="23"/>
    </row>
    <row r="801" spans="1:1" ht="15.75" customHeight="1">
      <c r="A801" s="23"/>
    </row>
    <row r="802" spans="1:1" ht="15.75" customHeight="1">
      <c r="A802" s="23"/>
    </row>
    <row r="803" spans="1:1" ht="15.75" customHeight="1">
      <c r="A803" s="23"/>
    </row>
    <row r="804" spans="1:1" ht="15.75" customHeight="1">
      <c r="A804" s="23"/>
    </row>
    <row r="805" spans="1:1" ht="15.75" customHeight="1">
      <c r="A805" s="23"/>
    </row>
    <row r="806" spans="1:1" ht="15.75" customHeight="1">
      <c r="A806" s="23"/>
    </row>
    <row r="807" spans="1:1" ht="15.75" customHeight="1">
      <c r="A807" s="23"/>
    </row>
    <row r="808" spans="1:1" ht="15.75" customHeight="1">
      <c r="A808" s="23"/>
    </row>
    <row r="809" spans="1:1" ht="15.75" customHeight="1">
      <c r="A809" s="23"/>
    </row>
    <row r="810" spans="1:1" ht="15.75" customHeight="1">
      <c r="A810" s="23"/>
    </row>
    <row r="811" spans="1:1" ht="15.75" customHeight="1">
      <c r="A811" s="23"/>
    </row>
    <row r="812" spans="1:1" ht="15.75" customHeight="1">
      <c r="A812" s="23"/>
    </row>
    <row r="813" spans="1:1" ht="15.75" customHeight="1">
      <c r="A813" s="23"/>
    </row>
    <row r="814" spans="1:1" ht="15.75" customHeight="1">
      <c r="A814" s="23"/>
    </row>
    <row r="815" spans="1:1" ht="15.75" customHeight="1">
      <c r="A815" s="23"/>
    </row>
    <row r="816" spans="1:1" ht="15.75" customHeight="1">
      <c r="A816" s="23"/>
    </row>
    <row r="817" spans="1:1" ht="15.75" customHeight="1">
      <c r="A817" s="23"/>
    </row>
    <row r="818" spans="1:1" ht="15.75" customHeight="1">
      <c r="A818" s="23"/>
    </row>
    <row r="819" spans="1:1" ht="15.75" customHeight="1">
      <c r="A819" s="23"/>
    </row>
    <row r="820" spans="1:1" ht="15.75" customHeight="1">
      <c r="A820" s="23"/>
    </row>
    <row r="821" spans="1:1" ht="15.75" customHeight="1">
      <c r="A821" s="23"/>
    </row>
    <row r="822" spans="1:1" ht="15.75" customHeight="1">
      <c r="A822" s="23"/>
    </row>
    <row r="823" spans="1:1" ht="15.75" customHeight="1">
      <c r="A823" s="23"/>
    </row>
    <row r="824" spans="1:1" ht="15.75" customHeight="1">
      <c r="A824" s="23"/>
    </row>
    <row r="825" spans="1:1" ht="15.75" customHeight="1">
      <c r="A825" s="23"/>
    </row>
    <row r="826" spans="1:1" ht="15.75" customHeight="1">
      <c r="A826" s="23"/>
    </row>
    <row r="827" spans="1:1" ht="15.75" customHeight="1">
      <c r="A827" s="23"/>
    </row>
    <row r="828" spans="1:1" ht="15.75" customHeight="1">
      <c r="A828" s="23"/>
    </row>
    <row r="829" spans="1:1" ht="15.75" customHeight="1">
      <c r="A829" s="23"/>
    </row>
    <row r="830" spans="1:1" ht="15.75" customHeight="1">
      <c r="A830" s="23"/>
    </row>
    <row r="831" spans="1:1" ht="15.75" customHeight="1">
      <c r="A831" s="23"/>
    </row>
    <row r="832" spans="1:1" ht="15.75" customHeight="1">
      <c r="A832" s="23"/>
    </row>
    <row r="833" spans="1:1" ht="15.75" customHeight="1">
      <c r="A833" s="23"/>
    </row>
    <row r="834" spans="1:1" ht="15.75" customHeight="1">
      <c r="A834" s="23"/>
    </row>
    <row r="835" spans="1:1" ht="15.75" customHeight="1">
      <c r="A835" s="23"/>
    </row>
    <row r="836" spans="1:1" ht="15.75" customHeight="1">
      <c r="A836" s="23"/>
    </row>
    <row r="837" spans="1:1" ht="15.75" customHeight="1">
      <c r="A837" s="23"/>
    </row>
    <row r="838" spans="1:1" ht="15.75" customHeight="1">
      <c r="A838" s="23"/>
    </row>
    <row r="839" spans="1:1" ht="15.75" customHeight="1">
      <c r="A839" s="23"/>
    </row>
    <row r="840" spans="1:1" ht="15.75" customHeight="1">
      <c r="A840" s="23"/>
    </row>
    <row r="841" spans="1:1" ht="15.75" customHeight="1">
      <c r="A841" s="23"/>
    </row>
    <row r="842" spans="1:1" ht="15.75" customHeight="1">
      <c r="A842" s="23"/>
    </row>
    <row r="843" spans="1:1" ht="15.75" customHeight="1">
      <c r="A843" s="23"/>
    </row>
    <row r="844" spans="1:1" ht="15.75" customHeight="1">
      <c r="A844" s="23"/>
    </row>
    <row r="845" spans="1:1" ht="15.75" customHeight="1">
      <c r="A845" s="23"/>
    </row>
    <row r="846" spans="1:1" ht="15.75" customHeight="1">
      <c r="A846" s="23"/>
    </row>
    <row r="847" spans="1:1" ht="15.75" customHeight="1">
      <c r="A847" s="23"/>
    </row>
    <row r="848" spans="1:1" ht="15.75" customHeight="1">
      <c r="A848" s="23"/>
    </row>
    <row r="849" spans="1:1" ht="15.75" customHeight="1">
      <c r="A849" s="23"/>
    </row>
    <row r="850" spans="1:1" ht="15.75" customHeight="1">
      <c r="A850" s="23"/>
    </row>
    <row r="851" spans="1:1" ht="15.75" customHeight="1">
      <c r="A851" s="23"/>
    </row>
    <row r="852" spans="1:1" ht="15.75" customHeight="1">
      <c r="A852" s="23"/>
    </row>
    <row r="853" spans="1:1" ht="15.75" customHeight="1">
      <c r="A853" s="23"/>
    </row>
    <row r="854" spans="1:1" ht="15.75" customHeight="1">
      <c r="A854" s="23"/>
    </row>
    <row r="855" spans="1:1" ht="15.75" customHeight="1">
      <c r="A855" s="23"/>
    </row>
    <row r="856" spans="1:1" ht="15.75" customHeight="1">
      <c r="A856" s="23"/>
    </row>
    <row r="857" spans="1:1" ht="15.75" customHeight="1">
      <c r="A857" s="23"/>
    </row>
    <row r="858" spans="1:1" ht="15.75" customHeight="1">
      <c r="A858" s="23"/>
    </row>
    <row r="859" spans="1:1" ht="15.75" customHeight="1">
      <c r="A859" s="23"/>
    </row>
    <row r="860" spans="1:1" ht="15.75" customHeight="1">
      <c r="A860" s="23"/>
    </row>
    <row r="861" spans="1:1" ht="15.75" customHeight="1">
      <c r="A861" s="23"/>
    </row>
    <row r="862" spans="1:1" ht="15.75" customHeight="1">
      <c r="A862" s="23"/>
    </row>
    <row r="863" spans="1:1" ht="15.75" customHeight="1">
      <c r="A863" s="23"/>
    </row>
    <row r="864" spans="1:1" ht="15.75" customHeight="1">
      <c r="A864" s="23"/>
    </row>
    <row r="865" spans="1:1" ht="15.75" customHeight="1">
      <c r="A865" s="23"/>
    </row>
    <row r="866" spans="1:1" ht="15.75" customHeight="1">
      <c r="A866" s="23"/>
    </row>
    <row r="867" spans="1:1" ht="15.75" customHeight="1">
      <c r="A867" s="23"/>
    </row>
    <row r="868" spans="1:1" ht="15.75" customHeight="1">
      <c r="A868" s="23"/>
    </row>
    <row r="869" spans="1:1" ht="15.75" customHeight="1">
      <c r="A869" s="23"/>
    </row>
    <row r="870" spans="1:1" ht="15.75" customHeight="1">
      <c r="A870" s="23"/>
    </row>
    <row r="871" spans="1:1" ht="15.75" customHeight="1">
      <c r="A871" s="23"/>
    </row>
    <row r="872" spans="1:1" ht="15.75" customHeight="1">
      <c r="A872" s="23"/>
    </row>
    <row r="873" spans="1:1" ht="15.75" customHeight="1">
      <c r="A873" s="23"/>
    </row>
    <row r="874" spans="1:1" ht="15.75" customHeight="1">
      <c r="A874" s="23"/>
    </row>
    <row r="875" spans="1:1" ht="15.75" customHeight="1">
      <c r="A875" s="23"/>
    </row>
    <row r="876" spans="1:1" ht="15.75" customHeight="1">
      <c r="A876" s="23"/>
    </row>
    <row r="877" spans="1:1" ht="15.75" customHeight="1">
      <c r="A877" s="23"/>
    </row>
    <row r="878" spans="1:1" ht="15.75" customHeight="1">
      <c r="A878" s="23"/>
    </row>
    <row r="879" spans="1:1" ht="15.75" customHeight="1">
      <c r="A879" s="23"/>
    </row>
    <row r="880" spans="1:1" ht="15.75" customHeight="1">
      <c r="A880" s="23"/>
    </row>
    <row r="881" spans="1:1" ht="15.75" customHeight="1">
      <c r="A881" s="23"/>
    </row>
    <row r="882" spans="1:1" ht="15.75" customHeight="1">
      <c r="A882" s="23"/>
    </row>
    <row r="883" spans="1:1" ht="15.75" customHeight="1">
      <c r="A883" s="23"/>
    </row>
    <row r="884" spans="1:1" ht="15.75" customHeight="1">
      <c r="A884" s="23"/>
    </row>
    <row r="885" spans="1:1" ht="15.75" customHeight="1">
      <c r="A885" s="23"/>
    </row>
    <row r="886" spans="1:1" ht="15.75" customHeight="1">
      <c r="A886" s="23"/>
    </row>
    <row r="887" spans="1:1" ht="15.75" customHeight="1">
      <c r="A887" s="23"/>
    </row>
    <row r="888" spans="1:1" ht="15.75" customHeight="1">
      <c r="A888" s="23"/>
    </row>
    <row r="889" spans="1:1" ht="15.75" customHeight="1">
      <c r="A889" s="23"/>
    </row>
    <row r="890" spans="1:1" ht="15.75" customHeight="1">
      <c r="A890" s="23"/>
    </row>
    <row r="891" spans="1:1" ht="15.75" customHeight="1">
      <c r="A891" s="23"/>
    </row>
    <row r="892" spans="1:1" ht="15.75" customHeight="1">
      <c r="A892" s="23"/>
    </row>
    <row r="893" spans="1:1" ht="15.75" customHeight="1">
      <c r="A893" s="23"/>
    </row>
    <row r="894" spans="1:1" ht="15.75" customHeight="1">
      <c r="A894" s="23"/>
    </row>
    <row r="895" spans="1:1" ht="15.75" customHeight="1">
      <c r="A895" s="23"/>
    </row>
    <row r="896" spans="1:1" ht="15.75" customHeight="1">
      <c r="A896" s="23"/>
    </row>
    <row r="897" spans="1:1" ht="15.75" customHeight="1">
      <c r="A897" s="23"/>
    </row>
    <row r="898" spans="1:1" ht="15.75" customHeight="1">
      <c r="A898" s="23"/>
    </row>
    <row r="899" spans="1:1" ht="15.75" customHeight="1">
      <c r="A899" s="23"/>
    </row>
    <row r="900" spans="1:1" ht="15.75" customHeight="1">
      <c r="A900" s="23"/>
    </row>
    <row r="901" spans="1:1" ht="15.75" customHeight="1">
      <c r="A901" s="23"/>
    </row>
    <row r="902" spans="1:1" ht="15.75" customHeight="1">
      <c r="A902" s="23"/>
    </row>
    <row r="903" spans="1:1" ht="15.75" customHeight="1">
      <c r="A903" s="23"/>
    </row>
    <row r="904" spans="1:1" ht="15.75" customHeight="1">
      <c r="A904" s="23"/>
    </row>
    <row r="905" spans="1:1" ht="15.75" customHeight="1">
      <c r="A905" s="23"/>
    </row>
    <row r="906" spans="1:1" ht="15.75" customHeight="1">
      <c r="A906" s="23"/>
    </row>
    <row r="907" spans="1:1" ht="15.75" customHeight="1">
      <c r="A907" s="23"/>
    </row>
    <row r="908" spans="1:1" ht="15.75" customHeight="1">
      <c r="A908" s="23"/>
    </row>
    <row r="909" spans="1:1" ht="15.75" customHeight="1">
      <c r="A909" s="23"/>
    </row>
    <row r="910" spans="1:1" ht="15.75" customHeight="1">
      <c r="A910" s="23"/>
    </row>
    <row r="911" spans="1:1" ht="15.75" customHeight="1">
      <c r="A911" s="23"/>
    </row>
    <row r="912" spans="1:1" ht="15.75" customHeight="1">
      <c r="A912" s="23"/>
    </row>
    <row r="913" spans="1:1" ht="15.75" customHeight="1">
      <c r="A913" s="23"/>
    </row>
    <row r="914" spans="1:1" ht="15.75" customHeight="1">
      <c r="A914" s="23"/>
    </row>
    <row r="915" spans="1:1" ht="15.75" customHeight="1">
      <c r="A915" s="23"/>
    </row>
    <row r="916" spans="1:1" ht="15.75" customHeight="1">
      <c r="A916" s="23"/>
    </row>
    <row r="917" spans="1:1" ht="15.75" customHeight="1">
      <c r="A917" s="23"/>
    </row>
    <row r="918" spans="1:1" ht="15.75" customHeight="1">
      <c r="A918" s="23"/>
    </row>
    <row r="919" spans="1:1" ht="15.75" customHeight="1">
      <c r="A919" s="23"/>
    </row>
    <row r="920" spans="1:1" ht="15.75" customHeight="1">
      <c r="A920" s="23"/>
    </row>
    <row r="921" spans="1:1" ht="15.75" customHeight="1">
      <c r="A921" s="23"/>
    </row>
    <row r="922" spans="1:1" ht="15.75" customHeight="1">
      <c r="A922" s="23"/>
    </row>
    <row r="923" spans="1:1" ht="15.75" customHeight="1">
      <c r="A923" s="23"/>
    </row>
    <row r="924" spans="1:1" ht="15.75" customHeight="1">
      <c r="A924" s="23"/>
    </row>
    <row r="925" spans="1:1" ht="15.75" customHeight="1">
      <c r="A925" s="23"/>
    </row>
    <row r="926" spans="1:1" ht="15.75" customHeight="1">
      <c r="A926" s="23"/>
    </row>
    <row r="927" spans="1:1" ht="15.75" customHeight="1">
      <c r="A927" s="23"/>
    </row>
    <row r="928" spans="1:1" ht="15.75" customHeight="1">
      <c r="A928" s="23"/>
    </row>
    <row r="929" spans="1:1" ht="15.75" customHeight="1">
      <c r="A929" s="23"/>
    </row>
    <row r="930" spans="1:1" ht="15.75" customHeight="1">
      <c r="A930" s="23"/>
    </row>
    <row r="931" spans="1:1" ht="15.75" customHeight="1">
      <c r="A931" s="23"/>
    </row>
    <row r="932" spans="1:1" ht="15.75" customHeight="1">
      <c r="A932" s="23"/>
    </row>
    <row r="933" spans="1:1" ht="15.75" customHeight="1">
      <c r="A933" s="23"/>
    </row>
    <row r="934" spans="1:1" ht="15.75" customHeight="1">
      <c r="A934" s="23"/>
    </row>
    <row r="935" spans="1:1" ht="15.75" customHeight="1">
      <c r="A935" s="23"/>
    </row>
    <row r="936" spans="1:1" ht="15.75" customHeight="1">
      <c r="A936" s="23"/>
    </row>
    <row r="937" spans="1:1" ht="15.75" customHeight="1">
      <c r="A937" s="23"/>
    </row>
    <row r="938" spans="1:1" ht="15.75" customHeight="1">
      <c r="A938" s="23"/>
    </row>
    <row r="939" spans="1:1" ht="15.75" customHeight="1">
      <c r="A939" s="23"/>
    </row>
    <row r="940" spans="1:1" ht="15.75" customHeight="1">
      <c r="A940" s="23"/>
    </row>
    <row r="941" spans="1:1" ht="15.75" customHeight="1">
      <c r="A941" s="23"/>
    </row>
    <row r="942" spans="1:1" ht="15.75" customHeight="1">
      <c r="A942" s="23"/>
    </row>
    <row r="943" spans="1:1" ht="15.75" customHeight="1">
      <c r="A943" s="23"/>
    </row>
    <row r="944" spans="1:1" ht="15.75" customHeight="1">
      <c r="A944" s="23"/>
    </row>
    <row r="945" spans="1:1" ht="15.75" customHeight="1">
      <c r="A945" s="23"/>
    </row>
    <row r="946" spans="1:1" ht="15.75" customHeight="1">
      <c r="A946" s="23"/>
    </row>
    <row r="947" spans="1:1" ht="15.75" customHeight="1">
      <c r="A947" s="23"/>
    </row>
    <row r="948" spans="1:1" ht="15.75" customHeight="1">
      <c r="A948" s="23"/>
    </row>
    <row r="949" spans="1:1" ht="15.75" customHeight="1">
      <c r="A949" s="23"/>
    </row>
    <row r="950" spans="1:1" ht="15.75" customHeight="1">
      <c r="A950" s="23"/>
    </row>
    <row r="951" spans="1:1" ht="15.75" customHeight="1">
      <c r="A951" s="23"/>
    </row>
    <row r="952" spans="1:1" ht="15.75" customHeight="1">
      <c r="A952" s="23"/>
    </row>
    <row r="953" spans="1:1" ht="15.75" customHeight="1">
      <c r="A953" s="23"/>
    </row>
    <row r="954" spans="1:1" ht="15.75" customHeight="1">
      <c r="A954" s="23"/>
    </row>
    <row r="955" spans="1:1" ht="15.75" customHeight="1">
      <c r="A955" s="23"/>
    </row>
    <row r="956" spans="1:1" ht="15.75" customHeight="1">
      <c r="A956" s="23"/>
    </row>
    <row r="957" spans="1:1" ht="15.75" customHeight="1">
      <c r="A957" s="23"/>
    </row>
    <row r="958" spans="1:1" ht="15.75" customHeight="1">
      <c r="A958" s="23"/>
    </row>
    <row r="959" spans="1:1" ht="15.75" customHeight="1">
      <c r="A959" s="23"/>
    </row>
    <row r="960" spans="1:1" ht="15.75" customHeight="1">
      <c r="A960" s="23"/>
    </row>
    <row r="961" spans="1:1" ht="15.75" customHeight="1">
      <c r="A961" s="23"/>
    </row>
    <row r="962" spans="1:1" ht="15.75" customHeight="1">
      <c r="A962" s="23"/>
    </row>
    <row r="963" spans="1:1" ht="15.75" customHeight="1">
      <c r="A963" s="23"/>
    </row>
    <row r="964" spans="1:1" ht="15.75" customHeight="1">
      <c r="A964" s="23"/>
    </row>
    <row r="965" spans="1:1" ht="15.75" customHeight="1">
      <c r="A965" s="23"/>
    </row>
    <row r="966" spans="1:1" ht="15.75" customHeight="1">
      <c r="A966" s="23"/>
    </row>
    <row r="967" spans="1:1" ht="15.75" customHeight="1">
      <c r="A967" s="23"/>
    </row>
    <row r="968" spans="1:1" ht="15.75" customHeight="1">
      <c r="A968" s="23"/>
    </row>
    <row r="969" spans="1:1" ht="15.75" customHeight="1">
      <c r="A969" s="23"/>
    </row>
    <row r="970" spans="1:1" ht="15.75" customHeight="1">
      <c r="A970" s="23"/>
    </row>
    <row r="971" spans="1:1" ht="15.75" customHeight="1">
      <c r="A971" s="23"/>
    </row>
    <row r="972" spans="1:1" ht="15.75" customHeight="1">
      <c r="A972" s="23"/>
    </row>
    <row r="973" spans="1:1" ht="15.75" customHeight="1">
      <c r="A973" s="23"/>
    </row>
    <row r="974" spans="1:1" ht="15.75" customHeight="1">
      <c r="A974" s="23"/>
    </row>
    <row r="975" spans="1:1" ht="15.75" customHeight="1">
      <c r="A975" s="23"/>
    </row>
    <row r="976" spans="1:1" ht="15.75" customHeight="1">
      <c r="A976" s="23"/>
    </row>
    <row r="977" spans="1:1" ht="15.75" customHeight="1">
      <c r="A977" s="23"/>
    </row>
    <row r="978" spans="1:1" ht="15.75" customHeight="1">
      <c r="A978" s="23"/>
    </row>
    <row r="979" spans="1:1" ht="15.75" customHeight="1">
      <c r="A979" s="23"/>
    </row>
    <row r="980" spans="1:1" ht="15.75" customHeight="1">
      <c r="A980" s="23"/>
    </row>
    <row r="981" spans="1:1" ht="15.75" customHeight="1">
      <c r="A981" s="23"/>
    </row>
    <row r="982" spans="1:1" ht="15.75" customHeight="1">
      <c r="A982" s="23"/>
    </row>
    <row r="983" spans="1:1" ht="15.75" customHeight="1">
      <c r="A983" s="23"/>
    </row>
    <row r="984" spans="1:1" ht="15.75" customHeight="1">
      <c r="A984" s="23"/>
    </row>
    <row r="985" spans="1:1" ht="15.75" customHeight="1">
      <c r="A985" s="23"/>
    </row>
    <row r="986" spans="1:1" ht="15.75" customHeight="1">
      <c r="A986" s="23"/>
    </row>
    <row r="987" spans="1:1" ht="15.75" customHeight="1">
      <c r="A987" s="23"/>
    </row>
    <row r="988" spans="1:1" ht="15.75" customHeight="1">
      <c r="A988" s="23"/>
    </row>
    <row r="989" spans="1:1" ht="15.75" customHeight="1">
      <c r="A989" s="23"/>
    </row>
    <row r="990" spans="1:1" ht="15.75" customHeight="1">
      <c r="A990" s="23"/>
    </row>
    <row r="991" spans="1:1" ht="15.75" customHeight="1">
      <c r="A991" s="23"/>
    </row>
    <row r="992" spans="1:1" ht="15.75" customHeight="1">
      <c r="A992" s="23"/>
    </row>
    <row r="993" spans="1:1" ht="15.75" customHeight="1">
      <c r="A993" s="23"/>
    </row>
    <row r="994" spans="1:1" ht="15.75" customHeight="1">
      <c r="A994" s="23"/>
    </row>
    <row r="995" spans="1:1" ht="15.75" customHeight="1">
      <c r="A995" s="23"/>
    </row>
    <row r="996" spans="1:1" ht="15.75" customHeight="1">
      <c r="A996" s="23"/>
    </row>
    <row r="997" spans="1:1" ht="15.75" customHeight="1">
      <c r="A997" s="23"/>
    </row>
    <row r="998" spans="1:1" ht="15.75" customHeight="1">
      <c r="A998" s="23"/>
    </row>
    <row r="999" spans="1:1" ht="15.75" customHeight="1">
      <c r="A999" s="23"/>
    </row>
    <row r="1000" spans="1:1" ht="15.75" customHeight="1">
      <c r="A1000" s="23"/>
    </row>
  </sheetData>
  <autoFilter ref="A1:D1" xr:uid="{00000000-0009-0000-0000-000002000000}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D1000"/>
  <sheetViews>
    <sheetView workbookViewId="0"/>
  </sheetViews>
  <sheetFormatPr baseColWidth="10" defaultColWidth="12.59765625" defaultRowHeight="15" customHeight="1"/>
  <cols>
    <col min="1" max="1" width="12.59765625" customWidth="1"/>
    <col min="2" max="2" width="11.69921875" customWidth="1"/>
    <col min="3" max="3" width="18.19921875" customWidth="1"/>
    <col min="4" max="4" width="17.8984375" customWidth="1"/>
    <col min="5" max="6" width="9.3984375" customWidth="1"/>
  </cols>
  <sheetData>
    <row r="1" spans="1:4" ht="51.75" customHeight="1">
      <c r="A1" s="1" t="s">
        <v>0</v>
      </c>
      <c r="B1" s="2" t="s">
        <v>3</v>
      </c>
      <c r="C1" s="47" t="s">
        <v>459</v>
      </c>
      <c r="D1" s="47" t="s">
        <v>460</v>
      </c>
    </row>
    <row r="2" spans="1:4" ht="14.4">
      <c r="A2" s="6">
        <v>10101</v>
      </c>
      <c r="B2" s="7" t="s">
        <v>13</v>
      </c>
      <c r="C2" s="48">
        <v>106</v>
      </c>
      <c r="D2" s="48">
        <v>132</v>
      </c>
    </row>
    <row r="3" spans="1:4" ht="14.4">
      <c r="A3" s="6">
        <v>10102</v>
      </c>
      <c r="B3" s="7" t="s">
        <v>14</v>
      </c>
      <c r="C3" s="48">
        <v>4</v>
      </c>
      <c r="D3" s="48">
        <v>9</v>
      </c>
    </row>
    <row r="4" spans="1:4" ht="14.4">
      <c r="A4" s="6">
        <v>10103</v>
      </c>
      <c r="B4" s="7" t="s">
        <v>16</v>
      </c>
      <c r="C4" s="48">
        <v>14</v>
      </c>
      <c r="D4" s="48">
        <v>17</v>
      </c>
    </row>
    <row r="5" spans="1:4" ht="14.4">
      <c r="A5" s="6">
        <v>10201</v>
      </c>
      <c r="B5" s="7" t="s">
        <v>19</v>
      </c>
      <c r="C5" s="48">
        <v>6</v>
      </c>
      <c r="D5" s="48">
        <v>9</v>
      </c>
    </row>
    <row r="6" spans="1:4" ht="14.4">
      <c r="A6" s="6">
        <v>10202</v>
      </c>
      <c r="B6" s="7" t="s">
        <v>21</v>
      </c>
      <c r="C6" s="48">
        <v>6</v>
      </c>
      <c r="D6" s="48">
        <v>12</v>
      </c>
    </row>
    <row r="7" spans="1:4" ht="14.4">
      <c r="A7" s="6">
        <v>10301</v>
      </c>
      <c r="B7" s="7" t="s">
        <v>24</v>
      </c>
      <c r="C7" s="48">
        <v>8</v>
      </c>
      <c r="D7" s="48">
        <v>3</v>
      </c>
    </row>
    <row r="8" spans="1:4" ht="14.4">
      <c r="A8" s="6">
        <v>10302</v>
      </c>
      <c r="B8" s="7" t="s">
        <v>26</v>
      </c>
      <c r="C8" s="48">
        <v>16</v>
      </c>
      <c r="D8" s="48">
        <v>8</v>
      </c>
    </row>
    <row r="9" spans="1:4" ht="14.4">
      <c r="A9" s="6">
        <v>10303</v>
      </c>
      <c r="B9" s="7" t="s">
        <v>28</v>
      </c>
      <c r="C9" s="48">
        <v>7</v>
      </c>
      <c r="D9" s="48">
        <v>5</v>
      </c>
    </row>
    <row r="10" spans="1:4" ht="14.4">
      <c r="A10" s="6">
        <v>10304</v>
      </c>
      <c r="B10" s="7" t="s">
        <v>30</v>
      </c>
      <c r="C10" s="48">
        <v>2</v>
      </c>
      <c r="D10" s="48">
        <v>5</v>
      </c>
    </row>
    <row r="11" spans="1:4" ht="14.4">
      <c r="A11" s="6">
        <v>10401</v>
      </c>
      <c r="B11" s="7" t="s">
        <v>33</v>
      </c>
      <c r="C11" s="48">
        <v>7</v>
      </c>
      <c r="D11" s="48">
        <v>3</v>
      </c>
    </row>
    <row r="12" spans="1:4" ht="14.4">
      <c r="A12" s="6">
        <v>10402</v>
      </c>
      <c r="B12" s="7" t="s">
        <v>32</v>
      </c>
      <c r="C12" s="48">
        <v>6</v>
      </c>
      <c r="D12" s="48">
        <v>3</v>
      </c>
    </row>
    <row r="13" spans="1:4" ht="14.4">
      <c r="A13" s="6">
        <v>10403</v>
      </c>
      <c r="B13" s="7" t="s">
        <v>35</v>
      </c>
      <c r="C13" s="48">
        <v>2</v>
      </c>
      <c r="D13" s="48">
        <v>3</v>
      </c>
    </row>
    <row r="14" spans="1:4" ht="14.4">
      <c r="A14" s="6">
        <v>10404</v>
      </c>
      <c r="B14" s="7" t="s">
        <v>36</v>
      </c>
      <c r="C14" s="48">
        <v>0</v>
      </c>
      <c r="D14" s="48">
        <v>1</v>
      </c>
    </row>
    <row r="15" spans="1:4" ht="14.4">
      <c r="A15" s="6">
        <v>10405</v>
      </c>
      <c r="B15" s="7" t="s">
        <v>37</v>
      </c>
      <c r="C15" s="48">
        <v>2</v>
      </c>
      <c r="D15" s="48">
        <v>4</v>
      </c>
    </row>
    <row r="16" spans="1:4" ht="14.4">
      <c r="A16" s="6">
        <v>10501</v>
      </c>
      <c r="B16" s="7" t="s">
        <v>39</v>
      </c>
      <c r="C16" s="48">
        <v>17</v>
      </c>
      <c r="D16" s="48">
        <v>10</v>
      </c>
    </row>
    <row r="17" spans="1:4" ht="14.4">
      <c r="A17" s="6">
        <v>10502</v>
      </c>
      <c r="B17" s="7" t="s">
        <v>40</v>
      </c>
      <c r="C17" s="48">
        <v>2</v>
      </c>
      <c r="D17" s="48">
        <v>4</v>
      </c>
    </row>
    <row r="18" spans="1:4" ht="14.4">
      <c r="A18" s="6">
        <v>10601</v>
      </c>
      <c r="B18" s="7" t="s">
        <v>42</v>
      </c>
      <c r="C18" s="48">
        <v>13</v>
      </c>
      <c r="D18" s="48">
        <v>13</v>
      </c>
    </row>
    <row r="19" spans="1:4" ht="14.4">
      <c r="A19" s="6">
        <v>10602</v>
      </c>
      <c r="B19" s="7" t="s">
        <v>41</v>
      </c>
      <c r="C19" s="48">
        <v>2</v>
      </c>
      <c r="D19" s="48">
        <v>4</v>
      </c>
    </row>
    <row r="20" spans="1:4" ht="14.4">
      <c r="A20" s="6">
        <v>10701</v>
      </c>
      <c r="B20" s="7" t="s">
        <v>44</v>
      </c>
      <c r="C20" s="48">
        <v>3</v>
      </c>
      <c r="D20" s="48">
        <v>11</v>
      </c>
    </row>
    <row r="21" spans="1:4" ht="15.75" customHeight="1">
      <c r="A21" s="6">
        <v>10702</v>
      </c>
      <c r="B21" s="7" t="s">
        <v>45</v>
      </c>
      <c r="C21" s="48">
        <v>22</v>
      </c>
      <c r="D21" s="48">
        <v>31</v>
      </c>
    </row>
    <row r="22" spans="1:4" ht="15.75" customHeight="1">
      <c r="A22" s="6">
        <v>10703</v>
      </c>
      <c r="B22" s="7" t="s">
        <v>46</v>
      </c>
      <c r="C22" s="48">
        <v>9</v>
      </c>
      <c r="D22" s="48">
        <v>16</v>
      </c>
    </row>
    <row r="23" spans="1:4" ht="15.75" customHeight="1">
      <c r="A23" s="6">
        <v>10704</v>
      </c>
      <c r="B23" s="7" t="s">
        <v>47</v>
      </c>
      <c r="C23" s="48">
        <v>17</v>
      </c>
      <c r="D23" s="48">
        <v>9</v>
      </c>
    </row>
    <row r="24" spans="1:4" ht="15.75" customHeight="1">
      <c r="A24" s="6">
        <v>10801</v>
      </c>
      <c r="B24" s="7" t="s">
        <v>49</v>
      </c>
      <c r="C24" s="48">
        <v>1</v>
      </c>
      <c r="D24" s="48">
        <v>5</v>
      </c>
    </row>
    <row r="25" spans="1:4" ht="15.75" customHeight="1">
      <c r="A25" s="6">
        <v>10901</v>
      </c>
      <c r="B25" s="7" t="s">
        <v>51</v>
      </c>
      <c r="C25" s="48">
        <v>1</v>
      </c>
      <c r="D25" s="48">
        <v>2</v>
      </c>
    </row>
    <row r="26" spans="1:4" ht="15.75" customHeight="1">
      <c r="A26" s="6">
        <v>10902</v>
      </c>
      <c r="B26" s="7" t="s">
        <v>52</v>
      </c>
      <c r="C26" s="48">
        <v>7</v>
      </c>
      <c r="D26" s="48">
        <v>17</v>
      </c>
    </row>
    <row r="27" spans="1:4" ht="15.75" customHeight="1">
      <c r="A27" s="6">
        <v>10903</v>
      </c>
      <c r="B27" s="7" t="s">
        <v>53</v>
      </c>
      <c r="C27" s="48">
        <v>1</v>
      </c>
      <c r="D27" s="48">
        <v>1</v>
      </c>
    </row>
    <row r="28" spans="1:4" ht="15.75" customHeight="1">
      <c r="A28" s="6">
        <v>11001</v>
      </c>
      <c r="B28" s="7" t="s">
        <v>55</v>
      </c>
      <c r="C28" s="48">
        <v>4</v>
      </c>
      <c r="D28" s="48">
        <v>4</v>
      </c>
    </row>
    <row r="29" spans="1:4" ht="15.75" customHeight="1">
      <c r="A29" s="6">
        <v>11002</v>
      </c>
      <c r="B29" s="7" t="s">
        <v>56</v>
      </c>
      <c r="C29" s="48">
        <v>1</v>
      </c>
      <c r="D29" s="48">
        <v>3</v>
      </c>
    </row>
    <row r="30" spans="1:4" ht="15.75" customHeight="1">
      <c r="A30" s="6">
        <v>11003</v>
      </c>
      <c r="B30" s="7" t="s">
        <v>57</v>
      </c>
      <c r="C30" s="48">
        <v>1</v>
      </c>
      <c r="D30" s="48">
        <v>8</v>
      </c>
    </row>
    <row r="31" spans="1:4" ht="15.75" customHeight="1">
      <c r="A31" s="6">
        <v>20101</v>
      </c>
      <c r="B31" s="7" t="s">
        <v>59</v>
      </c>
      <c r="C31" s="48">
        <v>398</v>
      </c>
      <c r="D31" s="48">
        <v>380</v>
      </c>
    </row>
    <row r="32" spans="1:4" ht="15.75" customHeight="1">
      <c r="A32" s="6">
        <v>20102</v>
      </c>
      <c r="B32" s="7" t="s">
        <v>60</v>
      </c>
      <c r="C32" s="48">
        <v>23</v>
      </c>
      <c r="D32" s="48">
        <v>28</v>
      </c>
    </row>
    <row r="33" spans="1:4" ht="15.75" customHeight="1">
      <c r="A33" s="6">
        <v>20103</v>
      </c>
      <c r="B33" s="7" t="s">
        <v>61</v>
      </c>
      <c r="C33" s="48">
        <v>12</v>
      </c>
      <c r="D33" s="48">
        <v>14</v>
      </c>
    </row>
    <row r="34" spans="1:4" ht="15.75" customHeight="1">
      <c r="A34" s="6">
        <v>20104</v>
      </c>
      <c r="B34" s="7" t="s">
        <v>62</v>
      </c>
      <c r="C34" s="48">
        <v>24</v>
      </c>
      <c r="D34" s="48">
        <v>40</v>
      </c>
    </row>
    <row r="35" spans="1:4" ht="15.75" customHeight="1">
      <c r="A35" s="6">
        <v>20105</v>
      </c>
      <c r="B35" s="7" t="s">
        <v>63</v>
      </c>
      <c r="C35" s="48">
        <v>575</v>
      </c>
      <c r="D35" s="48">
        <v>794</v>
      </c>
    </row>
    <row r="36" spans="1:4" ht="15.75" customHeight="1">
      <c r="A36" s="6">
        <v>20201</v>
      </c>
      <c r="B36" s="7" t="s">
        <v>65</v>
      </c>
      <c r="C36" s="48">
        <v>3</v>
      </c>
      <c r="D36" s="48">
        <v>43</v>
      </c>
    </row>
    <row r="37" spans="1:4" ht="15.75" customHeight="1">
      <c r="A37" s="6">
        <v>20202</v>
      </c>
      <c r="B37" s="7" t="s">
        <v>66</v>
      </c>
      <c r="C37" s="48">
        <v>7</v>
      </c>
      <c r="D37" s="48">
        <v>11</v>
      </c>
    </row>
    <row r="38" spans="1:4" ht="15.75" customHeight="1">
      <c r="A38" s="6">
        <v>20203</v>
      </c>
      <c r="B38" s="7" t="s">
        <v>67</v>
      </c>
      <c r="C38" s="48">
        <v>2</v>
      </c>
      <c r="D38" s="48">
        <v>7</v>
      </c>
    </row>
    <row r="39" spans="1:4" ht="15.75" customHeight="1">
      <c r="A39" s="6">
        <v>20204</v>
      </c>
      <c r="B39" s="7" t="s">
        <v>68</v>
      </c>
      <c r="C39" s="48">
        <v>3</v>
      </c>
      <c r="D39" s="48">
        <v>8</v>
      </c>
    </row>
    <row r="40" spans="1:4" ht="15.75" customHeight="1">
      <c r="A40" s="6">
        <v>20205</v>
      </c>
      <c r="B40" s="7" t="s">
        <v>69</v>
      </c>
      <c r="C40" s="48">
        <v>4</v>
      </c>
      <c r="D40" s="48">
        <v>6</v>
      </c>
    </row>
    <row r="41" spans="1:4" ht="15.75" customHeight="1">
      <c r="A41" s="6">
        <v>20206</v>
      </c>
      <c r="B41" s="7" t="s">
        <v>70</v>
      </c>
      <c r="C41" s="48">
        <v>0</v>
      </c>
      <c r="D41" s="48">
        <v>3</v>
      </c>
    </row>
    <row r="42" spans="1:4" ht="15.75" customHeight="1">
      <c r="A42" s="6">
        <v>20301</v>
      </c>
      <c r="B42" s="7" t="s">
        <v>72</v>
      </c>
      <c r="C42" s="48">
        <v>2</v>
      </c>
      <c r="D42" s="48">
        <v>17</v>
      </c>
    </row>
    <row r="43" spans="1:4" ht="15.75" customHeight="1">
      <c r="A43" s="6">
        <v>20302</v>
      </c>
      <c r="B43" s="7" t="s">
        <v>73</v>
      </c>
      <c r="C43" s="48">
        <v>4</v>
      </c>
      <c r="D43" s="48">
        <v>12</v>
      </c>
    </row>
    <row r="44" spans="1:4" ht="15.75" customHeight="1">
      <c r="A44" s="6">
        <v>20303</v>
      </c>
      <c r="B44" s="7" t="s">
        <v>74</v>
      </c>
      <c r="C44" s="48">
        <v>0</v>
      </c>
      <c r="D44" s="48">
        <v>11</v>
      </c>
    </row>
    <row r="45" spans="1:4" ht="15.75" customHeight="1">
      <c r="A45" s="6">
        <v>20304</v>
      </c>
      <c r="B45" s="7" t="s">
        <v>75</v>
      </c>
      <c r="C45" s="48">
        <v>0</v>
      </c>
      <c r="D45" s="48">
        <v>4</v>
      </c>
    </row>
    <row r="46" spans="1:4" ht="15.75" customHeight="1">
      <c r="A46" s="6">
        <v>20305</v>
      </c>
      <c r="B46" s="7" t="s">
        <v>76</v>
      </c>
      <c r="C46" s="48">
        <v>0</v>
      </c>
      <c r="D46" s="48">
        <v>6</v>
      </c>
    </row>
    <row r="47" spans="1:4" ht="15.75" customHeight="1">
      <c r="A47" s="6">
        <v>20306</v>
      </c>
      <c r="B47" s="7" t="s">
        <v>77</v>
      </c>
      <c r="C47" s="48">
        <v>2</v>
      </c>
      <c r="D47" s="48">
        <v>7</v>
      </c>
    </row>
    <row r="48" spans="1:4" ht="15.75" customHeight="1">
      <c r="A48" s="6">
        <v>20307</v>
      </c>
      <c r="B48" s="7" t="s">
        <v>78</v>
      </c>
      <c r="C48" s="48">
        <v>0</v>
      </c>
      <c r="D48" s="48">
        <v>1</v>
      </c>
    </row>
    <row r="49" spans="1:4" ht="15.75" customHeight="1">
      <c r="A49" s="6">
        <v>20308</v>
      </c>
      <c r="B49" s="7" t="s">
        <v>79</v>
      </c>
      <c r="C49" s="48">
        <v>0</v>
      </c>
      <c r="D49" s="48">
        <v>3</v>
      </c>
    </row>
    <row r="50" spans="1:4" ht="15.75" customHeight="1">
      <c r="A50" s="6">
        <v>20401</v>
      </c>
      <c r="B50" s="7" t="s">
        <v>81</v>
      </c>
      <c r="C50" s="48">
        <v>6</v>
      </c>
      <c r="D50" s="48">
        <v>10</v>
      </c>
    </row>
    <row r="51" spans="1:4" ht="15.75" customHeight="1">
      <c r="A51" s="6">
        <v>20402</v>
      </c>
      <c r="B51" s="7" t="s">
        <v>82</v>
      </c>
      <c r="C51" s="48">
        <v>14</v>
      </c>
      <c r="D51" s="48">
        <v>11</v>
      </c>
    </row>
    <row r="52" spans="1:4" ht="15.75" customHeight="1">
      <c r="A52" s="6">
        <v>20403</v>
      </c>
      <c r="B52" s="7" t="s">
        <v>83</v>
      </c>
      <c r="C52" s="48">
        <v>14</v>
      </c>
      <c r="D52" s="48">
        <v>17</v>
      </c>
    </row>
    <row r="53" spans="1:4" ht="15.75" customHeight="1">
      <c r="A53" s="6">
        <v>20404</v>
      </c>
      <c r="B53" s="7" t="s">
        <v>84</v>
      </c>
      <c r="C53" s="48">
        <v>9</v>
      </c>
      <c r="D53" s="48">
        <v>2</v>
      </c>
    </row>
    <row r="54" spans="1:4" ht="15.75" customHeight="1">
      <c r="A54" s="6">
        <v>20405</v>
      </c>
      <c r="B54" s="7" t="s">
        <v>85</v>
      </c>
      <c r="C54" s="48">
        <v>3</v>
      </c>
      <c r="D54" s="48">
        <v>6</v>
      </c>
    </row>
    <row r="55" spans="1:4" ht="15.75" customHeight="1">
      <c r="A55" s="6">
        <v>20501</v>
      </c>
      <c r="B55" s="7" t="s">
        <v>87</v>
      </c>
      <c r="C55" s="48">
        <v>7</v>
      </c>
      <c r="D55" s="48">
        <v>8</v>
      </c>
    </row>
    <row r="56" spans="1:4" ht="15.75" customHeight="1">
      <c r="A56" s="6">
        <v>20502</v>
      </c>
      <c r="B56" s="7" t="s">
        <v>88</v>
      </c>
      <c r="C56" s="48">
        <v>10</v>
      </c>
      <c r="D56" s="48">
        <v>3</v>
      </c>
    </row>
    <row r="57" spans="1:4" ht="15.75" customHeight="1">
      <c r="A57" s="6">
        <v>20503</v>
      </c>
      <c r="B57" s="7" t="s">
        <v>89</v>
      </c>
      <c r="C57" s="48">
        <v>4</v>
      </c>
      <c r="D57" s="48">
        <v>4</v>
      </c>
    </row>
    <row r="58" spans="1:4" ht="15.75" customHeight="1">
      <c r="A58" s="6">
        <v>20601</v>
      </c>
      <c r="B58" s="7" t="s">
        <v>91</v>
      </c>
      <c r="C58" s="48">
        <v>20</v>
      </c>
      <c r="D58" s="48">
        <v>23</v>
      </c>
    </row>
    <row r="59" spans="1:4" ht="15.75" customHeight="1">
      <c r="A59" s="6">
        <v>20602</v>
      </c>
      <c r="B59" s="7" t="s">
        <v>92</v>
      </c>
      <c r="C59" s="48">
        <v>25</v>
      </c>
      <c r="D59" s="48">
        <v>23</v>
      </c>
    </row>
    <row r="60" spans="1:4" ht="15.75" customHeight="1">
      <c r="A60" s="6">
        <v>20603</v>
      </c>
      <c r="B60" s="7" t="s">
        <v>93</v>
      </c>
      <c r="C60" s="48">
        <v>7</v>
      </c>
      <c r="D60" s="48">
        <v>1</v>
      </c>
    </row>
    <row r="61" spans="1:4" ht="15.75" customHeight="1">
      <c r="A61" s="6">
        <v>20604</v>
      </c>
      <c r="B61" s="7" t="s">
        <v>94</v>
      </c>
      <c r="C61" s="48">
        <v>5</v>
      </c>
      <c r="D61" s="48">
        <v>8</v>
      </c>
    </row>
    <row r="62" spans="1:4" ht="15.75" customHeight="1">
      <c r="A62" s="6">
        <v>20605</v>
      </c>
      <c r="B62" s="7" t="s">
        <v>95</v>
      </c>
      <c r="C62" s="48">
        <v>2</v>
      </c>
      <c r="D62" s="48">
        <v>2</v>
      </c>
    </row>
    <row r="63" spans="1:4" ht="15.75" customHeight="1">
      <c r="A63" s="6">
        <v>20606</v>
      </c>
      <c r="B63" s="7" t="s">
        <v>96</v>
      </c>
      <c r="C63" s="48">
        <v>13</v>
      </c>
      <c r="D63" s="48">
        <v>12</v>
      </c>
    </row>
    <row r="64" spans="1:4" ht="15.75" customHeight="1">
      <c r="A64" s="6">
        <v>20607</v>
      </c>
      <c r="B64" s="7" t="s">
        <v>97</v>
      </c>
      <c r="C64" s="48">
        <v>13</v>
      </c>
      <c r="D64" s="48">
        <v>26</v>
      </c>
    </row>
    <row r="65" spans="1:4" ht="15.75" customHeight="1">
      <c r="A65" s="6">
        <v>20608</v>
      </c>
      <c r="B65" s="7" t="s">
        <v>98</v>
      </c>
      <c r="C65" s="48">
        <v>9</v>
      </c>
      <c r="D65" s="48">
        <v>15</v>
      </c>
    </row>
    <row r="66" spans="1:4" ht="15.75" customHeight="1">
      <c r="A66" s="6">
        <v>20701</v>
      </c>
      <c r="B66" s="7" t="s">
        <v>100</v>
      </c>
      <c r="C66" s="48">
        <v>19</v>
      </c>
      <c r="D66" s="48">
        <v>31</v>
      </c>
    </row>
    <row r="67" spans="1:4" ht="15.75" customHeight="1">
      <c r="A67" s="6">
        <v>20702</v>
      </c>
      <c r="B67" s="7" t="s">
        <v>101</v>
      </c>
      <c r="C67" s="48">
        <v>7</v>
      </c>
      <c r="D67" s="48">
        <v>7</v>
      </c>
    </row>
    <row r="68" spans="1:4" ht="15.75" customHeight="1">
      <c r="A68" s="6">
        <v>20801</v>
      </c>
      <c r="B68" s="7" t="s">
        <v>103</v>
      </c>
      <c r="C68" s="48">
        <v>72</v>
      </c>
      <c r="D68" s="48">
        <v>108</v>
      </c>
    </row>
    <row r="69" spans="1:4" ht="15.75" customHeight="1">
      <c r="A69" s="6">
        <v>20802</v>
      </c>
      <c r="B69" s="7" t="s">
        <v>104</v>
      </c>
      <c r="C69" s="48">
        <v>5</v>
      </c>
      <c r="D69" s="48">
        <v>11</v>
      </c>
    </row>
    <row r="70" spans="1:4" ht="15.75" customHeight="1">
      <c r="A70" s="6">
        <v>20803</v>
      </c>
      <c r="B70" s="7" t="s">
        <v>105</v>
      </c>
      <c r="C70" s="48">
        <v>11</v>
      </c>
      <c r="D70" s="48">
        <v>8</v>
      </c>
    </row>
    <row r="71" spans="1:4" ht="15.75" customHeight="1">
      <c r="A71" s="6">
        <v>20804</v>
      </c>
      <c r="B71" s="7" t="s">
        <v>106</v>
      </c>
      <c r="C71" s="48">
        <v>7</v>
      </c>
      <c r="D71" s="48">
        <v>8</v>
      </c>
    </row>
    <row r="72" spans="1:4" ht="15.75" customHeight="1">
      <c r="A72" s="6">
        <v>20805</v>
      </c>
      <c r="B72" s="7" t="s">
        <v>107</v>
      </c>
      <c r="C72" s="48">
        <v>1</v>
      </c>
      <c r="D72" s="48">
        <v>5</v>
      </c>
    </row>
    <row r="73" spans="1:4" ht="15.75" customHeight="1">
      <c r="A73" s="6">
        <v>20806</v>
      </c>
      <c r="B73" s="7" t="s">
        <v>108</v>
      </c>
      <c r="C73" s="48">
        <v>9</v>
      </c>
      <c r="D73" s="48">
        <v>5</v>
      </c>
    </row>
    <row r="74" spans="1:4" ht="15.75" customHeight="1">
      <c r="A74" s="6">
        <v>20807</v>
      </c>
      <c r="B74" s="7" t="s">
        <v>109</v>
      </c>
      <c r="C74" s="48">
        <v>1</v>
      </c>
      <c r="D74" s="48">
        <v>2</v>
      </c>
    </row>
    <row r="75" spans="1:4" ht="15.75" customHeight="1">
      <c r="A75" s="6">
        <v>20901</v>
      </c>
      <c r="B75" s="7" t="s">
        <v>111</v>
      </c>
      <c r="C75" s="48">
        <v>9</v>
      </c>
      <c r="D75" s="48">
        <v>3</v>
      </c>
    </row>
    <row r="76" spans="1:4" ht="15.75" customHeight="1">
      <c r="A76" s="6">
        <v>20902</v>
      </c>
      <c r="B76" s="7" t="s">
        <v>112</v>
      </c>
      <c r="C76" s="48">
        <v>8</v>
      </c>
      <c r="D76" s="48">
        <v>20</v>
      </c>
    </row>
    <row r="77" spans="1:4" ht="15.75" customHeight="1">
      <c r="A77" s="6">
        <v>20903</v>
      </c>
      <c r="B77" s="7" t="s">
        <v>113</v>
      </c>
      <c r="C77" s="48">
        <v>7</v>
      </c>
      <c r="D77" s="48">
        <v>9</v>
      </c>
    </row>
    <row r="78" spans="1:4" ht="15.75" customHeight="1">
      <c r="A78" s="6">
        <v>20904</v>
      </c>
      <c r="B78" s="7" t="s">
        <v>114</v>
      </c>
      <c r="C78" s="48">
        <v>4</v>
      </c>
      <c r="D78" s="48">
        <v>1</v>
      </c>
    </row>
    <row r="79" spans="1:4" ht="15.75" customHeight="1">
      <c r="A79" s="6">
        <v>20905</v>
      </c>
      <c r="B79" s="7" t="s">
        <v>115</v>
      </c>
      <c r="C79" s="48">
        <v>17</v>
      </c>
      <c r="D79" s="48">
        <v>11</v>
      </c>
    </row>
    <row r="80" spans="1:4" ht="15.75" customHeight="1">
      <c r="A80" s="6">
        <v>21001</v>
      </c>
      <c r="B80" s="7" t="s">
        <v>116</v>
      </c>
      <c r="C80" s="48">
        <v>14</v>
      </c>
      <c r="D80" s="48">
        <v>12</v>
      </c>
    </row>
    <row r="81" spans="1:4" ht="15.75" customHeight="1">
      <c r="A81" s="6">
        <v>21002</v>
      </c>
      <c r="B81" s="7" t="s">
        <v>117</v>
      </c>
      <c r="C81" s="48">
        <v>10</v>
      </c>
      <c r="D81" s="48">
        <v>15</v>
      </c>
    </row>
    <row r="82" spans="1:4" ht="15.75" customHeight="1">
      <c r="A82" s="6">
        <v>21003</v>
      </c>
      <c r="B82" s="7" t="s">
        <v>118</v>
      </c>
      <c r="C82" s="48">
        <v>12</v>
      </c>
      <c r="D82" s="48">
        <v>15</v>
      </c>
    </row>
    <row r="83" spans="1:4" ht="15.75" customHeight="1">
      <c r="A83" s="6">
        <v>21004</v>
      </c>
      <c r="B83" s="7" t="s">
        <v>119</v>
      </c>
      <c r="C83" s="48">
        <v>21</v>
      </c>
      <c r="D83" s="48">
        <v>29</v>
      </c>
    </row>
    <row r="84" spans="1:4" ht="15.75" customHeight="1">
      <c r="A84" s="6">
        <v>21005</v>
      </c>
      <c r="B84" s="7" t="s">
        <v>120</v>
      </c>
      <c r="C84" s="48">
        <v>4</v>
      </c>
      <c r="D84" s="48">
        <v>5</v>
      </c>
    </row>
    <row r="85" spans="1:4" ht="15.75" customHeight="1">
      <c r="A85" s="6">
        <v>21006</v>
      </c>
      <c r="B85" s="7" t="s">
        <v>121</v>
      </c>
      <c r="C85" s="48">
        <v>1</v>
      </c>
      <c r="D85" s="48">
        <v>4</v>
      </c>
    </row>
    <row r="86" spans="1:4" ht="15.75" customHeight="1">
      <c r="A86" s="6">
        <v>21101</v>
      </c>
      <c r="B86" s="7" t="s">
        <v>123</v>
      </c>
      <c r="C86" s="48">
        <v>12</v>
      </c>
      <c r="D86" s="48">
        <v>29</v>
      </c>
    </row>
    <row r="87" spans="1:4" ht="15.75" customHeight="1">
      <c r="A87" s="6">
        <v>21102</v>
      </c>
      <c r="B87" s="7" t="s">
        <v>124</v>
      </c>
      <c r="C87" s="48">
        <v>10</v>
      </c>
      <c r="D87" s="48">
        <v>23</v>
      </c>
    </row>
    <row r="88" spans="1:4" ht="15.75" customHeight="1">
      <c r="A88" s="6">
        <v>21103</v>
      </c>
      <c r="B88" s="7" t="s">
        <v>125</v>
      </c>
      <c r="C88" s="48">
        <v>5</v>
      </c>
      <c r="D88" s="48">
        <v>3</v>
      </c>
    </row>
    <row r="89" spans="1:4" ht="15.75" customHeight="1">
      <c r="A89" s="6">
        <v>21104</v>
      </c>
      <c r="B89" s="7" t="s">
        <v>126</v>
      </c>
      <c r="C89" s="48">
        <v>17</v>
      </c>
      <c r="D89" s="48">
        <v>30</v>
      </c>
    </row>
    <row r="90" spans="1:4" ht="15.75" customHeight="1">
      <c r="A90" s="6">
        <v>21105</v>
      </c>
      <c r="B90" s="7" t="s">
        <v>127</v>
      </c>
      <c r="C90" s="48">
        <v>42</v>
      </c>
      <c r="D90" s="48">
        <v>59</v>
      </c>
    </row>
    <row r="91" spans="1:4" ht="15.75" customHeight="1">
      <c r="A91" s="6">
        <v>21201</v>
      </c>
      <c r="B91" s="7" t="s">
        <v>129</v>
      </c>
      <c r="C91" s="48">
        <v>32</v>
      </c>
      <c r="D91" s="48">
        <v>44</v>
      </c>
    </row>
    <row r="92" spans="1:4" ht="15.75" customHeight="1">
      <c r="A92" s="6">
        <v>21202</v>
      </c>
      <c r="B92" s="7" t="s">
        <v>130</v>
      </c>
      <c r="C92" s="48">
        <v>18</v>
      </c>
      <c r="D92" s="48">
        <v>28</v>
      </c>
    </row>
    <row r="93" spans="1:4" ht="15.75" customHeight="1">
      <c r="A93" s="6">
        <v>21203</v>
      </c>
      <c r="B93" s="7" t="s">
        <v>131</v>
      </c>
      <c r="C93" s="48">
        <v>6</v>
      </c>
      <c r="D93" s="48">
        <v>20</v>
      </c>
    </row>
    <row r="94" spans="1:4" ht="15.75" customHeight="1">
      <c r="A94" s="6">
        <v>21204</v>
      </c>
      <c r="B94" s="7" t="s">
        <v>132</v>
      </c>
      <c r="C94" s="48">
        <v>9</v>
      </c>
      <c r="D94" s="48">
        <v>3</v>
      </c>
    </row>
    <row r="95" spans="1:4" ht="15.75" customHeight="1">
      <c r="A95" s="6">
        <v>21301</v>
      </c>
      <c r="B95" s="7" t="s">
        <v>134</v>
      </c>
      <c r="C95" s="48">
        <v>28</v>
      </c>
      <c r="D95" s="48">
        <v>31</v>
      </c>
    </row>
    <row r="96" spans="1:4" ht="15.75" customHeight="1">
      <c r="A96" s="6">
        <v>21302</v>
      </c>
      <c r="B96" s="7" t="s">
        <v>135</v>
      </c>
      <c r="C96" s="48">
        <v>6</v>
      </c>
      <c r="D96" s="48">
        <v>6</v>
      </c>
    </row>
    <row r="97" spans="1:4" ht="15.75" customHeight="1">
      <c r="A97" s="6">
        <v>21303</v>
      </c>
      <c r="B97" s="7" t="s">
        <v>136</v>
      </c>
      <c r="C97" s="48">
        <v>3</v>
      </c>
      <c r="D97" s="48">
        <v>21</v>
      </c>
    </row>
    <row r="98" spans="1:4" ht="15.75" customHeight="1">
      <c r="A98" s="6">
        <v>21304</v>
      </c>
      <c r="B98" s="7" t="s">
        <v>137</v>
      </c>
      <c r="C98" s="48">
        <v>4</v>
      </c>
      <c r="D98" s="48">
        <v>7</v>
      </c>
    </row>
    <row r="99" spans="1:4" ht="15.75" customHeight="1">
      <c r="A99" s="6">
        <v>21305</v>
      </c>
      <c r="B99" s="7" t="s">
        <v>138</v>
      </c>
      <c r="C99" s="48">
        <v>6</v>
      </c>
      <c r="D99" s="48">
        <v>31</v>
      </c>
    </row>
    <row r="100" spans="1:4" ht="15.75" customHeight="1">
      <c r="A100" s="6">
        <v>21306</v>
      </c>
      <c r="B100" s="7" t="s">
        <v>139</v>
      </c>
      <c r="C100" s="48">
        <v>2</v>
      </c>
      <c r="D100" s="48">
        <v>18</v>
      </c>
    </row>
    <row r="101" spans="1:4" ht="15.75" customHeight="1">
      <c r="A101" s="6">
        <v>21307</v>
      </c>
      <c r="B101" s="7" t="s">
        <v>140</v>
      </c>
      <c r="C101" s="48">
        <v>0</v>
      </c>
      <c r="D101" s="48">
        <v>5</v>
      </c>
    </row>
    <row r="102" spans="1:4" ht="15.75" customHeight="1">
      <c r="A102" s="6">
        <v>21401</v>
      </c>
      <c r="B102" s="7" t="s">
        <v>142</v>
      </c>
      <c r="C102" s="48">
        <v>5</v>
      </c>
      <c r="D102" s="48">
        <v>21</v>
      </c>
    </row>
    <row r="103" spans="1:4" ht="15.75" customHeight="1">
      <c r="A103" s="6">
        <v>21402</v>
      </c>
      <c r="B103" s="7" t="s">
        <v>143</v>
      </c>
      <c r="C103" s="48">
        <v>10</v>
      </c>
      <c r="D103" s="48">
        <v>17</v>
      </c>
    </row>
    <row r="104" spans="1:4" ht="15.75" customHeight="1">
      <c r="A104" s="6">
        <v>21501</v>
      </c>
      <c r="B104" s="7" t="s">
        <v>145</v>
      </c>
      <c r="C104" s="48">
        <v>2</v>
      </c>
      <c r="D104" s="48">
        <v>16</v>
      </c>
    </row>
    <row r="105" spans="1:4" ht="15.75" customHeight="1">
      <c r="A105" s="6">
        <v>21502</v>
      </c>
      <c r="B105" s="7" t="s">
        <v>146</v>
      </c>
      <c r="C105" s="48">
        <v>2</v>
      </c>
      <c r="D105" s="48">
        <v>18</v>
      </c>
    </row>
    <row r="106" spans="1:4" ht="15.75" customHeight="1">
      <c r="A106" s="6">
        <v>21601</v>
      </c>
      <c r="B106" s="7" t="s">
        <v>148</v>
      </c>
      <c r="C106" s="48">
        <v>6</v>
      </c>
      <c r="D106" s="48">
        <v>10</v>
      </c>
    </row>
    <row r="107" spans="1:4" ht="15.75" customHeight="1">
      <c r="A107" s="6">
        <v>21602</v>
      </c>
      <c r="B107" s="7" t="s">
        <v>149</v>
      </c>
      <c r="C107" s="48">
        <v>1</v>
      </c>
      <c r="D107" s="48">
        <v>4</v>
      </c>
    </row>
    <row r="108" spans="1:4" ht="15.75" customHeight="1">
      <c r="A108" s="6">
        <v>21701</v>
      </c>
      <c r="B108" s="7" t="s">
        <v>151</v>
      </c>
      <c r="C108" s="48">
        <v>5</v>
      </c>
      <c r="D108" s="48">
        <v>9</v>
      </c>
    </row>
    <row r="109" spans="1:4" ht="15.75" customHeight="1">
      <c r="A109" s="6">
        <v>21702</v>
      </c>
      <c r="B109" s="7" t="s">
        <v>152</v>
      </c>
      <c r="C109" s="48">
        <v>0</v>
      </c>
      <c r="D109" s="48">
        <v>10</v>
      </c>
    </row>
    <row r="110" spans="1:4" ht="15.75" customHeight="1">
      <c r="A110" s="6">
        <v>21703</v>
      </c>
      <c r="B110" s="7" t="s">
        <v>153</v>
      </c>
      <c r="C110" s="48">
        <v>0</v>
      </c>
      <c r="D110" s="48">
        <v>0</v>
      </c>
    </row>
    <row r="111" spans="1:4" ht="15.75" customHeight="1">
      <c r="A111" s="6">
        <v>21801</v>
      </c>
      <c r="B111" s="7" t="s">
        <v>155</v>
      </c>
      <c r="C111" s="48">
        <v>1</v>
      </c>
      <c r="D111" s="48">
        <v>7</v>
      </c>
    </row>
    <row r="112" spans="1:4" ht="15.75" customHeight="1">
      <c r="A112" s="6">
        <v>21802</v>
      </c>
      <c r="B112" s="7" t="s">
        <v>157</v>
      </c>
      <c r="C112" s="48">
        <v>1</v>
      </c>
      <c r="D112" s="48">
        <v>6</v>
      </c>
    </row>
    <row r="113" spans="1:4" ht="15.75" customHeight="1">
      <c r="A113" s="6">
        <v>21803</v>
      </c>
      <c r="B113" s="7" t="s">
        <v>158</v>
      </c>
      <c r="C113" s="48">
        <v>0</v>
      </c>
      <c r="D113" s="48">
        <v>0</v>
      </c>
    </row>
    <row r="114" spans="1:4" ht="15.75" customHeight="1">
      <c r="A114" s="6">
        <v>21901</v>
      </c>
      <c r="B114" s="7" t="s">
        <v>160</v>
      </c>
      <c r="C114" s="48">
        <v>0</v>
      </c>
      <c r="D114" s="48">
        <v>11</v>
      </c>
    </row>
    <row r="115" spans="1:4" ht="15.75" customHeight="1">
      <c r="A115" s="6">
        <v>21902</v>
      </c>
      <c r="B115" s="7" t="s">
        <v>161</v>
      </c>
      <c r="C115" s="48">
        <v>0</v>
      </c>
      <c r="D115" s="48">
        <v>1</v>
      </c>
    </row>
    <row r="116" spans="1:4" ht="15.75" customHeight="1">
      <c r="A116" s="6">
        <v>22001</v>
      </c>
      <c r="B116" s="7" t="s">
        <v>162</v>
      </c>
      <c r="C116" s="48">
        <v>20</v>
      </c>
      <c r="D116" s="48">
        <v>43</v>
      </c>
    </row>
    <row r="117" spans="1:4" ht="15.75" customHeight="1">
      <c r="A117" s="6">
        <v>22002</v>
      </c>
      <c r="B117" s="7" t="s">
        <v>163</v>
      </c>
      <c r="C117" s="48">
        <v>13</v>
      </c>
      <c r="D117" s="48">
        <v>13</v>
      </c>
    </row>
    <row r="118" spans="1:4" ht="15.75" customHeight="1">
      <c r="A118" s="6">
        <v>30101</v>
      </c>
      <c r="B118" s="7" t="s">
        <v>17</v>
      </c>
      <c r="C118" s="48">
        <v>288</v>
      </c>
      <c r="D118" s="48">
        <v>307</v>
      </c>
    </row>
    <row r="119" spans="1:4" ht="15.75" customHeight="1">
      <c r="A119" s="6">
        <v>30201</v>
      </c>
      <c r="B119" s="7" t="s">
        <v>166</v>
      </c>
      <c r="C119" s="48">
        <v>14</v>
      </c>
      <c r="D119" s="48">
        <v>8</v>
      </c>
    </row>
    <row r="120" spans="1:4" ht="15.75" customHeight="1">
      <c r="A120" s="6">
        <v>30202</v>
      </c>
      <c r="B120" s="7" t="s">
        <v>167</v>
      </c>
      <c r="C120" s="48">
        <v>0</v>
      </c>
      <c r="D120" s="48">
        <v>1</v>
      </c>
    </row>
    <row r="121" spans="1:4" ht="15.75" customHeight="1">
      <c r="A121" s="6">
        <v>30203</v>
      </c>
      <c r="B121" s="7" t="s">
        <v>168</v>
      </c>
      <c r="C121" s="48">
        <v>3</v>
      </c>
      <c r="D121" s="48">
        <v>1</v>
      </c>
    </row>
    <row r="122" spans="1:4" ht="15.75" customHeight="1">
      <c r="A122" s="6">
        <v>30301</v>
      </c>
      <c r="B122" s="7" t="s">
        <v>170</v>
      </c>
      <c r="C122" s="48">
        <v>41</v>
      </c>
      <c r="D122" s="48">
        <v>28</v>
      </c>
    </row>
    <row r="123" spans="1:4" ht="15.75" customHeight="1">
      <c r="A123" s="6">
        <v>30302</v>
      </c>
      <c r="B123" s="7" t="s">
        <v>171</v>
      </c>
      <c r="C123" s="48">
        <v>18</v>
      </c>
      <c r="D123" s="48">
        <v>13</v>
      </c>
    </row>
    <row r="124" spans="1:4" ht="15.75" customHeight="1">
      <c r="A124" s="6">
        <v>30303</v>
      </c>
      <c r="B124" s="7" t="s">
        <v>172</v>
      </c>
      <c r="C124" s="48">
        <v>29</v>
      </c>
      <c r="D124" s="48">
        <v>42</v>
      </c>
    </row>
    <row r="125" spans="1:4" ht="15.75" customHeight="1">
      <c r="A125" s="6">
        <v>30401</v>
      </c>
      <c r="B125" s="7" t="s">
        <v>174</v>
      </c>
      <c r="C125" s="48">
        <v>8</v>
      </c>
      <c r="D125" s="48">
        <v>11</v>
      </c>
    </row>
    <row r="126" spans="1:4" ht="15.75" customHeight="1">
      <c r="A126" s="6">
        <v>30402</v>
      </c>
      <c r="B126" s="7" t="s">
        <v>175</v>
      </c>
      <c r="C126" s="48">
        <v>3</v>
      </c>
      <c r="D126" s="48">
        <v>8</v>
      </c>
    </row>
    <row r="127" spans="1:4" ht="15.75" customHeight="1">
      <c r="A127" s="6">
        <v>30403</v>
      </c>
      <c r="B127" s="7" t="s">
        <v>176</v>
      </c>
      <c r="C127" s="48">
        <v>26</v>
      </c>
      <c r="D127" s="48">
        <v>22</v>
      </c>
    </row>
    <row r="128" spans="1:4" ht="15.75" customHeight="1">
      <c r="A128" s="6">
        <v>30404</v>
      </c>
      <c r="B128" s="7" t="s">
        <v>177</v>
      </c>
      <c r="C128" s="48">
        <v>0</v>
      </c>
      <c r="D128" s="48">
        <v>7</v>
      </c>
    </row>
    <row r="129" spans="1:4" ht="15.75" customHeight="1">
      <c r="A129" s="6">
        <v>30501</v>
      </c>
      <c r="B129" s="7" t="s">
        <v>178</v>
      </c>
      <c r="C129" s="48">
        <v>12</v>
      </c>
      <c r="D129" s="48">
        <v>11</v>
      </c>
    </row>
    <row r="130" spans="1:4" ht="15.75" customHeight="1">
      <c r="A130" s="6">
        <v>30502</v>
      </c>
      <c r="B130" s="7" t="s">
        <v>179</v>
      </c>
      <c r="C130" s="48">
        <v>4</v>
      </c>
      <c r="D130" s="48">
        <v>9</v>
      </c>
    </row>
    <row r="131" spans="1:4" ht="15.75" customHeight="1">
      <c r="A131" s="6">
        <v>30601</v>
      </c>
      <c r="B131" s="7" t="s">
        <v>180</v>
      </c>
      <c r="C131" s="48">
        <v>18</v>
      </c>
      <c r="D131" s="48">
        <v>19</v>
      </c>
    </row>
    <row r="132" spans="1:4" ht="15.75" customHeight="1">
      <c r="A132" s="6">
        <v>30602</v>
      </c>
      <c r="B132" s="7" t="s">
        <v>181</v>
      </c>
      <c r="C132" s="48">
        <v>10</v>
      </c>
      <c r="D132" s="48">
        <v>13</v>
      </c>
    </row>
    <row r="133" spans="1:4" ht="15.75" customHeight="1">
      <c r="A133" s="6">
        <v>30701</v>
      </c>
      <c r="B133" s="7" t="s">
        <v>182</v>
      </c>
      <c r="C133" s="48">
        <v>6</v>
      </c>
      <c r="D133" s="48">
        <v>19</v>
      </c>
    </row>
    <row r="134" spans="1:4" ht="15.75" customHeight="1">
      <c r="A134" s="6">
        <v>30702</v>
      </c>
      <c r="B134" s="7" t="s">
        <v>183</v>
      </c>
      <c r="C134" s="48">
        <v>3</v>
      </c>
      <c r="D134" s="48">
        <v>5</v>
      </c>
    </row>
    <row r="135" spans="1:4" ht="15.75" customHeight="1">
      <c r="A135" s="6">
        <v>30703</v>
      </c>
      <c r="B135" s="7" t="s">
        <v>184</v>
      </c>
      <c r="C135" s="48">
        <v>8</v>
      </c>
      <c r="D135" s="48">
        <v>3</v>
      </c>
    </row>
    <row r="136" spans="1:4" ht="15.75" customHeight="1">
      <c r="A136" s="6">
        <v>30801</v>
      </c>
      <c r="B136" s="7" t="s">
        <v>186</v>
      </c>
      <c r="C136" s="48">
        <v>8</v>
      </c>
      <c r="D136" s="48">
        <v>7</v>
      </c>
    </row>
    <row r="137" spans="1:4" ht="15.75" customHeight="1">
      <c r="A137" s="6">
        <v>30802</v>
      </c>
      <c r="B137" s="7" t="s">
        <v>187</v>
      </c>
      <c r="C137" s="48">
        <v>3</v>
      </c>
      <c r="D137" s="48">
        <v>7</v>
      </c>
    </row>
    <row r="138" spans="1:4" ht="15.75" customHeight="1">
      <c r="A138" s="6">
        <v>30803</v>
      </c>
      <c r="B138" s="7" t="s">
        <v>188</v>
      </c>
      <c r="C138" s="48">
        <v>4</v>
      </c>
      <c r="D138" s="48">
        <v>10</v>
      </c>
    </row>
    <row r="139" spans="1:4" ht="15.75" customHeight="1">
      <c r="A139" s="6">
        <v>30901</v>
      </c>
      <c r="B139" s="7" t="s">
        <v>189</v>
      </c>
      <c r="C139" s="48">
        <v>26</v>
      </c>
      <c r="D139" s="48">
        <v>75</v>
      </c>
    </row>
    <row r="140" spans="1:4" ht="15.75" customHeight="1">
      <c r="A140" s="6">
        <v>30902</v>
      </c>
      <c r="B140" s="7" t="s">
        <v>190</v>
      </c>
      <c r="C140" s="48">
        <v>17</v>
      </c>
      <c r="D140" s="48">
        <v>47</v>
      </c>
    </row>
    <row r="141" spans="1:4" ht="15.75" customHeight="1">
      <c r="A141" s="6">
        <v>30903</v>
      </c>
      <c r="B141" s="7" t="s">
        <v>191</v>
      </c>
      <c r="C141" s="48">
        <v>10</v>
      </c>
      <c r="D141" s="48">
        <v>31</v>
      </c>
    </row>
    <row r="142" spans="1:4" ht="15.75" customHeight="1">
      <c r="A142" s="6">
        <v>30904</v>
      </c>
      <c r="B142" s="7" t="s">
        <v>192</v>
      </c>
      <c r="C142" s="48">
        <v>16</v>
      </c>
      <c r="D142" s="48">
        <v>28</v>
      </c>
    </row>
    <row r="143" spans="1:4" ht="15.75" customHeight="1">
      <c r="A143" s="6">
        <v>30905</v>
      </c>
      <c r="B143" s="7" t="s">
        <v>193</v>
      </c>
      <c r="C143" s="48">
        <v>9</v>
      </c>
      <c r="D143" s="48">
        <v>25</v>
      </c>
    </row>
    <row r="144" spans="1:4" ht="15.75" customHeight="1">
      <c r="A144" s="6">
        <v>31001</v>
      </c>
      <c r="B144" s="7" t="s">
        <v>195</v>
      </c>
      <c r="C144" s="48">
        <v>82</v>
      </c>
      <c r="D144" s="48">
        <v>115</v>
      </c>
    </row>
    <row r="145" spans="1:4" ht="15.75" customHeight="1">
      <c r="A145" s="6">
        <v>31002</v>
      </c>
      <c r="B145" s="7" t="s">
        <v>196</v>
      </c>
      <c r="C145" s="48">
        <v>16</v>
      </c>
      <c r="D145" s="48">
        <v>24</v>
      </c>
    </row>
    <row r="146" spans="1:4" ht="15.75" customHeight="1">
      <c r="A146" s="6">
        <v>31003</v>
      </c>
      <c r="B146" s="7" t="s">
        <v>197</v>
      </c>
      <c r="C146" s="48">
        <v>62</v>
      </c>
      <c r="D146" s="48">
        <v>125</v>
      </c>
    </row>
    <row r="147" spans="1:4" ht="15.75" customHeight="1">
      <c r="A147" s="6">
        <v>31101</v>
      </c>
      <c r="B147" s="7" t="s">
        <v>198</v>
      </c>
      <c r="C147" s="48">
        <v>27</v>
      </c>
      <c r="D147" s="48">
        <v>46</v>
      </c>
    </row>
    <row r="148" spans="1:4" ht="15.75" customHeight="1">
      <c r="A148" s="6">
        <v>31201</v>
      </c>
      <c r="B148" s="7" t="s">
        <v>200</v>
      </c>
      <c r="C148" s="48">
        <v>14</v>
      </c>
      <c r="D148" s="48">
        <v>15</v>
      </c>
    </row>
    <row r="149" spans="1:4" ht="15.75" customHeight="1">
      <c r="A149" s="6">
        <v>31202</v>
      </c>
      <c r="B149" s="7" t="s">
        <v>201</v>
      </c>
      <c r="C149" s="48">
        <v>9</v>
      </c>
      <c r="D149" s="48">
        <v>8</v>
      </c>
    </row>
    <row r="150" spans="1:4" ht="15.75" customHeight="1">
      <c r="A150" s="6">
        <v>31203</v>
      </c>
      <c r="B150" s="7" t="s">
        <v>202</v>
      </c>
      <c r="C150" s="48">
        <v>5</v>
      </c>
      <c r="D150" s="48">
        <v>11</v>
      </c>
    </row>
    <row r="151" spans="1:4" ht="15.75" customHeight="1">
      <c r="A151" s="6">
        <v>31204</v>
      </c>
      <c r="B151" s="7" t="s">
        <v>203</v>
      </c>
      <c r="C151" s="48">
        <v>19</v>
      </c>
      <c r="D151" s="48">
        <v>34</v>
      </c>
    </row>
    <row r="152" spans="1:4" ht="15.75" customHeight="1">
      <c r="A152" s="6">
        <v>31205</v>
      </c>
      <c r="B152" s="7" t="s">
        <v>204</v>
      </c>
      <c r="C152" s="48">
        <v>25</v>
      </c>
      <c r="D152" s="48">
        <v>59</v>
      </c>
    </row>
    <row r="153" spans="1:4" ht="15.75" customHeight="1">
      <c r="A153" s="6">
        <v>31206</v>
      </c>
      <c r="B153" s="7" t="s">
        <v>205</v>
      </c>
      <c r="C153" s="48">
        <v>12</v>
      </c>
      <c r="D153" s="48">
        <v>42</v>
      </c>
    </row>
    <row r="154" spans="1:4" ht="15.75" customHeight="1">
      <c r="A154" s="6">
        <v>31301</v>
      </c>
      <c r="B154" s="7" t="s">
        <v>206</v>
      </c>
      <c r="C154" s="48">
        <v>12</v>
      </c>
      <c r="D154" s="48">
        <v>18</v>
      </c>
    </row>
    <row r="155" spans="1:4" ht="15.75" customHeight="1">
      <c r="A155" s="6">
        <v>31302</v>
      </c>
      <c r="B155" s="7" t="s">
        <v>207</v>
      </c>
      <c r="C155" s="48">
        <v>2</v>
      </c>
      <c r="D155" s="48">
        <v>8</v>
      </c>
    </row>
    <row r="156" spans="1:4" ht="15.75" customHeight="1">
      <c r="A156" s="6">
        <v>31303</v>
      </c>
      <c r="B156" s="7" t="s">
        <v>208</v>
      </c>
      <c r="C156" s="48">
        <v>1</v>
      </c>
      <c r="D156" s="48">
        <v>1</v>
      </c>
    </row>
    <row r="157" spans="1:4" ht="15.75" customHeight="1">
      <c r="A157" s="19">
        <v>31304</v>
      </c>
      <c r="B157" s="7" t="s">
        <v>209</v>
      </c>
      <c r="C157" s="48">
        <v>12</v>
      </c>
      <c r="D157" s="48">
        <v>18</v>
      </c>
    </row>
    <row r="158" spans="1:4" ht="15.75" customHeight="1">
      <c r="A158" s="6">
        <v>31401</v>
      </c>
      <c r="B158" s="7" t="s">
        <v>210</v>
      </c>
      <c r="C158" s="48">
        <v>8</v>
      </c>
      <c r="D158" s="48">
        <v>23</v>
      </c>
    </row>
    <row r="159" spans="1:4" ht="15.75" customHeight="1">
      <c r="A159" s="6">
        <v>31402</v>
      </c>
      <c r="B159" s="7" t="s">
        <v>211</v>
      </c>
      <c r="C159" s="48">
        <v>0</v>
      </c>
      <c r="D159" s="48">
        <v>5</v>
      </c>
    </row>
    <row r="160" spans="1:4" ht="15.75" customHeight="1">
      <c r="A160" s="6">
        <v>31403</v>
      </c>
      <c r="B160" s="7" t="s">
        <v>212</v>
      </c>
      <c r="C160" s="48">
        <v>6</v>
      </c>
      <c r="D160" s="48">
        <v>10</v>
      </c>
    </row>
    <row r="161" spans="1:4" ht="15.75" customHeight="1">
      <c r="A161" s="6">
        <v>31404</v>
      </c>
      <c r="B161" s="7" t="s">
        <v>213</v>
      </c>
      <c r="C161" s="48">
        <v>1</v>
      </c>
      <c r="D161" s="48">
        <v>2</v>
      </c>
    </row>
    <row r="162" spans="1:4" ht="15.75" customHeight="1">
      <c r="A162" s="6">
        <v>31405</v>
      </c>
      <c r="B162" s="7" t="s">
        <v>214</v>
      </c>
      <c r="C162" s="48">
        <v>0</v>
      </c>
      <c r="D162" s="48">
        <v>0</v>
      </c>
    </row>
    <row r="163" spans="1:4" ht="15.75" customHeight="1">
      <c r="A163" s="6">
        <v>31501</v>
      </c>
      <c r="B163" s="7" t="s">
        <v>215</v>
      </c>
      <c r="C163" s="48">
        <v>8</v>
      </c>
      <c r="D163" s="48">
        <v>24</v>
      </c>
    </row>
    <row r="164" spans="1:4" ht="15.75" customHeight="1">
      <c r="A164" s="6">
        <v>31601</v>
      </c>
      <c r="B164" s="7" t="s">
        <v>216</v>
      </c>
      <c r="C164" s="48">
        <v>14</v>
      </c>
      <c r="D164" s="48">
        <v>14</v>
      </c>
    </row>
    <row r="165" spans="1:4" ht="15.75" customHeight="1">
      <c r="A165" s="6">
        <v>31602</v>
      </c>
      <c r="B165" s="7" t="s">
        <v>217</v>
      </c>
      <c r="C165" s="48">
        <v>5</v>
      </c>
      <c r="D165" s="48">
        <v>27</v>
      </c>
    </row>
    <row r="166" spans="1:4" ht="15.75" customHeight="1">
      <c r="A166" s="6">
        <v>40101</v>
      </c>
      <c r="B166" s="7" t="s">
        <v>20</v>
      </c>
      <c r="C166" s="48">
        <v>30</v>
      </c>
      <c r="D166" s="48">
        <v>258</v>
      </c>
    </row>
    <row r="167" spans="1:4" ht="15.75" customHeight="1">
      <c r="A167" s="6">
        <v>40102</v>
      </c>
      <c r="B167" s="7" t="s">
        <v>218</v>
      </c>
      <c r="C167" s="48">
        <v>25</v>
      </c>
      <c r="D167" s="48">
        <v>29</v>
      </c>
    </row>
    <row r="168" spans="1:4" ht="15.75" customHeight="1">
      <c r="A168" s="6">
        <v>40103</v>
      </c>
      <c r="B168" s="7" t="s">
        <v>219</v>
      </c>
      <c r="C168" s="48">
        <v>4</v>
      </c>
      <c r="D168" s="48">
        <v>3</v>
      </c>
    </row>
    <row r="169" spans="1:4" ht="15.75" customHeight="1">
      <c r="A169" s="6">
        <v>40104</v>
      </c>
      <c r="B169" s="7" t="s">
        <v>220</v>
      </c>
      <c r="C169" s="48">
        <v>16</v>
      </c>
      <c r="D169" s="48">
        <v>12</v>
      </c>
    </row>
    <row r="170" spans="1:4" ht="15.75" customHeight="1">
      <c r="A170" s="6">
        <v>40201</v>
      </c>
      <c r="B170" s="7" t="s">
        <v>222</v>
      </c>
      <c r="C170" s="48">
        <v>42</v>
      </c>
      <c r="D170" s="48">
        <v>32</v>
      </c>
    </row>
    <row r="171" spans="1:4" ht="15.75" customHeight="1">
      <c r="A171" s="6">
        <v>40202</v>
      </c>
      <c r="B171" s="7" t="s">
        <v>223</v>
      </c>
      <c r="C171" s="48">
        <v>5</v>
      </c>
      <c r="D171" s="48">
        <v>5</v>
      </c>
    </row>
    <row r="172" spans="1:4" ht="15.75" customHeight="1">
      <c r="A172" s="6">
        <v>40301</v>
      </c>
      <c r="B172" s="7" t="s">
        <v>225</v>
      </c>
      <c r="C172" s="48">
        <v>2</v>
      </c>
      <c r="D172" s="48">
        <v>11</v>
      </c>
    </row>
    <row r="173" spans="1:4" ht="15.75" customHeight="1">
      <c r="A173" s="6">
        <v>40302</v>
      </c>
      <c r="B173" s="7" t="s">
        <v>226</v>
      </c>
      <c r="C173" s="48">
        <v>1</v>
      </c>
      <c r="D173" s="48">
        <v>2</v>
      </c>
    </row>
    <row r="174" spans="1:4" ht="15.75" customHeight="1">
      <c r="A174" s="6">
        <v>40401</v>
      </c>
      <c r="B174" s="7" t="s">
        <v>228</v>
      </c>
      <c r="C174" s="48">
        <v>5</v>
      </c>
      <c r="D174" s="48">
        <v>9</v>
      </c>
    </row>
    <row r="175" spans="1:4" ht="15.75" customHeight="1">
      <c r="A175" s="6">
        <v>40402</v>
      </c>
      <c r="B175" s="7" t="s">
        <v>229</v>
      </c>
      <c r="C175" s="48">
        <v>7</v>
      </c>
      <c r="D175" s="48">
        <v>2</v>
      </c>
    </row>
    <row r="176" spans="1:4" ht="15.75" customHeight="1">
      <c r="A176" s="6">
        <v>40501</v>
      </c>
      <c r="B176" s="7" t="s">
        <v>231</v>
      </c>
      <c r="C176" s="48">
        <v>0</v>
      </c>
      <c r="D176" s="48">
        <v>1</v>
      </c>
    </row>
    <row r="177" spans="1:4" ht="15.75" customHeight="1">
      <c r="A177" s="6">
        <v>40502</v>
      </c>
      <c r="B177" s="7" t="s">
        <v>232</v>
      </c>
      <c r="C177" s="48">
        <v>2</v>
      </c>
      <c r="D177" s="48">
        <v>1</v>
      </c>
    </row>
    <row r="178" spans="1:4" ht="15.75" customHeight="1">
      <c r="A178" s="6">
        <v>40503</v>
      </c>
      <c r="B178" s="7" t="s">
        <v>233</v>
      </c>
      <c r="C178" s="48">
        <v>2</v>
      </c>
      <c r="D178" s="48">
        <v>0</v>
      </c>
    </row>
    <row r="179" spans="1:4" ht="15.75" customHeight="1">
      <c r="A179" s="6">
        <v>40504</v>
      </c>
      <c r="B179" s="7" t="s">
        <v>234</v>
      </c>
      <c r="C179" s="48">
        <v>0</v>
      </c>
      <c r="D179" s="48">
        <v>0</v>
      </c>
    </row>
    <row r="180" spans="1:4" ht="15.75" customHeight="1">
      <c r="A180" s="6">
        <v>40505</v>
      </c>
      <c r="B180" s="7" t="s">
        <v>235</v>
      </c>
      <c r="C180" s="48">
        <v>0</v>
      </c>
      <c r="D180" s="48">
        <v>2</v>
      </c>
    </row>
    <row r="181" spans="1:4" ht="15.75" customHeight="1">
      <c r="A181" s="6">
        <v>40601</v>
      </c>
      <c r="B181" s="7" t="s">
        <v>236</v>
      </c>
      <c r="C181" s="48">
        <v>10</v>
      </c>
      <c r="D181" s="48">
        <v>8</v>
      </c>
    </row>
    <row r="182" spans="1:4" ht="15.75" customHeight="1">
      <c r="A182" s="6">
        <v>40602</v>
      </c>
      <c r="B182" s="7" t="s">
        <v>237</v>
      </c>
      <c r="C182" s="48">
        <v>3</v>
      </c>
      <c r="D182" s="48">
        <v>1</v>
      </c>
    </row>
    <row r="183" spans="1:4" ht="15.75" customHeight="1">
      <c r="A183" s="6">
        <v>40603</v>
      </c>
      <c r="B183" s="7" t="s">
        <v>238</v>
      </c>
      <c r="C183" s="48">
        <v>1</v>
      </c>
      <c r="D183" s="48">
        <v>1</v>
      </c>
    </row>
    <row r="184" spans="1:4" ht="15.75" customHeight="1">
      <c r="A184" s="6">
        <v>40701</v>
      </c>
      <c r="B184" s="7" t="s">
        <v>240</v>
      </c>
      <c r="C184" s="48">
        <v>10</v>
      </c>
      <c r="D184" s="48">
        <v>21</v>
      </c>
    </row>
    <row r="185" spans="1:4" ht="15.75" customHeight="1">
      <c r="A185" s="6">
        <v>40702</v>
      </c>
      <c r="B185" s="7" t="s">
        <v>241</v>
      </c>
      <c r="C185" s="48">
        <v>2</v>
      </c>
      <c r="D185" s="48">
        <v>6</v>
      </c>
    </row>
    <row r="186" spans="1:4" ht="15.75" customHeight="1">
      <c r="A186" s="6">
        <v>40801</v>
      </c>
      <c r="B186" s="7" t="s">
        <v>243</v>
      </c>
      <c r="C186" s="48">
        <v>7</v>
      </c>
      <c r="D186" s="48">
        <v>14</v>
      </c>
    </row>
    <row r="187" spans="1:4" ht="15.75" customHeight="1">
      <c r="A187" s="6">
        <v>40802</v>
      </c>
      <c r="B187" s="7" t="s">
        <v>244</v>
      </c>
      <c r="C187" s="48">
        <v>0</v>
      </c>
      <c r="D187" s="48">
        <v>1</v>
      </c>
    </row>
    <row r="188" spans="1:4" ht="15.75" customHeight="1">
      <c r="A188" s="6">
        <v>40901</v>
      </c>
      <c r="B188" s="7" t="s">
        <v>245</v>
      </c>
      <c r="C188" s="48">
        <v>4</v>
      </c>
      <c r="D188" s="48">
        <v>8</v>
      </c>
    </row>
    <row r="189" spans="1:4" ht="15.75" customHeight="1">
      <c r="A189" s="6">
        <v>40902</v>
      </c>
      <c r="B189" s="7" t="s">
        <v>246</v>
      </c>
      <c r="C189" s="48">
        <v>0</v>
      </c>
      <c r="D189" s="48">
        <v>1</v>
      </c>
    </row>
    <row r="190" spans="1:4" ht="15.75" customHeight="1">
      <c r="A190" s="6">
        <v>40903</v>
      </c>
      <c r="B190" s="7" t="s">
        <v>247</v>
      </c>
      <c r="C190" s="48">
        <v>3</v>
      </c>
      <c r="D190" s="48">
        <v>3</v>
      </c>
    </row>
    <row r="191" spans="1:4" ht="15.75" customHeight="1">
      <c r="A191" s="6">
        <v>41001</v>
      </c>
      <c r="B191" s="7" t="s">
        <v>249</v>
      </c>
      <c r="C191" s="48">
        <v>4</v>
      </c>
      <c r="D191" s="48">
        <v>9</v>
      </c>
    </row>
    <row r="192" spans="1:4" ht="15.75" customHeight="1">
      <c r="A192" s="6">
        <v>41101</v>
      </c>
      <c r="B192" s="7" t="s">
        <v>251</v>
      </c>
      <c r="C192" s="48">
        <v>6</v>
      </c>
      <c r="D192" s="48">
        <v>8</v>
      </c>
    </row>
    <row r="193" spans="1:4" ht="15.75" customHeight="1">
      <c r="A193" s="6">
        <v>41201</v>
      </c>
      <c r="B193" s="7" t="s">
        <v>253</v>
      </c>
      <c r="C193" s="48">
        <v>4</v>
      </c>
      <c r="D193" s="48">
        <v>2</v>
      </c>
    </row>
    <row r="194" spans="1:4" ht="15.75" customHeight="1">
      <c r="A194" s="6">
        <v>41202</v>
      </c>
      <c r="B194" s="7" t="s">
        <v>254</v>
      </c>
      <c r="C194" s="48">
        <v>0</v>
      </c>
      <c r="D194" s="48">
        <v>3</v>
      </c>
    </row>
    <row r="195" spans="1:4" ht="15.75" customHeight="1">
      <c r="A195" s="6">
        <v>41301</v>
      </c>
      <c r="B195" s="7" t="s">
        <v>255</v>
      </c>
      <c r="C195" s="48">
        <v>0</v>
      </c>
      <c r="D195" s="48">
        <v>7</v>
      </c>
    </row>
    <row r="196" spans="1:4" ht="15.75" customHeight="1">
      <c r="A196" s="6">
        <v>41401</v>
      </c>
      <c r="B196" s="7" t="s">
        <v>257</v>
      </c>
      <c r="C196" s="48">
        <v>10</v>
      </c>
      <c r="D196" s="48">
        <v>6</v>
      </c>
    </row>
    <row r="197" spans="1:4" ht="15.75" customHeight="1">
      <c r="A197" s="6">
        <v>41501</v>
      </c>
      <c r="B197" s="7" t="s">
        <v>259</v>
      </c>
      <c r="C197" s="48">
        <v>0</v>
      </c>
      <c r="D197" s="48">
        <v>0</v>
      </c>
    </row>
    <row r="198" spans="1:4" ht="15.75" customHeight="1">
      <c r="A198" s="6">
        <v>41502</v>
      </c>
      <c r="B198" s="7" t="s">
        <v>260</v>
      </c>
      <c r="C198" s="48">
        <v>0</v>
      </c>
      <c r="D198" s="48">
        <v>1</v>
      </c>
    </row>
    <row r="199" spans="1:4" ht="15.75" customHeight="1">
      <c r="A199" s="6">
        <v>41503</v>
      </c>
      <c r="B199" s="7" t="s">
        <v>224</v>
      </c>
      <c r="C199" s="48">
        <v>0</v>
      </c>
      <c r="D199" s="48">
        <v>0</v>
      </c>
    </row>
    <row r="200" spans="1:4" ht="15.75" customHeight="1">
      <c r="A200" s="6">
        <v>41601</v>
      </c>
      <c r="B200" s="7" t="s">
        <v>262</v>
      </c>
      <c r="C200" s="48">
        <v>5</v>
      </c>
      <c r="D200" s="48">
        <v>6</v>
      </c>
    </row>
    <row r="201" spans="1:4" ht="15.75" customHeight="1">
      <c r="A201" s="6">
        <v>50101</v>
      </c>
      <c r="B201" s="7" t="s">
        <v>263</v>
      </c>
      <c r="C201" s="48">
        <v>156</v>
      </c>
      <c r="D201" s="48">
        <v>203</v>
      </c>
    </row>
    <row r="202" spans="1:4" ht="15.75" customHeight="1">
      <c r="A202" s="6">
        <v>50102</v>
      </c>
      <c r="B202" s="7" t="s">
        <v>265</v>
      </c>
      <c r="C202" s="48">
        <v>64</v>
      </c>
      <c r="D202" s="48">
        <v>56</v>
      </c>
    </row>
    <row r="203" spans="1:4" ht="15.75" customHeight="1">
      <c r="A203" s="6">
        <v>50103</v>
      </c>
      <c r="B203" s="7" t="s">
        <v>266</v>
      </c>
      <c r="C203" s="48">
        <v>1</v>
      </c>
      <c r="D203" s="48">
        <v>12</v>
      </c>
    </row>
    <row r="204" spans="1:4" ht="15.75" customHeight="1">
      <c r="A204" s="6">
        <v>50104</v>
      </c>
      <c r="B204" s="7" t="s">
        <v>267</v>
      </c>
      <c r="C204" s="48">
        <v>1</v>
      </c>
      <c r="D204" s="48">
        <v>1</v>
      </c>
    </row>
    <row r="205" spans="1:4" ht="15.75" customHeight="1">
      <c r="A205" s="6">
        <v>50201</v>
      </c>
      <c r="B205" s="7" t="s">
        <v>269</v>
      </c>
      <c r="C205" s="48">
        <v>43</v>
      </c>
      <c r="D205" s="48">
        <v>37</v>
      </c>
    </row>
    <row r="206" spans="1:4" ht="15.75" customHeight="1">
      <c r="A206" s="6">
        <v>50202</v>
      </c>
      <c r="B206" s="7" t="s">
        <v>270</v>
      </c>
      <c r="C206" s="48">
        <v>28</v>
      </c>
      <c r="D206" s="48">
        <v>35</v>
      </c>
    </row>
    <row r="207" spans="1:4" ht="15.75" customHeight="1">
      <c r="A207" s="6">
        <v>50203</v>
      </c>
      <c r="B207" s="7" t="s">
        <v>271</v>
      </c>
      <c r="C207" s="48">
        <v>34</v>
      </c>
      <c r="D207" s="48">
        <v>43</v>
      </c>
    </row>
    <row r="208" spans="1:4" ht="15.75" customHeight="1">
      <c r="A208" s="6">
        <v>50204</v>
      </c>
      <c r="B208" s="7" t="s">
        <v>272</v>
      </c>
      <c r="C208" s="48">
        <v>15</v>
      </c>
      <c r="D208" s="48">
        <v>14</v>
      </c>
    </row>
    <row r="209" spans="1:4" ht="15.75" customHeight="1">
      <c r="A209" s="6">
        <v>50301</v>
      </c>
      <c r="B209" s="7" t="s">
        <v>274</v>
      </c>
      <c r="C209" s="48">
        <v>36</v>
      </c>
      <c r="D209" s="48">
        <v>39</v>
      </c>
    </row>
    <row r="210" spans="1:4" ht="15.75" customHeight="1">
      <c r="A210" s="6">
        <v>50302</v>
      </c>
      <c r="B210" s="7" t="s">
        <v>275</v>
      </c>
      <c r="C210" s="48">
        <v>9</v>
      </c>
      <c r="D210" s="48">
        <v>8</v>
      </c>
    </row>
    <row r="211" spans="1:4" ht="15.75" customHeight="1">
      <c r="A211" s="6">
        <v>50303</v>
      </c>
      <c r="B211" s="7" t="s">
        <v>276</v>
      </c>
      <c r="C211" s="48">
        <v>13</v>
      </c>
      <c r="D211" s="48">
        <v>7</v>
      </c>
    </row>
    <row r="212" spans="1:4" ht="15.75" customHeight="1">
      <c r="A212" s="6">
        <v>50401</v>
      </c>
      <c r="B212" s="7" t="s">
        <v>277</v>
      </c>
      <c r="C212" s="48">
        <v>99</v>
      </c>
      <c r="D212" s="48">
        <v>45</v>
      </c>
    </row>
    <row r="213" spans="1:4" ht="15.75" customHeight="1">
      <c r="A213" s="6">
        <v>50402</v>
      </c>
      <c r="B213" s="7" t="s">
        <v>278</v>
      </c>
      <c r="C213" s="48">
        <v>15</v>
      </c>
      <c r="D213" s="48">
        <v>13</v>
      </c>
    </row>
    <row r="214" spans="1:4" ht="15.75" customHeight="1">
      <c r="A214" s="6">
        <v>50403</v>
      </c>
      <c r="B214" s="7" t="s">
        <v>279</v>
      </c>
      <c r="C214" s="48">
        <v>40</v>
      </c>
      <c r="D214" s="48">
        <v>64</v>
      </c>
    </row>
    <row r="215" spans="1:4" ht="15.75" customHeight="1">
      <c r="A215" s="6">
        <v>50404</v>
      </c>
      <c r="B215" s="7" t="s">
        <v>280</v>
      </c>
      <c r="C215" s="48">
        <v>44</v>
      </c>
      <c r="D215" s="48">
        <v>15</v>
      </c>
    </row>
    <row r="216" spans="1:4" ht="15.75" customHeight="1">
      <c r="A216" s="6">
        <v>50405</v>
      </c>
      <c r="B216" s="46" t="s">
        <v>281</v>
      </c>
      <c r="C216" s="48">
        <v>99</v>
      </c>
      <c r="D216" s="48">
        <v>45</v>
      </c>
    </row>
    <row r="217" spans="1:4" ht="15.75" customHeight="1">
      <c r="A217" s="6">
        <v>50501</v>
      </c>
      <c r="B217" s="7" t="s">
        <v>283</v>
      </c>
      <c r="C217" s="48">
        <v>64</v>
      </c>
      <c r="D217" s="48">
        <v>54</v>
      </c>
    </row>
    <row r="218" spans="1:4" ht="15.75" customHeight="1">
      <c r="A218" s="6">
        <v>50502</v>
      </c>
      <c r="B218" s="7" t="s">
        <v>284</v>
      </c>
      <c r="C218" s="48">
        <v>20</v>
      </c>
      <c r="D218" s="48">
        <v>13</v>
      </c>
    </row>
    <row r="219" spans="1:4" ht="15.75" customHeight="1">
      <c r="A219" s="6">
        <v>50601</v>
      </c>
      <c r="B219" s="7" t="s">
        <v>286</v>
      </c>
      <c r="C219" s="48">
        <v>6</v>
      </c>
      <c r="D219" s="48">
        <v>11</v>
      </c>
    </row>
    <row r="220" spans="1:4" ht="15.75" customHeight="1">
      <c r="A220" s="6">
        <v>50602</v>
      </c>
      <c r="B220" s="7" t="s">
        <v>287</v>
      </c>
      <c r="C220" s="48">
        <v>4</v>
      </c>
      <c r="D220" s="48">
        <v>7</v>
      </c>
    </row>
    <row r="221" spans="1:4" ht="15.75" customHeight="1">
      <c r="A221" s="6">
        <v>50701</v>
      </c>
      <c r="B221" s="7" t="s">
        <v>289</v>
      </c>
      <c r="C221" s="48">
        <v>14</v>
      </c>
      <c r="D221" s="48">
        <v>38</v>
      </c>
    </row>
    <row r="222" spans="1:4" ht="15.75" customHeight="1">
      <c r="A222" s="6">
        <v>50702</v>
      </c>
      <c r="B222" s="7" t="s">
        <v>290</v>
      </c>
      <c r="C222" s="48">
        <v>8</v>
      </c>
      <c r="D222" s="48">
        <v>21</v>
      </c>
    </row>
    <row r="223" spans="1:4" ht="15.75" customHeight="1">
      <c r="A223" s="6">
        <v>50801</v>
      </c>
      <c r="B223" s="7" t="s">
        <v>292</v>
      </c>
      <c r="C223" s="48">
        <v>10</v>
      </c>
      <c r="D223" s="48">
        <v>24</v>
      </c>
    </row>
    <row r="224" spans="1:4" ht="15.75" customHeight="1">
      <c r="A224" s="6">
        <v>50802</v>
      </c>
      <c r="B224" s="7" t="s">
        <v>293</v>
      </c>
      <c r="C224" s="48">
        <v>1</v>
      </c>
      <c r="D224" s="48">
        <v>10</v>
      </c>
    </row>
    <row r="225" spans="1:4" ht="15.75" customHeight="1">
      <c r="A225" s="6">
        <v>50901</v>
      </c>
      <c r="B225" s="7" t="s">
        <v>295</v>
      </c>
      <c r="C225" s="48">
        <v>1</v>
      </c>
      <c r="D225" s="48">
        <v>13</v>
      </c>
    </row>
    <row r="226" spans="1:4" ht="15.75" customHeight="1">
      <c r="A226" s="6">
        <v>50902</v>
      </c>
      <c r="B226" s="7" t="s">
        <v>296</v>
      </c>
      <c r="C226" s="48">
        <v>0</v>
      </c>
      <c r="D226" s="48">
        <v>2</v>
      </c>
    </row>
    <row r="227" spans="1:4" ht="15.75" customHeight="1">
      <c r="A227" s="6">
        <v>51001</v>
      </c>
      <c r="B227" s="7" t="s">
        <v>298</v>
      </c>
      <c r="C227" s="48">
        <v>1</v>
      </c>
      <c r="D227" s="48">
        <v>5</v>
      </c>
    </row>
    <row r="228" spans="1:4" ht="15.75" customHeight="1">
      <c r="A228" s="6">
        <v>51002</v>
      </c>
      <c r="B228" s="7" t="s">
        <v>299</v>
      </c>
      <c r="C228" s="48">
        <v>0</v>
      </c>
      <c r="D228" s="48">
        <v>1</v>
      </c>
    </row>
    <row r="229" spans="1:4" ht="15.75" customHeight="1">
      <c r="A229" s="6">
        <v>51003</v>
      </c>
      <c r="B229" s="7" t="s">
        <v>300</v>
      </c>
      <c r="C229" s="48">
        <v>0</v>
      </c>
      <c r="D229" s="48">
        <v>5</v>
      </c>
    </row>
    <row r="230" spans="1:4" ht="15.75" customHeight="1">
      <c r="A230" s="6">
        <v>51101</v>
      </c>
      <c r="B230" s="7" t="s">
        <v>302</v>
      </c>
      <c r="C230" s="48">
        <v>5</v>
      </c>
      <c r="D230" s="48">
        <v>12</v>
      </c>
    </row>
    <row r="231" spans="1:4" ht="15.75" customHeight="1">
      <c r="A231" s="6">
        <v>51102</v>
      </c>
      <c r="B231" s="7" t="s">
        <v>303</v>
      </c>
      <c r="C231" s="48">
        <v>3</v>
      </c>
      <c r="D231" s="48">
        <v>14</v>
      </c>
    </row>
    <row r="232" spans="1:4" ht="15.75" customHeight="1">
      <c r="A232" s="6">
        <v>51103</v>
      </c>
      <c r="B232" s="7" t="s">
        <v>304</v>
      </c>
      <c r="C232" s="48">
        <v>10</v>
      </c>
      <c r="D232" s="48">
        <v>14</v>
      </c>
    </row>
    <row r="233" spans="1:4" ht="15.75" customHeight="1">
      <c r="A233" s="6">
        <v>51201</v>
      </c>
      <c r="B233" s="7" t="s">
        <v>306</v>
      </c>
      <c r="C233" s="48">
        <v>8</v>
      </c>
      <c r="D233" s="48">
        <v>46</v>
      </c>
    </row>
    <row r="234" spans="1:4" ht="15.75" customHeight="1">
      <c r="A234" s="6">
        <v>51202</v>
      </c>
      <c r="B234" s="7" t="s">
        <v>307</v>
      </c>
      <c r="C234" s="48">
        <v>5</v>
      </c>
      <c r="D234" s="48">
        <v>9</v>
      </c>
    </row>
    <row r="235" spans="1:4" ht="15.75" customHeight="1">
      <c r="A235" s="6">
        <v>51203</v>
      </c>
      <c r="B235" s="7" t="s">
        <v>308</v>
      </c>
      <c r="C235" s="48">
        <v>2</v>
      </c>
      <c r="D235" s="48">
        <v>15</v>
      </c>
    </row>
    <row r="236" spans="1:4" ht="15.75" customHeight="1">
      <c r="A236" s="6">
        <v>51204</v>
      </c>
      <c r="B236" s="46" t="s">
        <v>309</v>
      </c>
      <c r="C236" s="48">
        <v>5</v>
      </c>
      <c r="D236" s="48">
        <v>10</v>
      </c>
    </row>
    <row r="237" spans="1:4" ht="15.75" customHeight="1">
      <c r="A237" s="6">
        <v>51301</v>
      </c>
      <c r="B237" s="7" t="s">
        <v>311</v>
      </c>
      <c r="C237" s="48">
        <v>3</v>
      </c>
      <c r="D237" s="48">
        <v>6</v>
      </c>
    </row>
    <row r="238" spans="1:4" ht="15.75" customHeight="1">
      <c r="A238" s="6">
        <v>51302</v>
      </c>
      <c r="B238" s="7" t="s">
        <v>312</v>
      </c>
      <c r="C238" s="48">
        <v>3</v>
      </c>
      <c r="D238" s="48">
        <v>8</v>
      </c>
    </row>
    <row r="239" spans="1:4" ht="15.75" customHeight="1">
      <c r="A239" s="6">
        <v>51401</v>
      </c>
      <c r="B239" s="7" t="s">
        <v>314</v>
      </c>
      <c r="C239" s="48">
        <v>1</v>
      </c>
      <c r="D239" s="48">
        <v>8</v>
      </c>
    </row>
    <row r="240" spans="1:4" ht="15.75" customHeight="1">
      <c r="A240" s="6">
        <v>51402</v>
      </c>
      <c r="B240" s="7" t="s">
        <v>315</v>
      </c>
      <c r="C240" s="48">
        <v>0</v>
      </c>
      <c r="D240" s="48">
        <v>0</v>
      </c>
    </row>
    <row r="241" spans="1:4" ht="15.75" customHeight="1">
      <c r="A241" s="6">
        <v>51501</v>
      </c>
      <c r="B241" s="7" t="s">
        <v>317</v>
      </c>
      <c r="C241" s="48">
        <v>3</v>
      </c>
      <c r="D241" s="48">
        <v>39</v>
      </c>
    </row>
    <row r="242" spans="1:4" ht="15.75" customHeight="1">
      <c r="A242" s="6">
        <v>51601</v>
      </c>
      <c r="B242" s="7" t="s">
        <v>319</v>
      </c>
      <c r="C242" s="48">
        <v>0</v>
      </c>
      <c r="D242" s="48">
        <v>2</v>
      </c>
    </row>
    <row r="243" spans="1:4" ht="15.75" customHeight="1">
      <c r="A243" s="6">
        <v>60101</v>
      </c>
      <c r="B243" s="7" t="s">
        <v>25</v>
      </c>
      <c r="C243" s="48">
        <v>43</v>
      </c>
      <c r="D243" s="48">
        <v>78</v>
      </c>
    </row>
    <row r="244" spans="1:4" ht="15.75" customHeight="1">
      <c r="A244" s="6">
        <v>60201</v>
      </c>
      <c r="B244" s="7" t="s">
        <v>321</v>
      </c>
      <c r="C244" s="48">
        <v>6</v>
      </c>
      <c r="D244" s="48">
        <v>6</v>
      </c>
    </row>
    <row r="245" spans="1:4" ht="15.75" customHeight="1">
      <c r="A245" s="6">
        <v>60202</v>
      </c>
      <c r="B245" s="7" t="s">
        <v>322</v>
      </c>
      <c r="C245" s="48">
        <v>18</v>
      </c>
      <c r="D245" s="48">
        <v>11</v>
      </c>
    </row>
    <row r="246" spans="1:4" ht="15.75" customHeight="1">
      <c r="A246" s="6">
        <v>60301</v>
      </c>
      <c r="B246" s="7" t="s">
        <v>324</v>
      </c>
      <c r="C246" s="48">
        <v>43</v>
      </c>
      <c r="D246" s="48">
        <v>62</v>
      </c>
    </row>
    <row r="247" spans="1:4" ht="15.75" customHeight="1">
      <c r="A247" s="6">
        <v>60302</v>
      </c>
      <c r="B247" s="7" t="s">
        <v>325</v>
      </c>
      <c r="C247" s="48">
        <v>2</v>
      </c>
      <c r="D247" s="48">
        <v>7</v>
      </c>
    </row>
    <row r="248" spans="1:4" ht="15.75" customHeight="1">
      <c r="A248" s="6">
        <v>60303</v>
      </c>
      <c r="B248" s="7" t="s">
        <v>326</v>
      </c>
      <c r="C248" s="48">
        <v>24</v>
      </c>
      <c r="D248" s="48">
        <v>17</v>
      </c>
    </row>
    <row r="249" spans="1:4" ht="15.75" customHeight="1">
      <c r="A249" s="6">
        <v>60401</v>
      </c>
      <c r="B249" s="7" t="s">
        <v>328</v>
      </c>
      <c r="C249" s="48">
        <v>2</v>
      </c>
      <c r="D249" s="48">
        <v>5</v>
      </c>
    </row>
    <row r="250" spans="1:4" ht="15.75" customHeight="1">
      <c r="A250" s="6">
        <v>60402</v>
      </c>
      <c r="B250" s="7" t="s">
        <v>329</v>
      </c>
      <c r="C250" s="48">
        <v>4</v>
      </c>
      <c r="D250" s="48">
        <v>2</v>
      </c>
    </row>
    <row r="251" spans="1:4" ht="15.75" customHeight="1">
      <c r="A251" s="6">
        <v>60501</v>
      </c>
      <c r="B251" s="7" t="s">
        <v>331</v>
      </c>
      <c r="C251" s="48">
        <v>8</v>
      </c>
      <c r="D251" s="48">
        <v>8</v>
      </c>
    </row>
    <row r="252" spans="1:4" ht="15.75" customHeight="1">
      <c r="A252" s="6">
        <v>60502</v>
      </c>
      <c r="B252" s="7" t="s">
        <v>332</v>
      </c>
      <c r="C252" s="48">
        <v>4</v>
      </c>
      <c r="D252" s="48">
        <v>5</v>
      </c>
    </row>
    <row r="253" spans="1:4" ht="15.75" customHeight="1">
      <c r="A253" s="6">
        <v>60601</v>
      </c>
      <c r="B253" s="7" t="s">
        <v>205</v>
      </c>
      <c r="C253" s="48">
        <v>3</v>
      </c>
      <c r="D253" s="48">
        <v>9</v>
      </c>
    </row>
    <row r="254" spans="1:4" ht="15.75" customHeight="1">
      <c r="A254" s="6">
        <v>70101</v>
      </c>
      <c r="B254" s="7" t="s">
        <v>335</v>
      </c>
      <c r="C254" s="48">
        <v>466</v>
      </c>
      <c r="D254" s="48">
        <v>628</v>
      </c>
    </row>
    <row r="255" spans="1:4" ht="15.75" customHeight="1">
      <c r="A255" s="6">
        <v>70102</v>
      </c>
      <c r="B255" s="7" t="s">
        <v>336</v>
      </c>
      <c r="C255" s="48">
        <v>37</v>
      </c>
      <c r="D255" s="48">
        <v>62</v>
      </c>
    </row>
    <row r="256" spans="1:4" ht="15.75" customHeight="1">
      <c r="A256" s="6">
        <v>70103</v>
      </c>
      <c r="B256" s="7" t="s">
        <v>337</v>
      </c>
      <c r="C256" s="48">
        <v>2</v>
      </c>
      <c r="D256" s="48">
        <v>9</v>
      </c>
    </row>
    <row r="257" spans="1:4" ht="15.75" customHeight="1">
      <c r="A257" s="6">
        <v>70104</v>
      </c>
      <c r="B257" s="7" t="s">
        <v>338</v>
      </c>
      <c r="C257" s="48">
        <v>19</v>
      </c>
      <c r="D257" s="48">
        <v>66</v>
      </c>
    </row>
    <row r="258" spans="1:4" ht="15.75" customHeight="1">
      <c r="A258" s="6">
        <v>70105</v>
      </c>
      <c r="B258" s="7" t="s">
        <v>339</v>
      </c>
      <c r="C258" s="48">
        <v>15</v>
      </c>
      <c r="D258" s="48">
        <v>31</v>
      </c>
    </row>
    <row r="259" spans="1:4" ht="15.75" customHeight="1">
      <c r="A259" s="6">
        <v>70201</v>
      </c>
      <c r="B259" s="7" t="s">
        <v>340</v>
      </c>
      <c r="C259" s="48">
        <v>25</v>
      </c>
      <c r="D259" s="48">
        <v>94</v>
      </c>
    </row>
    <row r="260" spans="1:4" ht="15.75" customHeight="1">
      <c r="A260" s="6">
        <v>70202</v>
      </c>
      <c r="B260" s="7" t="s">
        <v>341</v>
      </c>
      <c r="C260" s="48">
        <v>5</v>
      </c>
      <c r="D260" s="48">
        <v>7</v>
      </c>
    </row>
    <row r="261" spans="1:4" ht="15.75" customHeight="1">
      <c r="A261" s="6">
        <v>70301</v>
      </c>
      <c r="B261" s="7" t="s">
        <v>343</v>
      </c>
      <c r="C261" s="48">
        <v>29</v>
      </c>
      <c r="D261" s="48">
        <v>69</v>
      </c>
    </row>
    <row r="262" spans="1:4" ht="15.75" customHeight="1">
      <c r="A262" s="6">
        <v>70302</v>
      </c>
      <c r="B262" s="7" t="s">
        <v>344</v>
      </c>
      <c r="C262" s="48">
        <v>11</v>
      </c>
      <c r="D262" s="48">
        <v>21</v>
      </c>
    </row>
    <row r="263" spans="1:4" ht="15.75" customHeight="1">
      <c r="A263" s="6">
        <v>70303</v>
      </c>
      <c r="B263" s="7" t="s">
        <v>345</v>
      </c>
      <c r="C263" s="48">
        <v>5</v>
      </c>
      <c r="D263" s="48">
        <v>9</v>
      </c>
    </row>
    <row r="264" spans="1:4" ht="15.75" customHeight="1">
      <c r="A264" s="6">
        <v>70401</v>
      </c>
      <c r="B264" s="7" t="s">
        <v>347</v>
      </c>
      <c r="C264" s="48">
        <v>4</v>
      </c>
      <c r="D264" s="48">
        <v>3</v>
      </c>
    </row>
    <row r="265" spans="1:4" ht="15.75" customHeight="1">
      <c r="A265" s="6">
        <v>70402</v>
      </c>
      <c r="B265" s="7" t="s">
        <v>348</v>
      </c>
      <c r="C265" s="48">
        <v>7</v>
      </c>
      <c r="D265" s="48">
        <v>11</v>
      </c>
    </row>
    <row r="266" spans="1:4" ht="15.75" customHeight="1">
      <c r="A266" s="6">
        <v>70403</v>
      </c>
      <c r="B266" s="7" t="s">
        <v>349</v>
      </c>
      <c r="C266" s="48">
        <v>28</v>
      </c>
      <c r="D266" s="48">
        <v>36</v>
      </c>
    </row>
    <row r="267" spans="1:4" ht="15.75" customHeight="1">
      <c r="A267" s="6">
        <v>70404</v>
      </c>
      <c r="B267" s="7" t="s">
        <v>350</v>
      </c>
      <c r="C267" s="48">
        <v>5</v>
      </c>
      <c r="D267" s="48">
        <v>3</v>
      </c>
    </row>
    <row r="268" spans="1:4" ht="15.75" customHeight="1">
      <c r="A268" s="6">
        <v>70501</v>
      </c>
      <c r="B268" s="7" t="s">
        <v>352</v>
      </c>
      <c r="C268" s="48">
        <v>9</v>
      </c>
      <c r="D268" s="48">
        <v>45</v>
      </c>
    </row>
    <row r="269" spans="1:4" ht="15.75" customHeight="1">
      <c r="A269" s="6">
        <v>70502</v>
      </c>
      <c r="B269" s="7" t="s">
        <v>353</v>
      </c>
      <c r="C269" s="48">
        <v>21</v>
      </c>
      <c r="D269" s="48">
        <v>74</v>
      </c>
    </row>
    <row r="270" spans="1:4" ht="15.75" customHeight="1">
      <c r="A270" s="6">
        <v>70503</v>
      </c>
      <c r="B270" s="7" t="s">
        <v>354</v>
      </c>
      <c r="C270" s="48">
        <v>4</v>
      </c>
      <c r="D270" s="48">
        <v>8</v>
      </c>
    </row>
    <row r="271" spans="1:4" ht="15.75" customHeight="1">
      <c r="A271" s="6">
        <v>70601</v>
      </c>
      <c r="B271" s="7" t="s">
        <v>356</v>
      </c>
      <c r="C271" s="48">
        <v>2</v>
      </c>
      <c r="D271" s="48">
        <v>8</v>
      </c>
    </row>
    <row r="272" spans="1:4" ht="15.75" customHeight="1">
      <c r="A272" s="6">
        <v>70602</v>
      </c>
      <c r="B272" s="7" t="s">
        <v>357</v>
      </c>
      <c r="C272" s="48">
        <v>7</v>
      </c>
      <c r="D272" s="48">
        <v>15</v>
      </c>
    </row>
    <row r="273" spans="1:4" ht="15.75" customHeight="1">
      <c r="A273" s="6">
        <v>70603</v>
      </c>
      <c r="B273" s="7" t="s">
        <v>358</v>
      </c>
      <c r="C273" s="48">
        <v>2</v>
      </c>
      <c r="D273" s="48">
        <v>3</v>
      </c>
    </row>
    <row r="274" spans="1:4" ht="15.75" customHeight="1">
      <c r="A274" s="6">
        <v>70701</v>
      </c>
      <c r="B274" s="7" t="s">
        <v>360</v>
      </c>
      <c r="C274" s="48">
        <v>2</v>
      </c>
      <c r="D274" s="48">
        <v>5</v>
      </c>
    </row>
    <row r="275" spans="1:4" ht="15.75" customHeight="1">
      <c r="A275" s="6">
        <v>70702</v>
      </c>
      <c r="B275" s="7" t="s">
        <v>361</v>
      </c>
      <c r="C275" s="48">
        <v>26</v>
      </c>
      <c r="D275" s="48">
        <v>70</v>
      </c>
    </row>
    <row r="276" spans="1:4" ht="15.75" customHeight="1">
      <c r="A276" s="6">
        <v>70703</v>
      </c>
      <c r="B276" s="7" t="s">
        <v>362</v>
      </c>
      <c r="C276" s="48">
        <v>9</v>
      </c>
      <c r="D276" s="48">
        <v>23</v>
      </c>
    </row>
    <row r="277" spans="1:4" ht="15.75" customHeight="1">
      <c r="A277" s="6">
        <v>70704</v>
      </c>
      <c r="B277" s="7" t="s">
        <v>363</v>
      </c>
      <c r="C277" s="48">
        <v>0</v>
      </c>
      <c r="D277" s="48">
        <v>2</v>
      </c>
    </row>
    <row r="278" spans="1:4" ht="15.75" customHeight="1">
      <c r="A278" s="6">
        <v>70705</v>
      </c>
      <c r="B278" s="7" t="s">
        <v>364</v>
      </c>
      <c r="C278" s="48">
        <v>16</v>
      </c>
      <c r="D278" s="48">
        <v>30</v>
      </c>
    </row>
    <row r="279" spans="1:4" ht="15.75" customHeight="1">
      <c r="A279" s="6">
        <v>70706</v>
      </c>
      <c r="B279" s="7" t="s">
        <v>365</v>
      </c>
      <c r="C279" s="48">
        <v>7</v>
      </c>
      <c r="D279" s="48">
        <v>15</v>
      </c>
    </row>
    <row r="280" spans="1:4" ht="15.75" customHeight="1">
      <c r="A280" s="6">
        <v>70707</v>
      </c>
      <c r="B280" s="7" t="s">
        <v>366</v>
      </c>
      <c r="C280" s="48">
        <v>0</v>
      </c>
      <c r="D280" s="48">
        <v>2</v>
      </c>
    </row>
    <row r="281" spans="1:4" ht="15.75" customHeight="1">
      <c r="A281" s="6">
        <v>70801</v>
      </c>
      <c r="B281" s="7" t="s">
        <v>367</v>
      </c>
      <c r="C281" s="48">
        <v>3</v>
      </c>
      <c r="D281" s="48">
        <v>6</v>
      </c>
    </row>
    <row r="282" spans="1:4" ht="15.75" customHeight="1">
      <c r="A282" s="6">
        <v>70802</v>
      </c>
      <c r="B282" s="7" t="s">
        <v>368</v>
      </c>
      <c r="C282" s="48">
        <v>0</v>
      </c>
      <c r="D282" s="48">
        <v>2</v>
      </c>
    </row>
    <row r="283" spans="1:4" ht="15.75" customHeight="1">
      <c r="A283" s="6">
        <v>70803</v>
      </c>
      <c r="B283" s="7" t="s">
        <v>369</v>
      </c>
      <c r="C283" s="48">
        <v>0</v>
      </c>
      <c r="D283" s="48">
        <v>0</v>
      </c>
    </row>
    <row r="284" spans="1:4" ht="15.75" customHeight="1">
      <c r="A284" s="6">
        <v>70804</v>
      </c>
      <c r="B284" s="7" t="s">
        <v>370</v>
      </c>
      <c r="C284" s="48">
        <v>0</v>
      </c>
      <c r="D284" s="48">
        <v>0</v>
      </c>
    </row>
    <row r="285" spans="1:4" ht="15.75" customHeight="1">
      <c r="A285" s="6">
        <v>70805</v>
      </c>
      <c r="B285" s="7" t="s">
        <v>371</v>
      </c>
      <c r="C285" s="48">
        <v>0</v>
      </c>
      <c r="D285" s="48">
        <v>1</v>
      </c>
    </row>
    <row r="286" spans="1:4" ht="15.75" customHeight="1">
      <c r="A286" s="6">
        <v>70901</v>
      </c>
      <c r="B286" s="7" t="s">
        <v>373</v>
      </c>
      <c r="C286" s="48">
        <v>0</v>
      </c>
      <c r="D286" s="48">
        <v>8</v>
      </c>
    </row>
    <row r="287" spans="1:4" ht="15.75" customHeight="1">
      <c r="A287" s="6">
        <v>70902</v>
      </c>
      <c r="B287" s="7" t="s">
        <v>374</v>
      </c>
      <c r="C287" s="48">
        <v>3</v>
      </c>
      <c r="D287" s="48">
        <v>5</v>
      </c>
    </row>
    <row r="288" spans="1:4" ht="15.75" customHeight="1">
      <c r="A288" s="6">
        <v>70903</v>
      </c>
      <c r="B288" s="7" t="s">
        <v>375</v>
      </c>
      <c r="C288" s="48">
        <v>5</v>
      </c>
      <c r="D288" s="48">
        <v>7</v>
      </c>
    </row>
    <row r="289" spans="1:4" ht="15.75" customHeight="1">
      <c r="A289" s="6">
        <v>70904</v>
      </c>
      <c r="B289" s="7" t="s">
        <v>376</v>
      </c>
      <c r="C289" s="48">
        <v>1</v>
      </c>
      <c r="D289" s="48">
        <v>0</v>
      </c>
    </row>
    <row r="290" spans="1:4" ht="15.75" customHeight="1">
      <c r="A290" s="6">
        <v>71001</v>
      </c>
      <c r="B290" s="7" t="s">
        <v>378</v>
      </c>
      <c r="C290" s="48">
        <v>40</v>
      </c>
      <c r="D290" s="48">
        <v>62</v>
      </c>
    </row>
    <row r="291" spans="1:4" ht="15.75" customHeight="1">
      <c r="A291" s="6">
        <v>71002</v>
      </c>
      <c r="B291" s="7" t="s">
        <v>379</v>
      </c>
      <c r="C291" s="48">
        <v>3</v>
      </c>
      <c r="D291" s="48">
        <v>14</v>
      </c>
    </row>
    <row r="292" spans="1:4" ht="15.75" customHeight="1">
      <c r="A292" s="6">
        <v>71003</v>
      </c>
      <c r="B292" s="7" t="s">
        <v>380</v>
      </c>
      <c r="C292" s="48">
        <v>12</v>
      </c>
      <c r="D292" s="48">
        <v>21</v>
      </c>
    </row>
    <row r="293" spans="1:4" ht="15.75" customHeight="1">
      <c r="A293" s="6">
        <v>71004</v>
      </c>
      <c r="B293" s="7" t="s">
        <v>381</v>
      </c>
      <c r="C293" s="48">
        <v>10</v>
      </c>
      <c r="D293" s="48">
        <v>11</v>
      </c>
    </row>
    <row r="294" spans="1:4" ht="15.75" customHeight="1">
      <c r="A294" s="6">
        <v>71005</v>
      </c>
      <c r="B294" s="7" t="s">
        <v>382</v>
      </c>
      <c r="C294" s="48">
        <v>7</v>
      </c>
      <c r="D294" s="48">
        <v>8</v>
      </c>
    </row>
    <row r="295" spans="1:4" ht="15.75" customHeight="1">
      <c r="A295" s="6">
        <v>71101</v>
      </c>
      <c r="B295" s="7" t="s">
        <v>384</v>
      </c>
      <c r="C295" s="48">
        <v>10</v>
      </c>
      <c r="D295" s="48">
        <v>33</v>
      </c>
    </row>
    <row r="296" spans="1:4" ht="15.75" customHeight="1">
      <c r="A296" s="6">
        <v>71102</v>
      </c>
      <c r="B296" s="7" t="s">
        <v>385</v>
      </c>
      <c r="C296" s="48">
        <v>15</v>
      </c>
      <c r="D296" s="48">
        <v>17</v>
      </c>
    </row>
    <row r="297" spans="1:4" ht="15.75" customHeight="1">
      <c r="A297" s="6">
        <v>71103</v>
      </c>
      <c r="B297" s="7" t="s">
        <v>386</v>
      </c>
      <c r="C297" s="48">
        <v>4</v>
      </c>
      <c r="D297" s="48">
        <v>38</v>
      </c>
    </row>
    <row r="298" spans="1:4" ht="15.75" customHeight="1">
      <c r="A298" s="6">
        <v>71104</v>
      </c>
      <c r="B298" s="7" t="s">
        <v>387</v>
      </c>
      <c r="C298" s="48">
        <v>17</v>
      </c>
      <c r="D298" s="48">
        <v>8</v>
      </c>
    </row>
    <row r="299" spans="1:4" ht="15.75" customHeight="1">
      <c r="A299" s="6">
        <v>71105</v>
      </c>
      <c r="B299" s="7" t="s">
        <v>388</v>
      </c>
      <c r="C299" s="48">
        <v>8</v>
      </c>
      <c r="D299" s="48">
        <v>5</v>
      </c>
    </row>
    <row r="300" spans="1:4" ht="15.75" customHeight="1">
      <c r="A300" s="6">
        <v>71106</v>
      </c>
      <c r="B300" s="7" t="s">
        <v>389</v>
      </c>
      <c r="C300" s="48">
        <v>12</v>
      </c>
      <c r="D300" s="48">
        <v>27</v>
      </c>
    </row>
    <row r="301" spans="1:4" ht="15.75" customHeight="1">
      <c r="A301" s="6">
        <v>71201</v>
      </c>
      <c r="B301" s="7" t="s">
        <v>391</v>
      </c>
      <c r="C301" s="48">
        <v>7</v>
      </c>
      <c r="D301" s="48">
        <v>7</v>
      </c>
    </row>
    <row r="302" spans="1:4" ht="15.75" customHeight="1">
      <c r="A302" s="6">
        <v>71301</v>
      </c>
      <c r="B302" s="7" t="s">
        <v>393</v>
      </c>
      <c r="C302" s="48">
        <v>3</v>
      </c>
      <c r="D302" s="48">
        <v>17</v>
      </c>
    </row>
    <row r="303" spans="1:4" ht="15.75" customHeight="1">
      <c r="A303" s="6">
        <v>71302</v>
      </c>
      <c r="B303" s="7" t="s">
        <v>394</v>
      </c>
      <c r="C303" s="48">
        <v>1</v>
      </c>
      <c r="D303" s="48">
        <v>2</v>
      </c>
    </row>
    <row r="304" spans="1:4" ht="15.75" customHeight="1">
      <c r="A304" s="6">
        <v>71401</v>
      </c>
      <c r="B304" s="7" t="s">
        <v>396</v>
      </c>
      <c r="C304" s="48">
        <v>7</v>
      </c>
      <c r="D304" s="48">
        <v>12</v>
      </c>
    </row>
    <row r="305" spans="1:4" ht="15.75" customHeight="1">
      <c r="A305" s="6">
        <v>71402</v>
      </c>
      <c r="B305" s="7" t="s">
        <v>397</v>
      </c>
      <c r="C305" s="48">
        <v>10</v>
      </c>
      <c r="D305" s="48">
        <v>10</v>
      </c>
    </row>
    <row r="306" spans="1:4" ht="15.75" customHeight="1">
      <c r="A306" s="6">
        <v>71403</v>
      </c>
      <c r="B306" s="7" t="s">
        <v>398</v>
      </c>
      <c r="C306" s="48">
        <v>1</v>
      </c>
      <c r="D306" s="48">
        <v>12</v>
      </c>
    </row>
    <row r="307" spans="1:4" ht="15.75" customHeight="1">
      <c r="A307" s="6">
        <v>71501</v>
      </c>
      <c r="B307" s="7" t="s">
        <v>400</v>
      </c>
      <c r="C307" s="48">
        <v>10</v>
      </c>
      <c r="D307" s="48">
        <v>30</v>
      </c>
    </row>
    <row r="308" spans="1:4" ht="15.75" customHeight="1">
      <c r="A308" s="6">
        <v>71502</v>
      </c>
      <c r="B308" s="7" t="s">
        <v>401</v>
      </c>
      <c r="C308" s="48">
        <v>3</v>
      </c>
      <c r="D308" s="48">
        <v>10</v>
      </c>
    </row>
    <row r="309" spans="1:4" ht="15.75" customHeight="1">
      <c r="A309" s="6">
        <v>71503</v>
      </c>
      <c r="B309" s="7" t="s">
        <v>332</v>
      </c>
      <c r="C309" s="48">
        <v>10</v>
      </c>
      <c r="D309" s="48">
        <v>10</v>
      </c>
    </row>
    <row r="310" spans="1:4" ht="15.75" customHeight="1">
      <c r="A310" s="6">
        <v>80101</v>
      </c>
      <c r="B310" s="7" t="s">
        <v>402</v>
      </c>
      <c r="C310" s="48">
        <v>57</v>
      </c>
      <c r="D310" s="48">
        <v>50</v>
      </c>
    </row>
    <row r="311" spans="1:4" ht="15.75" customHeight="1">
      <c r="A311" s="6">
        <v>80102</v>
      </c>
      <c r="B311" s="7" t="s">
        <v>385</v>
      </c>
      <c r="C311" s="48">
        <v>6</v>
      </c>
      <c r="D311" s="48">
        <v>8</v>
      </c>
    </row>
    <row r="312" spans="1:4" ht="15.75" customHeight="1">
      <c r="A312" s="6">
        <v>80201</v>
      </c>
      <c r="B312" s="7" t="s">
        <v>404</v>
      </c>
      <c r="C312" s="48">
        <v>80</v>
      </c>
      <c r="D312" s="48">
        <v>83</v>
      </c>
    </row>
    <row r="313" spans="1:4" ht="15.75" customHeight="1">
      <c r="A313" s="6">
        <v>80202</v>
      </c>
      <c r="B313" s="7" t="s">
        <v>405</v>
      </c>
      <c r="C313" s="48">
        <v>28</v>
      </c>
      <c r="D313" s="48">
        <v>23</v>
      </c>
    </row>
    <row r="314" spans="1:4" ht="15.75" customHeight="1">
      <c r="A314" s="6">
        <v>80301</v>
      </c>
      <c r="B314" s="7" t="s">
        <v>407</v>
      </c>
      <c r="C314" s="48">
        <v>12</v>
      </c>
      <c r="D314" s="48">
        <v>15</v>
      </c>
    </row>
    <row r="315" spans="1:4" ht="15.75" customHeight="1">
      <c r="A315" s="6">
        <v>80302</v>
      </c>
      <c r="B315" s="7" t="s">
        <v>408</v>
      </c>
      <c r="C315" s="48">
        <v>66</v>
      </c>
      <c r="D315" s="48">
        <v>57</v>
      </c>
    </row>
    <row r="316" spans="1:4" ht="15.75" customHeight="1">
      <c r="A316" s="6">
        <v>80303</v>
      </c>
      <c r="B316" s="7" t="s">
        <v>409</v>
      </c>
      <c r="C316" s="48">
        <v>6</v>
      </c>
      <c r="D316" s="48">
        <v>11</v>
      </c>
    </row>
    <row r="317" spans="1:4" ht="15.75" customHeight="1">
      <c r="A317" s="6">
        <v>80304</v>
      </c>
      <c r="B317" s="7" t="s">
        <v>410</v>
      </c>
      <c r="C317" s="48">
        <v>14</v>
      </c>
      <c r="D317" s="48">
        <v>19</v>
      </c>
    </row>
    <row r="318" spans="1:4" ht="15.75" customHeight="1">
      <c r="A318" s="6">
        <v>80401</v>
      </c>
      <c r="B318" s="7" t="s">
        <v>412</v>
      </c>
      <c r="C318" s="48">
        <v>13</v>
      </c>
      <c r="D318" s="48">
        <v>7</v>
      </c>
    </row>
    <row r="319" spans="1:4" ht="15.75" customHeight="1">
      <c r="A319" s="6">
        <v>80402</v>
      </c>
      <c r="B319" s="7" t="s">
        <v>413</v>
      </c>
      <c r="C319" s="48">
        <v>1</v>
      </c>
      <c r="D319" s="48">
        <v>2</v>
      </c>
    </row>
    <row r="320" spans="1:4" ht="15.75" customHeight="1">
      <c r="A320" s="6">
        <v>80501</v>
      </c>
      <c r="B320" s="7" t="s">
        <v>415</v>
      </c>
      <c r="C320" s="48">
        <v>14</v>
      </c>
      <c r="D320" s="48">
        <v>21</v>
      </c>
    </row>
    <row r="321" spans="1:4" ht="15.75" customHeight="1">
      <c r="A321" s="6">
        <v>80601</v>
      </c>
      <c r="B321" s="7" t="s">
        <v>417</v>
      </c>
      <c r="C321" s="48">
        <v>3</v>
      </c>
      <c r="D321" s="48">
        <v>5</v>
      </c>
    </row>
    <row r="322" spans="1:4" ht="15.75" customHeight="1">
      <c r="A322" s="6">
        <v>80602</v>
      </c>
      <c r="B322" s="7" t="s">
        <v>418</v>
      </c>
      <c r="C322" s="48">
        <v>6</v>
      </c>
      <c r="D322" s="48">
        <v>19</v>
      </c>
    </row>
    <row r="323" spans="1:4" ht="15.75" customHeight="1">
      <c r="A323" s="6">
        <v>80701</v>
      </c>
      <c r="B323" s="7" t="s">
        <v>420</v>
      </c>
      <c r="C323" s="48">
        <v>6</v>
      </c>
      <c r="D323" s="48">
        <v>4</v>
      </c>
    </row>
    <row r="324" spans="1:4" ht="15.75" customHeight="1">
      <c r="A324" s="6">
        <v>80702</v>
      </c>
      <c r="B324" s="7" t="s">
        <v>386</v>
      </c>
      <c r="C324" s="48">
        <v>3</v>
      </c>
      <c r="D324" s="48">
        <v>4</v>
      </c>
    </row>
    <row r="325" spans="1:4" ht="15.75" customHeight="1">
      <c r="A325" s="6">
        <v>80703</v>
      </c>
      <c r="B325" s="7" t="s">
        <v>421</v>
      </c>
      <c r="C325" s="48">
        <v>2</v>
      </c>
      <c r="D325" s="48">
        <v>0</v>
      </c>
    </row>
    <row r="326" spans="1:4" ht="15.75" customHeight="1">
      <c r="A326" s="6">
        <v>80801</v>
      </c>
      <c r="B326" s="7" t="s">
        <v>423</v>
      </c>
      <c r="C326" s="48">
        <v>1</v>
      </c>
      <c r="D326" s="48">
        <v>7</v>
      </c>
    </row>
    <row r="327" spans="1:4" ht="15.75" customHeight="1">
      <c r="A327" s="6">
        <v>80802</v>
      </c>
      <c r="B327" s="7" t="s">
        <v>424</v>
      </c>
      <c r="C327" s="48">
        <v>2</v>
      </c>
      <c r="D327" s="48">
        <v>7</v>
      </c>
    </row>
    <row r="328" spans="1:4" ht="15.75" customHeight="1">
      <c r="A328" s="6">
        <v>80803</v>
      </c>
      <c r="B328" s="7" t="s">
        <v>425</v>
      </c>
      <c r="C328" s="48">
        <v>2</v>
      </c>
      <c r="D328" s="48">
        <v>1</v>
      </c>
    </row>
    <row r="329" spans="1:4" ht="15.75" customHeight="1">
      <c r="A329" s="6">
        <v>80901</v>
      </c>
      <c r="B329" s="46" t="s">
        <v>426</v>
      </c>
      <c r="C329" s="48">
        <v>21</v>
      </c>
      <c r="D329" s="48">
        <v>12</v>
      </c>
    </row>
    <row r="330" spans="1:4" ht="15.75" customHeight="1">
      <c r="A330" s="6">
        <v>90101</v>
      </c>
      <c r="B330" s="7" t="s">
        <v>428</v>
      </c>
      <c r="C330" s="48">
        <v>7</v>
      </c>
      <c r="D330" s="48">
        <v>35</v>
      </c>
    </row>
    <row r="331" spans="1:4" ht="15.75" customHeight="1">
      <c r="A331" s="6">
        <v>90102</v>
      </c>
      <c r="B331" s="7" t="s">
        <v>429</v>
      </c>
      <c r="C331" s="48">
        <v>0</v>
      </c>
      <c r="D331" s="48">
        <v>1</v>
      </c>
    </row>
    <row r="332" spans="1:4" ht="15.75" customHeight="1">
      <c r="A332" s="6">
        <v>90103</v>
      </c>
      <c r="B332" s="7" t="s">
        <v>430</v>
      </c>
      <c r="C332" s="48">
        <v>0</v>
      </c>
      <c r="D332" s="48">
        <v>0</v>
      </c>
    </row>
    <row r="333" spans="1:4" ht="15.75" customHeight="1">
      <c r="A333" s="6">
        <v>90104</v>
      </c>
      <c r="B333" s="7" t="s">
        <v>431</v>
      </c>
      <c r="C333" s="48">
        <v>0</v>
      </c>
      <c r="D333" s="48">
        <v>1</v>
      </c>
    </row>
    <row r="334" spans="1:4" ht="15.75" customHeight="1">
      <c r="A334" s="6">
        <v>90201</v>
      </c>
      <c r="B334" s="7" t="s">
        <v>433</v>
      </c>
      <c r="C334" s="48">
        <v>0</v>
      </c>
      <c r="D334" s="48">
        <v>4</v>
      </c>
    </row>
    <row r="335" spans="1:4" ht="15.75" customHeight="1">
      <c r="A335" s="6">
        <v>90202</v>
      </c>
      <c r="B335" s="7" t="s">
        <v>382</v>
      </c>
      <c r="C335" s="48">
        <v>0</v>
      </c>
      <c r="D335" s="48">
        <v>0</v>
      </c>
    </row>
    <row r="336" spans="1:4" ht="15.75" customHeight="1">
      <c r="A336" s="6">
        <v>90203</v>
      </c>
      <c r="B336" s="7" t="s">
        <v>434</v>
      </c>
      <c r="C336" s="48">
        <v>0</v>
      </c>
      <c r="D336" s="48">
        <v>4</v>
      </c>
    </row>
    <row r="337" spans="1:4" ht="15.75" customHeight="1">
      <c r="A337" s="6">
        <v>90301</v>
      </c>
      <c r="B337" s="7" t="s">
        <v>436</v>
      </c>
      <c r="C337" s="48">
        <v>1</v>
      </c>
      <c r="D337" s="48">
        <v>6</v>
      </c>
    </row>
    <row r="338" spans="1:4" ht="15.75" customHeight="1">
      <c r="A338" s="6">
        <v>90302</v>
      </c>
      <c r="B338" s="7" t="s">
        <v>437</v>
      </c>
      <c r="C338" s="48">
        <v>0</v>
      </c>
      <c r="D338" s="48">
        <v>2</v>
      </c>
    </row>
    <row r="339" spans="1:4" ht="15.75" customHeight="1">
      <c r="A339" s="6">
        <v>90303</v>
      </c>
      <c r="B339" s="7" t="s">
        <v>438</v>
      </c>
      <c r="C339" s="48">
        <v>2</v>
      </c>
      <c r="D339" s="48">
        <v>11</v>
      </c>
    </row>
    <row r="340" spans="1:4" ht="15.75" customHeight="1">
      <c r="A340" s="6">
        <v>90401</v>
      </c>
      <c r="B340" s="7" t="s">
        <v>440</v>
      </c>
      <c r="C340" s="48">
        <v>0</v>
      </c>
      <c r="D340" s="48">
        <v>1</v>
      </c>
    </row>
    <row r="341" spans="1:4" ht="15.75" customHeight="1">
      <c r="A341" s="6">
        <v>90402</v>
      </c>
      <c r="B341" s="7" t="s">
        <v>102</v>
      </c>
      <c r="C341" s="48">
        <v>1</v>
      </c>
      <c r="D341" s="48">
        <v>2</v>
      </c>
    </row>
    <row r="342" spans="1:4" ht="15.75" customHeight="1">
      <c r="A342" s="6">
        <v>90501</v>
      </c>
      <c r="B342" s="7" t="s">
        <v>442</v>
      </c>
      <c r="C342" s="48">
        <v>2</v>
      </c>
      <c r="D342" s="48">
        <v>1</v>
      </c>
    </row>
    <row r="343" spans="1:4" ht="15.75" customHeight="1">
      <c r="A343" s="6">
        <v>90502</v>
      </c>
      <c r="B343" s="7" t="s">
        <v>443</v>
      </c>
      <c r="C343" s="48">
        <v>2</v>
      </c>
      <c r="D343" s="48">
        <v>4</v>
      </c>
    </row>
    <row r="344" spans="1:4" ht="15.75" customHeight="1">
      <c r="A344" s="6">
        <v>90503</v>
      </c>
      <c r="B344" s="7" t="s">
        <v>444</v>
      </c>
      <c r="C344" s="48">
        <v>0</v>
      </c>
      <c r="D344" s="48">
        <v>4</v>
      </c>
    </row>
    <row r="345" spans="1:4" ht="15.75" customHeight="1">
      <c r="A345" s="23"/>
      <c r="B345" s="24"/>
      <c r="C345" s="42">
        <v>0</v>
      </c>
      <c r="D345" s="32"/>
    </row>
    <row r="346" spans="1:4" ht="15.75" customHeight="1">
      <c r="A346" s="23"/>
      <c r="B346" s="24"/>
      <c r="D346" s="32"/>
    </row>
    <row r="347" spans="1:4" ht="15.75" customHeight="1">
      <c r="A347" s="23"/>
      <c r="B347" s="24"/>
      <c r="D347" s="32"/>
    </row>
    <row r="348" spans="1:4" ht="15.75" customHeight="1">
      <c r="A348" s="23"/>
      <c r="B348" s="24"/>
    </row>
    <row r="349" spans="1:4" ht="15.75" customHeight="1">
      <c r="A349" s="23"/>
      <c r="B349" s="24"/>
    </row>
    <row r="350" spans="1:4" ht="15.75" customHeight="1">
      <c r="A350" s="23"/>
      <c r="B350" s="24"/>
      <c r="D350" s="34"/>
    </row>
    <row r="351" spans="1:4" ht="15.75" customHeight="1">
      <c r="A351" s="23"/>
      <c r="B351" s="24"/>
      <c r="D351" s="34"/>
    </row>
    <row r="352" spans="1:4" ht="15.75" customHeight="1">
      <c r="A352" s="23"/>
      <c r="B352" s="24"/>
      <c r="D352" s="34"/>
    </row>
    <row r="353" spans="1:4" ht="15.75" customHeight="1">
      <c r="A353" s="23"/>
      <c r="B353" s="35"/>
      <c r="D353" s="34"/>
    </row>
    <row r="354" spans="1:4" ht="15.75" customHeight="1">
      <c r="A354" s="23"/>
      <c r="B354" s="35"/>
      <c r="D354" s="32"/>
    </row>
    <row r="355" spans="1:4" ht="15.75" customHeight="1">
      <c r="A355" s="23"/>
      <c r="B355" s="35"/>
    </row>
    <row r="356" spans="1:4" ht="15.75" customHeight="1">
      <c r="A356" s="23"/>
      <c r="B356" s="35"/>
    </row>
    <row r="357" spans="1:4" ht="15.75" customHeight="1">
      <c r="A357" s="23"/>
      <c r="B357" s="35"/>
    </row>
    <row r="358" spans="1:4" ht="15.75" customHeight="1">
      <c r="A358" s="23"/>
      <c r="B358" s="35"/>
    </row>
    <row r="359" spans="1:4" ht="15.75" customHeight="1">
      <c r="A359" s="23"/>
      <c r="B359" s="35"/>
    </row>
    <row r="360" spans="1:4" ht="15.75" customHeight="1">
      <c r="A360" s="23"/>
      <c r="B360" s="35"/>
    </row>
    <row r="361" spans="1:4" ht="15.75" customHeight="1">
      <c r="A361" s="23"/>
      <c r="B361" s="35"/>
    </row>
    <row r="362" spans="1:4" ht="15.75" customHeight="1">
      <c r="A362" s="23"/>
      <c r="B362" s="35"/>
    </row>
    <row r="363" spans="1:4" ht="15.75" customHeight="1">
      <c r="A363" s="23"/>
      <c r="B363" s="35"/>
    </row>
    <row r="364" spans="1:4" ht="15.75" customHeight="1">
      <c r="A364" s="23"/>
      <c r="B364" s="35"/>
    </row>
    <row r="365" spans="1:4" ht="15.75" customHeight="1">
      <c r="A365" s="23"/>
      <c r="B365" s="35"/>
    </row>
    <row r="366" spans="1:4" ht="15.75" customHeight="1">
      <c r="A366" s="23"/>
      <c r="B366" s="35"/>
    </row>
    <row r="367" spans="1:4" ht="15.75" customHeight="1">
      <c r="A367" s="23"/>
      <c r="B367" s="35"/>
    </row>
    <row r="368" spans="1:4" ht="15.75" customHeight="1">
      <c r="A368" s="23"/>
      <c r="B368" s="35"/>
    </row>
    <row r="369" spans="1:2" ht="15.75" customHeight="1">
      <c r="A369" s="23"/>
      <c r="B369" s="35"/>
    </row>
    <row r="370" spans="1:2" ht="15.75" customHeight="1">
      <c r="A370" s="23"/>
      <c r="B370" s="35"/>
    </row>
    <row r="371" spans="1:2" ht="15.75" customHeight="1">
      <c r="A371" s="23"/>
      <c r="B371" s="35"/>
    </row>
    <row r="372" spans="1:2" ht="15.75" customHeight="1">
      <c r="A372" s="23"/>
      <c r="B372" s="35"/>
    </row>
    <row r="373" spans="1:2" ht="15.75" customHeight="1">
      <c r="A373" s="23"/>
      <c r="B373" s="35"/>
    </row>
    <row r="374" spans="1:2" ht="15.75" customHeight="1">
      <c r="A374" s="23"/>
      <c r="B374" s="35"/>
    </row>
    <row r="375" spans="1:2" ht="15.75" customHeight="1">
      <c r="A375" s="23"/>
      <c r="B375" s="35"/>
    </row>
    <row r="376" spans="1:2" ht="15.75" customHeight="1">
      <c r="A376" s="23"/>
      <c r="B376" s="35"/>
    </row>
    <row r="377" spans="1:2" ht="15.75" customHeight="1">
      <c r="A377" s="23"/>
      <c r="B377" s="35"/>
    </row>
    <row r="378" spans="1:2" ht="15.75" customHeight="1">
      <c r="A378" s="23"/>
      <c r="B378" s="35"/>
    </row>
    <row r="379" spans="1:2" ht="15.75" customHeight="1">
      <c r="A379" s="23"/>
      <c r="B379" s="35"/>
    </row>
    <row r="380" spans="1:2" ht="15.75" customHeight="1">
      <c r="A380" s="23"/>
      <c r="B380" s="35"/>
    </row>
    <row r="381" spans="1:2" ht="15.75" customHeight="1">
      <c r="A381" s="23"/>
      <c r="B381" s="35"/>
    </row>
    <row r="382" spans="1:2" ht="15.75" customHeight="1">
      <c r="A382" s="23"/>
      <c r="B382" s="35"/>
    </row>
    <row r="383" spans="1:2" ht="15.75" customHeight="1">
      <c r="A383" s="23"/>
      <c r="B383" s="35"/>
    </row>
    <row r="384" spans="1:2" ht="15.75" customHeight="1">
      <c r="A384" s="23"/>
      <c r="B384" s="35"/>
    </row>
    <row r="385" spans="1:2" ht="15.75" customHeight="1">
      <c r="A385" s="23"/>
      <c r="B385" s="35"/>
    </row>
    <row r="386" spans="1:2" ht="15.75" customHeight="1">
      <c r="A386" s="23"/>
      <c r="B386" s="35"/>
    </row>
    <row r="387" spans="1:2" ht="15.75" customHeight="1">
      <c r="A387" s="23"/>
      <c r="B387" s="35"/>
    </row>
    <row r="388" spans="1:2" ht="15.75" customHeight="1">
      <c r="A388" s="23"/>
      <c r="B388" s="35"/>
    </row>
    <row r="389" spans="1:2" ht="15.75" customHeight="1">
      <c r="A389" s="23"/>
      <c r="B389" s="35"/>
    </row>
    <row r="390" spans="1:2" ht="15.75" customHeight="1">
      <c r="A390" s="23"/>
      <c r="B390" s="35"/>
    </row>
    <row r="391" spans="1:2" ht="15.75" customHeight="1">
      <c r="A391" s="23"/>
      <c r="B391" s="35"/>
    </row>
    <row r="392" spans="1:2" ht="15.75" customHeight="1">
      <c r="A392" s="23"/>
      <c r="B392" s="35"/>
    </row>
    <row r="393" spans="1:2" ht="15.75" customHeight="1">
      <c r="A393" s="23"/>
      <c r="B393" s="35"/>
    </row>
    <row r="394" spans="1:2" ht="15.75" customHeight="1">
      <c r="A394" s="23"/>
      <c r="B394" s="35"/>
    </row>
    <row r="395" spans="1:2" ht="15.75" customHeight="1">
      <c r="A395" s="23"/>
      <c r="B395" s="35"/>
    </row>
    <row r="396" spans="1:2" ht="15.75" customHeight="1">
      <c r="A396" s="23"/>
      <c r="B396" s="35"/>
    </row>
    <row r="397" spans="1:2" ht="15.75" customHeight="1">
      <c r="A397" s="23"/>
      <c r="B397" s="35"/>
    </row>
    <row r="398" spans="1:2" ht="15.75" customHeight="1">
      <c r="A398" s="23"/>
      <c r="B398" s="35"/>
    </row>
    <row r="399" spans="1:2" ht="15.75" customHeight="1">
      <c r="A399" s="23"/>
      <c r="B399" s="35"/>
    </row>
    <row r="400" spans="1:2" ht="15.75" customHeight="1">
      <c r="A400" s="23"/>
      <c r="B400" s="35"/>
    </row>
    <row r="401" spans="1:2" ht="15.75" customHeight="1">
      <c r="A401" s="23"/>
      <c r="B401" s="35"/>
    </row>
    <row r="402" spans="1:2" ht="15.75" customHeight="1">
      <c r="A402" s="23"/>
      <c r="B402" s="35"/>
    </row>
    <row r="403" spans="1:2" ht="15.75" customHeight="1">
      <c r="A403" s="23"/>
      <c r="B403" s="35"/>
    </row>
    <row r="404" spans="1:2" ht="15.75" customHeight="1">
      <c r="A404" s="23"/>
      <c r="B404" s="35"/>
    </row>
    <row r="405" spans="1:2" ht="15.75" customHeight="1">
      <c r="A405" s="23"/>
      <c r="B405" s="35"/>
    </row>
    <row r="406" spans="1:2" ht="15.75" customHeight="1">
      <c r="A406" s="23"/>
      <c r="B406" s="35"/>
    </row>
    <row r="407" spans="1:2" ht="15.75" customHeight="1">
      <c r="A407" s="23"/>
      <c r="B407" s="35"/>
    </row>
    <row r="408" spans="1:2" ht="15.75" customHeight="1">
      <c r="A408" s="23"/>
      <c r="B408" s="35"/>
    </row>
    <row r="409" spans="1:2" ht="15.75" customHeight="1">
      <c r="A409" s="23"/>
      <c r="B409" s="35"/>
    </row>
    <row r="410" spans="1:2" ht="15.75" customHeight="1">
      <c r="A410" s="23"/>
      <c r="B410" s="35"/>
    </row>
    <row r="411" spans="1:2" ht="15.75" customHeight="1">
      <c r="A411" s="23"/>
      <c r="B411" s="35"/>
    </row>
    <row r="412" spans="1:2" ht="15.75" customHeight="1">
      <c r="A412" s="23"/>
      <c r="B412" s="35"/>
    </row>
    <row r="413" spans="1:2" ht="15.75" customHeight="1">
      <c r="A413" s="23"/>
      <c r="B413" s="35"/>
    </row>
    <row r="414" spans="1:2" ht="15.75" customHeight="1">
      <c r="A414" s="23"/>
      <c r="B414" s="35"/>
    </row>
    <row r="415" spans="1:2" ht="15.75" customHeight="1">
      <c r="A415" s="23"/>
      <c r="B415" s="35"/>
    </row>
    <row r="416" spans="1:2" ht="15.75" customHeight="1">
      <c r="A416" s="23"/>
      <c r="B416" s="35"/>
    </row>
    <row r="417" spans="1:2" ht="15.75" customHeight="1">
      <c r="A417" s="23"/>
      <c r="B417" s="35"/>
    </row>
    <row r="418" spans="1:2" ht="15.75" customHeight="1">
      <c r="A418" s="23"/>
      <c r="B418" s="35"/>
    </row>
    <row r="419" spans="1:2" ht="15.75" customHeight="1">
      <c r="A419" s="23"/>
      <c r="B419" s="35"/>
    </row>
    <row r="420" spans="1:2" ht="15.75" customHeight="1">
      <c r="A420" s="23"/>
      <c r="B420" s="35"/>
    </row>
    <row r="421" spans="1:2" ht="15.75" customHeight="1">
      <c r="A421" s="23"/>
      <c r="B421" s="35"/>
    </row>
    <row r="422" spans="1:2" ht="15.75" customHeight="1">
      <c r="A422" s="23"/>
      <c r="B422" s="35"/>
    </row>
    <row r="423" spans="1:2" ht="15.75" customHeight="1">
      <c r="A423" s="23"/>
      <c r="B423" s="35"/>
    </row>
    <row r="424" spans="1:2" ht="15.75" customHeight="1">
      <c r="A424" s="23"/>
      <c r="B424" s="35"/>
    </row>
    <row r="425" spans="1:2" ht="15.75" customHeight="1">
      <c r="A425" s="23"/>
      <c r="B425" s="35"/>
    </row>
    <row r="426" spans="1:2" ht="15.75" customHeight="1">
      <c r="A426" s="23"/>
      <c r="B426" s="35"/>
    </row>
    <row r="427" spans="1:2" ht="15.75" customHeight="1">
      <c r="A427" s="23"/>
      <c r="B427" s="35"/>
    </row>
    <row r="428" spans="1:2" ht="15.75" customHeight="1">
      <c r="A428" s="23"/>
      <c r="B428" s="35"/>
    </row>
    <row r="429" spans="1:2" ht="15.75" customHeight="1">
      <c r="A429" s="23"/>
      <c r="B429" s="35"/>
    </row>
    <row r="430" spans="1:2" ht="15.75" customHeight="1">
      <c r="A430" s="23"/>
      <c r="B430" s="35"/>
    </row>
    <row r="431" spans="1:2" ht="15.75" customHeight="1">
      <c r="A431" s="23"/>
      <c r="B431" s="35"/>
    </row>
    <row r="432" spans="1:2" ht="15.75" customHeight="1">
      <c r="A432" s="23"/>
      <c r="B432" s="35"/>
    </row>
    <row r="433" spans="1:2" ht="15.75" customHeight="1">
      <c r="A433" s="23"/>
      <c r="B433" s="35"/>
    </row>
    <row r="434" spans="1:2" ht="15.75" customHeight="1">
      <c r="A434" s="23"/>
      <c r="B434" s="35"/>
    </row>
    <row r="435" spans="1:2" ht="15.75" customHeight="1">
      <c r="A435" s="23"/>
      <c r="B435" s="35"/>
    </row>
    <row r="436" spans="1:2" ht="15.75" customHeight="1">
      <c r="A436" s="23"/>
      <c r="B436" s="35"/>
    </row>
    <row r="437" spans="1:2" ht="15.75" customHeight="1">
      <c r="A437" s="23"/>
      <c r="B437" s="35"/>
    </row>
    <row r="438" spans="1:2" ht="15.75" customHeight="1">
      <c r="A438" s="23"/>
      <c r="B438" s="35"/>
    </row>
    <row r="439" spans="1:2" ht="15.75" customHeight="1">
      <c r="A439" s="23"/>
      <c r="B439" s="35"/>
    </row>
    <row r="440" spans="1:2" ht="15.75" customHeight="1">
      <c r="A440" s="23"/>
      <c r="B440" s="35"/>
    </row>
    <row r="441" spans="1:2" ht="15.75" customHeight="1">
      <c r="A441" s="23"/>
      <c r="B441" s="35"/>
    </row>
    <row r="442" spans="1:2" ht="15.75" customHeight="1">
      <c r="A442" s="23"/>
      <c r="B442" s="35"/>
    </row>
    <row r="443" spans="1:2" ht="15.75" customHeight="1">
      <c r="A443" s="23"/>
      <c r="B443" s="35"/>
    </row>
    <row r="444" spans="1:2" ht="15.75" customHeight="1">
      <c r="A444" s="23"/>
      <c r="B444" s="35"/>
    </row>
    <row r="445" spans="1:2" ht="15.75" customHeight="1">
      <c r="A445" s="23"/>
      <c r="B445" s="35"/>
    </row>
    <row r="446" spans="1:2" ht="15.75" customHeight="1">
      <c r="A446" s="23"/>
      <c r="B446" s="35"/>
    </row>
    <row r="447" spans="1:2" ht="15.75" customHeight="1">
      <c r="A447" s="23"/>
      <c r="B447" s="35"/>
    </row>
    <row r="448" spans="1:2" ht="15.75" customHeight="1">
      <c r="A448" s="23"/>
      <c r="B448" s="35"/>
    </row>
    <row r="449" spans="1:2" ht="15.75" customHeight="1">
      <c r="A449" s="23"/>
      <c r="B449" s="35"/>
    </row>
    <row r="450" spans="1:2" ht="15.75" customHeight="1">
      <c r="A450" s="23"/>
      <c r="B450" s="35"/>
    </row>
    <row r="451" spans="1:2" ht="15.75" customHeight="1">
      <c r="A451" s="23"/>
      <c r="B451" s="35"/>
    </row>
    <row r="452" spans="1:2" ht="15.75" customHeight="1">
      <c r="A452" s="23"/>
      <c r="B452" s="35"/>
    </row>
    <row r="453" spans="1:2" ht="15.75" customHeight="1">
      <c r="A453" s="23"/>
      <c r="B453" s="35"/>
    </row>
    <row r="454" spans="1:2" ht="15.75" customHeight="1">
      <c r="A454" s="23"/>
      <c r="B454" s="35"/>
    </row>
    <row r="455" spans="1:2" ht="15.75" customHeight="1">
      <c r="A455" s="23"/>
      <c r="B455" s="35"/>
    </row>
    <row r="456" spans="1:2" ht="15.75" customHeight="1">
      <c r="A456" s="23"/>
      <c r="B456" s="35"/>
    </row>
    <row r="457" spans="1:2" ht="15.75" customHeight="1">
      <c r="A457" s="23"/>
      <c r="B457" s="35"/>
    </row>
    <row r="458" spans="1:2" ht="15.75" customHeight="1">
      <c r="A458" s="23"/>
      <c r="B458" s="35"/>
    </row>
    <row r="459" spans="1:2" ht="15.75" customHeight="1">
      <c r="A459" s="23"/>
      <c r="B459" s="35"/>
    </row>
    <row r="460" spans="1:2" ht="15.75" customHeight="1">
      <c r="A460" s="23"/>
      <c r="B460" s="35"/>
    </row>
    <row r="461" spans="1:2" ht="15.75" customHeight="1">
      <c r="A461" s="23"/>
      <c r="B461" s="35"/>
    </row>
    <row r="462" spans="1:2" ht="15.75" customHeight="1">
      <c r="A462" s="23"/>
      <c r="B462" s="35"/>
    </row>
    <row r="463" spans="1:2" ht="15.75" customHeight="1">
      <c r="A463" s="23"/>
      <c r="B463" s="35"/>
    </row>
    <row r="464" spans="1:2" ht="15.75" customHeight="1">
      <c r="A464" s="23"/>
      <c r="B464" s="35"/>
    </row>
    <row r="465" spans="1:2" ht="15.75" customHeight="1">
      <c r="A465" s="23"/>
      <c r="B465" s="35"/>
    </row>
    <row r="466" spans="1:2" ht="15.75" customHeight="1">
      <c r="A466" s="23"/>
      <c r="B466" s="35"/>
    </row>
    <row r="467" spans="1:2" ht="15.75" customHeight="1">
      <c r="A467" s="23"/>
      <c r="B467" s="35"/>
    </row>
    <row r="468" spans="1:2" ht="15.75" customHeight="1">
      <c r="A468" s="23"/>
      <c r="B468" s="35"/>
    </row>
    <row r="469" spans="1:2" ht="15.75" customHeight="1">
      <c r="A469" s="23"/>
      <c r="B469" s="35"/>
    </row>
    <row r="470" spans="1:2" ht="15.75" customHeight="1">
      <c r="A470" s="23"/>
      <c r="B470" s="35"/>
    </row>
    <row r="471" spans="1:2" ht="15.75" customHeight="1">
      <c r="A471" s="23"/>
      <c r="B471" s="35"/>
    </row>
    <row r="472" spans="1:2" ht="15.75" customHeight="1">
      <c r="A472" s="23"/>
      <c r="B472" s="35"/>
    </row>
    <row r="473" spans="1:2" ht="15.75" customHeight="1">
      <c r="A473" s="23"/>
      <c r="B473" s="35"/>
    </row>
    <row r="474" spans="1:2" ht="15.75" customHeight="1">
      <c r="A474" s="23"/>
      <c r="B474" s="35"/>
    </row>
    <row r="475" spans="1:2" ht="15.75" customHeight="1">
      <c r="A475" s="23"/>
      <c r="B475" s="35"/>
    </row>
    <row r="476" spans="1:2" ht="15.75" customHeight="1">
      <c r="A476" s="23"/>
      <c r="B476" s="35"/>
    </row>
    <row r="477" spans="1:2" ht="15.75" customHeight="1">
      <c r="A477" s="23"/>
      <c r="B477" s="35"/>
    </row>
    <row r="478" spans="1:2" ht="15.75" customHeight="1">
      <c r="A478" s="23"/>
      <c r="B478" s="35"/>
    </row>
    <row r="479" spans="1:2" ht="15.75" customHeight="1">
      <c r="A479" s="23"/>
      <c r="B479" s="35"/>
    </row>
    <row r="480" spans="1:2" ht="15.75" customHeight="1">
      <c r="A480" s="23"/>
      <c r="B480" s="35"/>
    </row>
    <row r="481" spans="1:2" ht="15.75" customHeight="1">
      <c r="A481" s="23"/>
      <c r="B481" s="35"/>
    </row>
    <row r="482" spans="1:2" ht="15.75" customHeight="1">
      <c r="A482" s="23"/>
      <c r="B482" s="35"/>
    </row>
    <row r="483" spans="1:2" ht="15.75" customHeight="1">
      <c r="A483" s="23"/>
      <c r="B483" s="35"/>
    </row>
    <row r="484" spans="1:2" ht="15.75" customHeight="1">
      <c r="A484" s="23"/>
      <c r="B484" s="35"/>
    </row>
    <row r="485" spans="1:2" ht="15.75" customHeight="1">
      <c r="A485" s="23"/>
      <c r="B485" s="35"/>
    </row>
    <row r="486" spans="1:2" ht="15.75" customHeight="1">
      <c r="A486" s="23"/>
      <c r="B486" s="35"/>
    </row>
    <row r="487" spans="1:2" ht="15.75" customHeight="1">
      <c r="A487" s="23"/>
      <c r="B487" s="35"/>
    </row>
    <row r="488" spans="1:2" ht="15.75" customHeight="1">
      <c r="A488" s="23"/>
      <c r="B488" s="35"/>
    </row>
    <row r="489" spans="1:2" ht="15.75" customHeight="1">
      <c r="A489" s="23"/>
      <c r="B489" s="35"/>
    </row>
    <row r="490" spans="1:2" ht="15.75" customHeight="1">
      <c r="A490" s="23"/>
      <c r="B490" s="35"/>
    </row>
    <row r="491" spans="1:2" ht="15.75" customHeight="1">
      <c r="A491" s="23"/>
      <c r="B491" s="35"/>
    </row>
    <row r="492" spans="1:2" ht="15.75" customHeight="1">
      <c r="A492" s="23"/>
      <c r="B492" s="35"/>
    </row>
    <row r="493" spans="1:2" ht="15.75" customHeight="1">
      <c r="A493" s="23"/>
      <c r="B493" s="35"/>
    </row>
    <row r="494" spans="1:2" ht="15.75" customHeight="1">
      <c r="A494" s="23"/>
      <c r="B494" s="35"/>
    </row>
    <row r="495" spans="1:2" ht="15.75" customHeight="1">
      <c r="A495" s="23"/>
      <c r="B495" s="35"/>
    </row>
    <row r="496" spans="1:2" ht="15.75" customHeight="1">
      <c r="A496" s="23"/>
      <c r="B496" s="35"/>
    </row>
    <row r="497" spans="1:2" ht="15.75" customHeight="1">
      <c r="A497" s="23"/>
      <c r="B497" s="35"/>
    </row>
    <row r="498" spans="1:2" ht="15.75" customHeight="1">
      <c r="A498" s="23"/>
      <c r="B498" s="35"/>
    </row>
    <row r="499" spans="1:2" ht="15.75" customHeight="1">
      <c r="A499" s="23"/>
      <c r="B499" s="35"/>
    </row>
    <row r="500" spans="1:2" ht="15.75" customHeight="1">
      <c r="A500" s="23"/>
      <c r="B500" s="35"/>
    </row>
    <row r="501" spans="1:2" ht="15.75" customHeight="1">
      <c r="A501" s="23"/>
      <c r="B501" s="35"/>
    </row>
    <row r="502" spans="1:2" ht="15.75" customHeight="1">
      <c r="A502" s="23"/>
      <c r="B502" s="35"/>
    </row>
    <row r="503" spans="1:2" ht="15.75" customHeight="1">
      <c r="A503" s="23"/>
      <c r="B503" s="35"/>
    </row>
    <row r="504" spans="1:2" ht="15.75" customHeight="1">
      <c r="A504" s="23"/>
      <c r="B504" s="35"/>
    </row>
    <row r="505" spans="1:2" ht="15.75" customHeight="1">
      <c r="A505" s="23"/>
      <c r="B505" s="35"/>
    </row>
    <row r="506" spans="1:2" ht="15.75" customHeight="1">
      <c r="A506" s="23"/>
      <c r="B506" s="35"/>
    </row>
    <row r="507" spans="1:2" ht="15.75" customHeight="1">
      <c r="A507" s="23"/>
      <c r="B507" s="35"/>
    </row>
    <row r="508" spans="1:2" ht="15.75" customHeight="1">
      <c r="A508" s="23"/>
      <c r="B508" s="35"/>
    </row>
    <row r="509" spans="1:2" ht="15.75" customHeight="1">
      <c r="A509" s="23"/>
      <c r="B509" s="35"/>
    </row>
    <row r="510" spans="1:2" ht="15.75" customHeight="1">
      <c r="A510" s="23"/>
      <c r="B510" s="35"/>
    </row>
    <row r="511" spans="1:2" ht="15.75" customHeight="1">
      <c r="A511" s="23"/>
      <c r="B511" s="35"/>
    </row>
    <row r="512" spans="1:2" ht="15.75" customHeight="1">
      <c r="A512" s="23"/>
      <c r="B512" s="35"/>
    </row>
    <row r="513" spans="1:2" ht="15.75" customHeight="1">
      <c r="A513" s="23"/>
      <c r="B513" s="35"/>
    </row>
    <row r="514" spans="1:2" ht="15.75" customHeight="1">
      <c r="A514" s="23"/>
      <c r="B514" s="35"/>
    </row>
    <row r="515" spans="1:2" ht="15.75" customHeight="1">
      <c r="A515" s="23"/>
      <c r="B515" s="35"/>
    </row>
    <row r="516" spans="1:2" ht="15.75" customHeight="1">
      <c r="A516" s="23"/>
      <c r="B516" s="35"/>
    </row>
    <row r="517" spans="1:2" ht="15.75" customHeight="1">
      <c r="A517" s="23"/>
      <c r="B517" s="35"/>
    </row>
    <row r="518" spans="1:2" ht="15.75" customHeight="1">
      <c r="A518" s="23"/>
      <c r="B518" s="35"/>
    </row>
    <row r="519" spans="1:2" ht="15.75" customHeight="1">
      <c r="A519" s="23"/>
      <c r="B519" s="35"/>
    </row>
    <row r="520" spans="1:2" ht="15.75" customHeight="1">
      <c r="A520" s="23"/>
      <c r="B520" s="35"/>
    </row>
    <row r="521" spans="1:2" ht="15.75" customHeight="1">
      <c r="A521" s="23"/>
      <c r="B521" s="35"/>
    </row>
    <row r="522" spans="1:2" ht="15.75" customHeight="1">
      <c r="A522" s="23"/>
      <c r="B522" s="35"/>
    </row>
    <row r="523" spans="1:2" ht="15.75" customHeight="1">
      <c r="A523" s="23"/>
      <c r="B523" s="35"/>
    </row>
    <row r="524" spans="1:2" ht="15.75" customHeight="1">
      <c r="A524" s="23"/>
      <c r="B524" s="35"/>
    </row>
    <row r="525" spans="1:2" ht="15.75" customHeight="1">
      <c r="A525" s="23"/>
      <c r="B525" s="35"/>
    </row>
    <row r="526" spans="1:2" ht="15.75" customHeight="1">
      <c r="A526" s="23"/>
      <c r="B526" s="35"/>
    </row>
    <row r="527" spans="1:2" ht="15.75" customHeight="1">
      <c r="A527" s="23"/>
      <c r="B527" s="35"/>
    </row>
    <row r="528" spans="1:2" ht="15.75" customHeight="1">
      <c r="A528" s="23"/>
      <c r="B528" s="35"/>
    </row>
    <row r="529" spans="1:2" ht="15.75" customHeight="1">
      <c r="A529" s="23"/>
      <c r="B529" s="35"/>
    </row>
    <row r="530" spans="1:2" ht="15.75" customHeight="1">
      <c r="A530" s="23"/>
      <c r="B530" s="35"/>
    </row>
    <row r="531" spans="1:2" ht="15.75" customHeight="1">
      <c r="A531" s="23"/>
      <c r="B531" s="35"/>
    </row>
    <row r="532" spans="1:2" ht="15.75" customHeight="1">
      <c r="A532" s="23"/>
      <c r="B532" s="35"/>
    </row>
    <row r="533" spans="1:2" ht="15.75" customHeight="1">
      <c r="A533" s="23"/>
      <c r="B533" s="35"/>
    </row>
    <row r="534" spans="1:2" ht="15.75" customHeight="1">
      <c r="A534" s="23"/>
      <c r="B534" s="35"/>
    </row>
    <row r="535" spans="1:2" ht="15.75" customHeight="1">
      <c r="A535" s="23"/>
      <c r="B535" s="35"/>
    </row>
    <row r="536" spans="1:2" ht="15.75" customHeight="1">
      <c r="A536" s="23"/>
      <c r="B536" s="35"/>
    </row>
    <row r="537" spans="1:2" ht="15.75" customHeight="1">
      <c r="A537" s="23"/>
      <c r="B537" s="35"/>
    </row>
    <row r="538" spans="1:2" ht="15.75" customHeight="1">
      <c r="A538" s="23"/>
      <c r="B538" s="35"/>
    </row>
    <row r="539" spans="1:2" ht="15.75" customHeight="1">
      <c r="A539" s="23"/>
      <c r="B539" s="35"/>
    </row>
    <row r="540" spans="1:2" ht="15.75" customHeight="1">
      <c r="A540" s="23"/>
      <c r="B540" s="35"/>
    </row>
    <row r="541" spans="1:2" ht="15.75" customHeight="1">
      <c r="A541" s="23"/>
      <c r="B541" s="35"/>
    </row>
    <row r="542" spans="1:2" ht="15.75" customHeight="1">
      <c r="A542" s="23"/>
      <c r="B542" s="35"/>
    </row>
    <row r="543" spans="1:2" ht="15.75" customHeight="1">
      <c r="A543" s="23"/>
      <c r="B543" s="35"/>
    </row>
    <row r="544" spans="1:2" ht="15.75" customHeight="1">
      <c r="A544" s="23"/>
      <c r="B544" s="35"/>
    </row>
    <row r="545" spans="1:2" ht="15.75" customHeight="1">
      <c r="A545" s="23"/>
      <c r="B545" s="35"/>
    </row>
    <row r="546" spans="1:2" ht="15.75" customHeight="1">
      <c r="A546" s="23"/>
    </row>
    <row r="547" spans="1:2" ht="15.75" customHeight="1">
      <c r="A547" s="23"/>
    </row>
    <row r="548" spans="1:2" ht="15.75" customHeight="1">
      <c r="A548" s="23"/>
    </row>
    <row r="549" spans="1:2" ht="15.75" customHeight="1">
      <c r="A549" s="23"/>
    </row>
    <row r="550" spans="1:2" ht="15.75" customHeight="1">
      <c r="A550" s="23"/>
    </row>
    <row r="551" spans="1:2" ht="15.75" customHeight="1">
      <c r="A551" s="23"/>
    </row>
    <row r="552" spans="1:2" ht="15.75" customHeight="1">
      <c r="A552" s="23"/>
    </row>
    <row r="553" spans="1:2" ht="15.75" customHeight="1">
      <c r="A553" s="23"/>
    </row>
    <row r="554" spans="1:2" ht="15.75" customHeight="1">
      <c r="A554" s="23"/>
    </row>
    <row r="555" spans="1:2" ht="15.75" customHeight="1">
      <c r="A555" s="23"/>
    </row>
    <row r="556" spans="1:2" ht="15.75" customHeight="1">
      <c r="A556" s="23"/>
    </row>
    <row r="557" spans="1:2" ht="15.75" customHeight="1">
      <c r="A557" s="23"/>
    </row>
    <row r="558" spans="1:2" ht="15.75" customHeight="1">
      <c r="A558" s="23"/>
    </row>
    <row r="559" spans="1:2" ht="15.75" customHeight="1">
      <c r="A559" s="23"/>
    </row>
    <row r="560" spans="1:2" ht="15.75" customHeight="1">
      <c r="A560" s="23"/>
    </row>
    <row r="561" spans="1:1" ht="15.75" customHeight="1">
      <c r="A561" s="23"/>
    </row>
    <row r="562" spans="1:1" ht="15.75" customHeight="1">
      <c r="A562" s="23"/>
    </row>
    <row r="563" spans="1:1" ht="15.75" customHeight="1">
      <c r="A563" s="23"/>
    </row>
    <row r="564" spans="1:1" ht="15.75" customHeight="1">
      <c r="A564" s="23"/>
    </row>
    <row r="565" spans="1:1" ht="15.75" customHeight="1">
      <c r="A565" s="23"/>
    </row>
    <row r="566" spans="1:1" ht="15.75" customHeight="1">
      <c r="A566" s="23"/>
    </row>
    <row r="567" spans="1:1" ht="15.75" customHeight="1">
      <c r="A567" s="23"/>
    </row>
    <row r="568" spans="1:1" ht="15.75" customHeight="1">
      <c r="A568" s="23"/>
    </row>
    <row r="569" spans="1:1" ht="15.75" customHeight="1">
      <c r="A569" s="23"/>
    </row>
    <row r="570" spans="1:1" ht="15.75" customHeight="1">
      <c r="A570" s="23"/>
    </row>
    <row r="571" spans="1:1" ht="15.75" customHeight="1">
      <c r="A571" s="23"/>
    </row>
    <row r="572" spans="1:1" ht="15.75" customHeight="1">
      <c r="A572" s="23"/>
    </row>
    <row r="573" spans="1:1" ht="15.75" customHeight="1">
      <c r="A573" s="23"/>
    </row>
    <row r="574" spans="1:1" ht="15.75" customHeight="1">
      <c r="A574" s="23"/>
    </row>
    <row r="575" spans="1:1" ht="15.75" customHeight="1">
      <c r="A575" s="23"/>
    </row>
    <row r="576" spans="1:1" ht="15.75" customHeight="1">
      <c r="A576" s="23"/>
    </row>
    <row r="577" spans="1:1" ht="15.75" customHeight="1">
      <c r="A577" s="23"/>
    </row>
    <row r="578" spans="1:1" ht="15.75" customHeight="1">
      <c r="A578" s="23"/>
    </row>
    <row r="579" spans="1:1" ht="15.75" customHeight="1">
      <c r="A579" s="23"/>
    </row>
    <row r="580" spans="1:1" ht="15.75" customHeight="1">
      <c r="A580" s="23"/>
    </row>
    <row r="581" spans="1:1" ht="15.75" customHeight="1">
      <c r="A581" s="23"/>
    </row>
    <row r="582" spans="1:1" ht="15.75" customHeight="1">
      <c r="A582" s="23"/>
    </row>
    <row r="583" spans="1:1" ht="15.75" customHeight="1">
      <c r="A583" s="23"/>
    </row>
    <row r="584" spans="1:1" ht="15.75" customHeight="1">
      <c r="A584" s="23"/>
    </row>
    <row r="585" spans="1:1" ht="15.75" customHeight="1">
      <c r="A585" s="23"/>
    </row>
    <row r="586" spans="1:1" ht="15.75" customHeight="1">
      <c r="A586" s="23"/>
    </row>
    <row r="587" spans="1:1" ht="15.75" customHeight="1">
      <c r="A587" s="23"/>
    </row>
    <row r="588" spans="1:1" ht="15.75" customHeight="1">
      <c r="A588" s="23"/>
    </row>
    <row r="589" spans="1:1" ht="15.75" customHeight="1">
      <c r="A589" s="23"/>
    </row>
    <row r="590" spans="1:1" ht="15.75" customHeight="1">
      <c r="A590" s="23"/>
    </row>
    <row r="591" spans="1:1" ht="15.75" customHeight="1">
      <c r="A591" s="23"/>
    </row>
    <row r="592" spans="1:1" ht="15.75" customHeight="1">
      <c r="A592" s="23"/>
    </row>
    <row r="593" spans="1:1" ht="15.75" customHeight="1">
      <c r="A593" s="23"/>
    </row>
    <row r="594" spans="1:1" ht="15.75" customHeight="1">
      <c r="A594" s="23"/>
    </row>
    <row r="595" spans="1:1" ht="15.75" customHeight="1">
      <c r="A595" s="23"/>
    </row>
    <row r="596" spans="1:1" ht="15.75" customHeight="1">
      <c r="A596" s="23"/>
    </row>
    <row r="597" spans="1:1" ht="15.75" customHeight="1">
      <c r="A597" s="23"/>
    </row>
    <row r="598" spans="1:1" ht="15.75" customHeight="1">
      <c r="A598" s="23"/>
    </row>
    <row r="599" spans="1:1" ht="15.75" customHeight="1">
      <c r="A599" s="23"/>
    </row>
    <row r="600" spans="1:1" ht="15.75" customHeight="1">
      <c r="A600" s="23"/>
    </row>
    <row r="601" spans="1:1" ht="15.75" customHeight="1">
      <c r="A601" s="23"/>
    </row>
    <row r="602" spans="1:1" ht="15.75" customHeight="1">
      <c r="A602" s="23"/>
    </row>
    <row r="603" spans="1:1" ht="15.75" customHeight="1">
      <c r="A603" s="23"/>
    </row>
    <row r="604" spans="1:1" ht="15.75" customHeight="1">
      <c r="A604" s="23"/>
    </row>
    <row r="605" spans="1:1" ht="15.75" customHeight="1">
      <c r="A605" s="23"/>
    </row>
    <row r="606" spans="1:1" ht="15.75" customHeight="1">
      <c r="A606" s="23"/>
    </row>
    <row r="607" spans="1:1" ht="15.75" customHeight="1">
      <c r="A607" s="23"/>
    </row>
    <row r="608" spans="1:1" ht="15.75" customHeight="1">
      <c r="A608" s="23"/>
    </row>
    <row r="609" spans="1:1" ht="15.75" customHeight="1">
      <c r="A609" s="23"/>
    </row>
    <row r="610" spans="1:1" ht="15.75" customHeight="1">
      <c r="A610" s="23"/>
    </row>
    <row r="611" spans="1:1" ht="15.75" customHeight="1">
      <c r="A611" s="23"/>
    </row>
    <row r="612" spans="1:1" ht="15.75" customHeight="1">
      <c r="A612" s="23"/>
    </row>
    <row r="613" spans="1:1" ht="15.75" customHeight="1">
      <c r="A613" s="23"/>
    </row>
    <row r="614" spans="1:1" ht="15.75" customHeight="1">
      <c r="A614" s="23"/>
    </row>
    <row r="615" spans="1:1" ht="15.75" customHeight="1">
      <c r="A615" s="23"/>
    </row>
    <row r="616" spans="1:1" ht="15.75" customHeight="1">
      <c r="A616" s="23"/>
    </row>
    <row r="617" spans="1:1" ht="15.75" customHeight="1">
      <c r="A617" s="23"/>
    </row>
    <row r="618" spans="1:1" ht="15.75" customHeight="1">
      <c r="A618" s="23"/>
    </row>
    <row r="619" spans="1:1" ht="15.75" customHeight="1">
      <c r="A619" s="23"/>
    </row>
    <row r="620" spans="1:1" ht="15.75" customHeight="1">
      <c r="A620" s="23"/>
    </row>
    <row r="621" spans="1:1" ht="15.75" customHeight="1">
      <c r="A621" s="23"/>
    </row>
    <row r="622" spans="1:1" ht="15.75" customHeight="1">
      <c r="A622" s="23"/>
    </row>
    <row r="623" spans="1:1" ht="15.75" customHeight="1">
      <c r="A623" s="23"/>
    </row>
    <row r="624" spans="1:1" ht="15.75" customHeight="1">
      <c r="A624" s="23"/>
    </row>
    <row r="625" spans="1:1" ht="15.75" customHeight="1">
      <c r="A625" s="23"/>
    </row>
    <row r="626" spans="1:1" ht="15.75" customHeight="1">
      <c r="A626" s="23"/>
    </row>
    <row r="627" spans="1:1" ht="15.75" customHeight="1">
      <c r="A627" s="23"/>
    </row>
    <row r="628" spans="1:1" ht="15.75" customHeight="1">
      <c r="A628" s="23"/>
    </row>
    <row r="629" spans="1:1" ht="15.75" customHeight="1">
      <c r="A629" s="23"/>
    </row>
    <row r="630" spans="1:1" ht="15.75" customHeight="1">
      <c r="A630" s="23"/>
    </row>
    <row r="631" spans="1:1" ht="15.75" customHeight="1">
      <c r="A631" s="23"/>
    </row>
    <row r="632" spans="1:1" ht="15.75" customHeight="1">
      <c r="A632" s="23"/>
    </row>
    <row r="633" spans="1:1" ht="15.75" customHeight="1">
      <c r="A633" s="23"/>
    </row>
    <row r="634" spans="1:1" ht="15.75" customHeight="1">
      <c r="A634" s="23"/>
    </row>
    <row r="635" spans="1:1" ht="15.75" customHeight="1">
      <c r="A635" s="23"/>
    </row>
    <row r="636" spans="1:1" ht="15.75" customHeight="1">
      <c r="A636" s="23"/>
    </row>
    <row r="637" spans="1:1" ht="15.75" customHeight="1">
      <c r="A637" s="23"/>
    </row>
    <row r="638" spans="1:1" ht="15.75" customHeight="1">
      <c r="A638" s="23"/>
    </row>
    <row r="639" spans="1:1" ht="15.75" customHeight="1">
      <c r="A639" s="23"/>
    </row>
    <row r="640" spans="1:1" ht="15.75" customHeight="1">
      <c r="A640" s="23"/>
    </row>
    <row r="641" spans="1:1" ht="15.75" customHeight="1">
      <c r="A641" s="23"/>
    </row>
    <row r="642" spans="1:1" ht="15.75" customHeight="1">
      <c r="A642" s="23"/>
    </row>
    <row r="643" spans="1:1" ht="15.75" customHeight="1">
      <c r="A643" s="23"/>
    </row>
    <row r="644" spans="1:1" ht="15.75" customHeight="1">
      <c r="A644" s="23"/>
    </row>
    <row r="645" spans="1:1" ht="15.75" customHeight="1">
      <c r="A645" s="23"/>
    </row>
    <row r="646" spans="1:1" ht="15.75" customHeight="1">
      <c r="A646" s="23"/>
    </row>
    <row r="647" spans="1:1" ht="15.75" customHeight="1">
      <c r="A647" s="23"/>
    </row>
    <row r="648" spans="1:1" ht="15.75" customHeight="1">
      <c r="A648" s="23"/>
    </row>
    <row r="649" spans="1:1" ht="15.75" customHeight="1">
      <c r="A649" s="23"/>
    </row>
    <row r="650" spans="1:1" ht="15.75" customHeight="1">
      <c r="A650" s="23"/>
    </row>
    <row r="651" spans="1:1" ht="15.75" customHeight="1">
      <c r="A651" s="23"/>
    </row>
    <row r="652" spans="1:1" ht="15.75" customHeight="1">
      <c r="A652" s="23"/>
    </row>
    <row r="653" spans="1:1" ht="15.75" customHeight="1">
      <c r="A653" s="23"/>
    </row>
    <row r="654" spans="1:1" ht="15.75" customHeight="1">
      <c r="A654" s="23"/>
    </row>
    <row r="655" spans="1:1" ht="15.75" customHeight="1">
      <c r="A655" s="23"/>
    </row>
    <row r="656" spans="1:1" ht="15.75" customHeight="1">
      <c r="A656" s="23"/>
    </row>
    <row r="657" spans="1:1" ht="15.75" customHeight="1">
      <c r="A657" s="23"/>
    </row>
    <row r="658" spans="1:1" ht="15.75" customHeight="1">
      <c r="A658" s="23"/>
    </row>
    <row r="659" spans="1:1" ht="15.75" customHeight="1">
      <c r="A659" s="23"/>
    </row>
    <row r="660" spans="1:1" ht="15.75" customHeight="1">
      <c r="A660" s="23"/>
    </row>
    <row r="661" spans="1:1" ht="15.75" customHeight="1">
      <c r="A661" s="23"/>
    </row>
    <row r="662" spans="1:1" ht="15.75" customHeight="1">
      <c r="A662" s="23"/>
    </row>
    <row r="663" spans="1:1" ht="15.75" customHeight="1">
      <c r="A663" s="23"/>
    </row>
    <row r="664" spans="1:1" ht="15.75" customHeight="1">
      <c r="A664" s="23"/>
    </row>
    <row r="665" spans="1:1" ht="15.75" customHeight="1">
      <c r="A665" s="23"/>
    </row>
    <row r="666" spans="1:1" ht="15.75" customHeight="1">
      <c r="A666" s="23"/>
    </row>
    <row r="667" spans="1:1" ht="15.75" customHeight="1">
      <c r="A667" s="23"/>
    </row>
    <row r="668" spans="1:1" ht="15.75" customHeight="1">
      <c r="A668" s="23"/>
    </row>
    <row r="669" spans="1:1" ht="15.75" customHeight="1">
      <c r="A669" s="23"/>
    </row>
    <row r="670" spans="1:1" ht="15.75" customHeight="1">
      <c r="A670" s="23"/>
    </row>
    <row r="671" spans="1:1" ht="15.75" customHeight="1">
      <c r="A671" s="23"/>
    </row>
    <row r="672" spans="1:1" ht="15.75" customHeight="1">
      <c r="A672" s="23"/>
    </row>
    <row r="673" spans="1:1" ht="15.75" customHeight="1">
      <c r="A673" s="23"/>
    </row>
    <row r="674" spans="1:1" ht="15.75" customHeight="1">
      <c r="A674" s="23"/>
    </row>
    <row r="675" spans="1:1" ht="15.75" customHeight="1">
      <c r="A675" s="23"/>
    </row>
    <row r="676" spans="1:1" ht="15.75" customHeight="1">
      <c r="A676" s="23"/>
    </row>
    <row r="677" spans="1:1" ht="15.75" customHeight="1">
      <c r="A677" s="23"/>
    </row>
    <row r="678" spans="1:1" ht="15.75" customHeight="1">
      <c r="A678" s="23"/>
    </row>
    <row r="679" spans="1:1" ht="15.75" customHeight="1">
      <c r="A679" s="23"/>
    </row>
    <row r="680" spans="1:1" ht="15.75" customHeight="1">
      <c r="A680" s="23"/>
    </row>
    <row r="681" spans="1:1" ht="15.75" customHeight="1">
      <c r="A681" s="23"/>
    </row>
    <row r="682" spans="1:1" ht="15.75" customHeight="1">
      <c r="A682" s="23"/>
    </row>
    <row r="683" spans="1:1" ht="15.75" customHeight="1">
      <c r="A683" s="23"/>
    </row>
    <row r="684" spans="1:1" ht="15.75" customHeight="1">
      <c r="A684" s="23"/>
    </row>
    <row r="685" spans="1:1" ht="15.75" customHeight="1">
      <c r="A685" s="23"/>
    </row>
    <row r="686" spans="1:1" ht="15.75" customHeight="1">
      <c r="A686" s="23"/>
    </row>
    <row r="687" spans="1:1" ht="15.75" customHeight="1">
      <c r="A687" s="23"/>
    </row>
    <row r="688" spans="1:1" ht="15.75" customHeight="1">
      <c r="A688" s="23"/>
    </row>
    <row r="689" spans="1:1" ht="15.75" customHeight="1">
      <c r="A689" s="23"/>
    </row>
    <row r="690" spans="1:1" ht="15.75" customHeight="1">
      <c r="A690" s="23"/>
    </row>
    <row r="691" spans="1:1" ht="15.75" customHeight="1">
      <c r="A691" s="23"/>
    </row>
    <row r="692" spans="1:1" ht="15.75" customHeight="1">
      <c r="A692" s="23"/>
    </row>
    <row r="693" spans="1:1" ht="15.75" customHeight="1">
      <c r="A693" s="23"/>
    </row>
    <row r="694" spans="1:1" ht="15.75" customHeight="1">
      <c r="A694" s="23"/>
    </row>
    <row r="695" spans="1:1" ht="15.75" customHeight="1">
      <c r="A695" s="23"/>
    </row>
    <row r="696" spans="1:1" ht="15.75" customHeight="1">
      <c r="A696" s="23"/>
    </row>
    <row r="697" spans="1:1" ht="15.75" customHeight="1">
      <c r="A697" s="23"/>
    </row>
    <row r="698" spans="1:1" ht="15.75" customHeight="1">
      <c r="A698" s="23"/>
    </row>
    <row r="699" spans="1:1" ht="15.75" customHeight="1">
      <c r="A699" s="23"/>
    </row>
    <row r="700" spans="1:1" ht="15.75" customHeight="1">
      <c r="A700" s="23"/>
    </row>
    <row r="701" spans="1:1" ht="15.75" customHeight="1">
      <c r="A701" s="23"/>
    </row>
    <row r="702" spans="1:1" ht="15.75" customHeight="1">
      <c r="A702" s="23"/>
    </row>
    <row r="703" spans="1:1" ht="15.75" customHeight="1">
      <c r="A703" s="23"/>
    </row>
    <row r="704" spans="1:1" ht="15.75" customHeight="1">
      <c r="A704" s="23"/>
    </row>
    <row r="705" spans="1:1" ht="15.75" customHeight="1">
      <c r="A705" s="23"/>
    </row>
    <row r="706" spans="1:1" ht="15.75" customHeight="1">
      <c r="A706" s="23"/>
    </row>
    <row r="707" spans="1:1" ht="15.75" customHeight="1">
      <c r="A707" s="23"/>
    </row>
    <row r="708" spans="1:1" ht="15.75" customHeight="1">
      <c r="A708" s="23"/>
    </row>
    <row r="709" spans="1:1" ht="15.75" customHeight="1">
      <c r="A709" s="23"/>
    </row>
    <row r="710" spans="1:1" ht="15.75" customHeight="1">
      <c r="A710" s="23"/>
    </row>
    <row r="711" spans="1:1" ht="15.75" customHeight="1">
      <c r="A711" s="23"/>
    </row>
    <row r="712" spans="1:1" ht="15.75" customHeight="1">
      <c r="A712" s="23"/>
    </row>
    <row r="713" spans="1:1" ht="15.75" customHeight="1">
      <c r="A713" s="23"/>
    </row>
    <row r="714" spans="1:1" ht="15.75" customHeight="1">
      <c r="A714" s="23"/>
    </row>
    <row r="715" spans="1:1" ht="15.75" customHeight="1">
      <c r="A715" s="23"/>
    </row>
    <row r="716" spans="1:1" ht="15.75" customHeight="1">
      <c r="A716" s="23"/>
    </row>
    <row r="717" spans="1:1" ht="15.75" customHeight="1">
      <c r="A717" s="23"/>
    </row>
    <row r="718" spans="1:1" ht="15.75" customHeight="1">
      <c r="A718" s="23"/>
    </row>
    <row r="719" spans="1:1" ht="15.75" customHeight="1">
      <c r="A719" s="23"/>
    </row>
    <row r="720" spans="1:1" ht="15.75" customHeight="1">
      <c r="A720" s="23"/>
    </row>
    <row r="721" spans="1:1" ht="15.75" customHeight="1">
      <c r="A721" s="23"/>
    </row>
    <row r="722" spans="1:1" ht="15.75" customHeight="1">
      <c r="A722" s="23"/>
    </row>
    <row r="723" spans="1:1" ht="15.75" customHeight="1">
      <c r="A723" s="23"/>
    </row>
    <row r="724" spans="1:1" ht="15.75" customHeight="1">
      <c r="A724" s="23"/>
    </row>
    <row r="725" spans="1:1" ht="15.75" customHeight="1">
      <c r="A725" s="23"/>
    </row>
    <row r="726" spans="1:1" ht="15.75" customHeight="1">
      <c r="A726" s="23"/>
    </row>
    <row r="727" spans="1:1" ht="15.75" customHeight="1">
      <c r="A727" s="23"/>
    </row>
    <row r="728" spans="1:1" ht="15.75" customHeight="1">
      <c r="A728" s="23"/>
    </row>
    <row r="729" spans="1:1" ht="15.75" customHeight="1">
      <c r="A729" s="23"/>
    </row>
    <row r="730" spans="1:1" ht="15.75" customHeight="1">
      <c r="A730" s="23"/>
    </row>
    <row r="731" spans="1:1" ht="15.75" customHeight="1">
      <c r="A731" s="23"/>
    </row>
    <row r="732" spans="1:1" ht="15.75" customHeight="1">
      <c r="A732" s="23"/>
    </row>
    <row r="733" spans="1:1" ht="15.75" customHeight="1">
      <c r="A733" s="23"/>
    </row>
    <row r="734" spans="1:1" ht="15.75" customHeight="1">
      <c r="A734" s="23"/>
    </row>
    <row r="735" spans="1:1" ht="15.75" customHeight="1">
      <c r="A735" s="23"/>
    </row>
    <row r="736" spans="1:1" ht="15.75" customHeight="1">
      <c r="A736" s="23"/>
    </row>
    <row r="737" spans="1:1" ht="15.75" customHeight="1">
      <c r="A737" s="23"/>
    </row>
    <row r="738" spans="1:1" ht="15.75" customHeight="1">
      <c r="A738" s="23"/>
    </row>
    <row r="739" spans="1:1" ht="15.75" customHeight="1">
      <c r="A739" s="23"/>
    </row>
    <row r="740" spans="1:1" ht="15.75" customHeight="1">
      <c r="A740" s="23"/>
    </row>
    <row r="741" spans="1:1" ht="15.75" customHeight="1">
      <c r="A741" s="23"/>
    </row>
    <row r="742" spans="1:1" ht="15.75" customHeight="1">
      <c r="A742" s="23"/>
    </row>
    <row r="743" spans="1:1" ht="15.75" customHeight="1">
      <c r="A743" s="23"/>
    </row>
    <row r="744" spans="1:1" ht="15.75" customHeight="1">
      <c r="A744" s="23"/>
    </row>
    <row r="745" spans="1:1" ht="15.75" customHeight="1">
      <c r="A745" s="23"/>
    </row>
    <row r="746" spans="1:1" ht="15.75" customHeight="1">
      <c r="A746" s="23"/>
    </row>
    <row r="747" spans="1:1" ht="15.75" customHeight="1">
      <c r="A747" s="23"/>
    </row>
    <row r="748" spans="1:1" ht="15.75" customHeight="1">
      <c r="A748" s="23"/>
    </row>
    <row r="749" spans="1:1" ht="15.75" customHeight="1">
      <c r="A749" s="23"/>
    </row>
    <row r="750" spans="1:1" ht="15.75" customHeight="1">
      <c r="A750" s="23"/>
    </row>
    <row r="751" spans="1:1" ht="15.75" customHeight="1">
      <c r="A751" s="23"/>
    </row>
    <row r="752" spans="1:1" ht="15.75" customHeight="1">
      <c r="A752" s="23"/>
    </row>
    <row r="753" spans="1:1" ht="15.75" customHeight="1">
      <c r="A753" s="23"/>
    </row>
    <row r="754" spans="1:1" ht="15.75" customHeight="1">
      <c r="A754" s="23"/>
    </row>
    <row r="755" spans="1:1" ht="15.75" customHeight="1">
      <c r="A755" s="23"/>
    </row>
    <row r="756" spans="1:1" ht="15.75" customHeight="1">
      <c r="A756" s="23"/>
    </row>
    <row r="757" spans="1:1" ht="15.75" customHeight="1">
      <c r="A757" s="23"/>
    </row>
    <row r="758" spans="1:1" ht="15.75" customHeight="1">
      <c r="A758" s="23"/>
    </row>
    <row r="759" spans="1:1" ht="15.75" customHeight="1">
      <c r="A759" s="23"/>
    </row>
    <row r="760" spans="1:1" ht="15.75" customHeight="1">
      <c r="A760" s="23"/>
    </row>
    <row r="761" spans="1:1" ht="15.75" customHeight="1">
      <c r="A761" s="23"/>
    </row>
    <row r="762" spans="1:1" ht="15.75" customHeight="1">
      <c r="A762" s="23"/>
    </row>
    <row r="763" spans="1:1" ht="15.75" customHeight="1">
      <c r="A763" s="23"/>
    </row>
    <row r="764" spans="1:1" ht="15.75" customHeight="1">
      <c r="A764" s="23"/>
    </row>
    <row r="765" spans="1:1" ht="15.75" customHeight="1">
      <c r="A765" s="23"/>
    </row>
    <row r="766" spans="1:1" ht="15.75" customHeight="1">
      <c r="A766" s="23"/>
    </row>
    <row r="767" spans="1:1" ht="15.75" customHeight="1">
      <c r="A767" s="23"/>
    </row>
    <row r="768" spans="1:1" ht="15.75" customHeight="1">
      <c r="A768" s="23"/>
    </row>
    <row r="769" spans="1:1" ht="15.75" customHeight="1">
      <c r="A769" s="23"/>
    </row>
    <row r="770" spans="1:1" ht="15.75" customHeight="1">
      <c r="A770" s="23"/>
    </row>
    <row r="771" spans="1:1" ht="15.75" customHeight="1">
      <c r="A771" s="23"/>
    </row>
    <row r="772" spans="1:1" ht="15.75" customHeight="1">
      <c r="A772" s="23"/>
    </row>
    <row r="773" spans="1:1" ht="15.75" customHeight="1">
      <c r="A773" s="23"/>
    </row>
    <row r="774" spans="1:1" ht="15.75" customHeight="1">
      <c r="A774" s="23"/>
    </row>
    <row r="775" spans="1:1" ht="15.75" customHeight="1">
      <c r="A775" s="23"/>
    </row>
    <row r="776" spans="1:1" ht="15.75" customHeight="1">
      <c r="A776" s="23"/>
    </row>
    <row r="777" spans="1:1" ht="15.75" customHeight="1">
      <c r="A777" s="23"/>
    </row>
    <row r="778" spans="1:1" ht="15.75" customHeight="1">
      <c r="A778" s="23"/>
    </row>
    <row r="779" spans="1:1" ht="15.75" customHeight="1">
      <c r="A779" s="23"/>
    </row>
    <row r="780" spans="1:1" ht="15.75" customHeight="1">
      <c r="A780" s="23"/>
    </row>
    <row r="781" spans="1:1" ht="15.75" customHeight="1">
      <c r="A781" s="23"/>
    </row>
    <row r="782" spans="1:1" ht="15.75" customHeight="1">
      <c r="A782" s="23"/>
    </row>
    <row r="783" spans="1:1" ht="15.75" customHeight="1">
      <c r="A783" s="23"/>
    </row>
    <row r="784" spans="1:1" ht="15.75" customHeight="1">
      <c r="A784" s="23"/>
    </row>
    <row r="785" spans="1:1" ht="15.75" customHeight="1">
      <c r="A785" s="23"/>
    </row>
    <row r="786" spans="1:1" ht="15.75" customHeight="1">
      <c r="A786" s="23"/>
    </row>
    <row r="787" spans="1:1" ht="15.75" customHeight="1">
      <c r="A787" s="23"/>
    </row>
    <row r="788" spans="1:1" ht="15.75" customHeight="1">
      <c r="A788" s="23"/>
    </row>
    <row r="789" spans="1:1" ht="15.75" customHeight="1">
      <c r="A789" s="23"/>
    </row>
    <row r="790" spans="1:1" ht="15.75" customHeight="1">
      <c r="A790" s="23"/>
    </row>
    <row r="791" spans="1:1" ht="15.75" customHeight="1">
      <c r="A791" s="23"/>
    </row>
    <row r="792" spans="1:1" ht="15.75" customHeight="1">
      <c r="A792" s="23"/>
    </row>
    <row r="793" spans="1:1" ht="15.75" customHeight="1">
      <c r="A793" s="23"/>
    </row>
    <row r="794" spans="1:1" ht="15.75" customHeight="1">
      <c r="A794" s="23"/>
    </row>
    <row r="795" spans="1:1" ht="15.75" customHeight="1">
      <c r="A795" s="23"/>
    </row>
    <row r="796" spans="1:1" ht="15.75" customHeight="1">
      <c r="A796" s="23"/>
    </row>
    <row r="797" spans="1:1" ht="15.75" customHeight="1">
      <c r="A797" s="23"/>
    </row>
    <row r="798" spans="1:1" ht="15.75" customHeight="1">
      <c r="A798" s="23"/>
    </row>
    <row r="799" spans="1:1" ht="15.75" customHeight="1">
      <c r="A799" s="23"/>
    </row>
    <row r="800" spans="1:1" ht="15.75" customHeight="1">
      <c r="A800" s="23"/>
    </row>
    <row r="801" spans="1:1" ht="15.75" customHeight="1">
      <c r="A801" s="23"/>
    </row>
    <row r="802" spans="1:1" ht="15.75" customHeight="1">
      <c r="A802" s="23"/>
    </row>
    <row r="803" spans="1:1" ht="15.75" customHeight="1">
      <c r="A803" s="23"/>
    </row>
    <row r="804" spans="1:1" ht="15.75" customHeight="1">
      <c r="A804" s="23"/>
    </row>
    <row r="805" spans="1:1" ht="15.75" customHeight="1">
      <c r="A805" s="23"/>
    </row>
    <row r="806" spans="1:1" ht="15.75" customHeight="1">
      <c r="A806" s="23"/>
    </row>
    <row r="807" spans="1:1" ht="15.75" customHeight="1">
      <c r="A807" s="23"/>
    </row>
    <row r="808" spans="1:1" ht="15.75" customHeight="1">
      <c r="A808" s="23"/>
    </row>
    <row r="809" spans="1:1" ht="15.75" customHeight="1">
      <c r="A809" s="23"/>
    </row>
    <row r="810" spans="1:1" ht="15.75" customHeight="1">
      <c r="A810" s="23"/>
    </row>
    <row r="811" spans="1:1" ht="15.75" customHeight="1">
      <c r="A811" s="23"/>
    </row>
    <row r="812" spans="1:1" ht="15.75" customHeight="1">
      <c r="A812" s="23"/>
    </row>
    <row r="813" spans="1:1" ht="15.75" customHeight="1">
      <c r="A813" s="23"/>
    </row>
    <row r="814" spans="1:1" ht="15.75" customHeight="1">
      <c r="A814" s="23"/>
    </row>
    <row r="815" spans="1:1" ht="15.75" customHeight="1">
      <c r="A815" s="23"/>
    </row>
    <row r="816" spans="1:1" ht="15.75" customHeight="1">
      <c r="A816" s="23"/>
    </row>
    <row r="817" spans="1:1" ht="15.75" customHeight="1">
      <c r="A817" s="23"/>
    </row>
    <row r="818" spans="1:1" ht="15.75" customHeight="1">
      <c r="A818" s="23"/>
    </row>
    <row r="819" spans="1:1" ht="15.75" customHeight="1">
      <c r="A819" s="23"/>
    </row>
    <row r="820" spans="1:1" ht="15.75" customHeight="1">
      <c r="A820" s="23"/>
    </row>
    <row r="821" spans="1:1" ht="15.75" customHeight="1">
      <c r="A821" s="23"/>
    </row>
    <row r="822" spans="1:1" ht="15.75" customHeight="1">
      <c r="A822" s="23"/>
    </row>
    <row r="823" spans="1:1" ht="15.75" customHeight="1">
      <c r="A823" s="23"/>
    </row>
    <row r="824" spans="1:1" ht="15.75" customHeight="1">
      <c r="A824" s="23"/>
    </row>
    <row r="825" spans="1:1" ht="15.75" customHeight="1">
      <c r="A825" s="23"/>
    </row>
    <row r="826" spans="1:1" ht="15.75" customHeight="1">
      <c r="A826" s="23"/>
    </row>
    <row r="827" spans="1:1" ht="15.75" customHeight="1">
      <c r="A827" s="23"/>
    </row>
    <row r="828" spans="1:1" ht="15.75" customHeight="1">
      <c r="A828" s="23"/>
    </row>
    <row r="829" spans="1:1" ht="15.75" customHeight="1">
      <c r="A829" s="23"/>
    </row>
    <row r="830" spans="1:1" ht="15.75" customHeight="1">
      <c r="A830" s="23"/>
    </row>
    <row r="831" spans="1:1" ht="15.75" customHeight="1">
      <c r="A831" s="23"/>
    </row>
    <row r="832" spans="1:1" ht="15.75" customHeight="1">
      <c r="A832" s="23"/>
    </row>
    <row r="833" spans="1:1" ht="15.75" customHeight="1">
      <c r="A833" s="23"/>
    </row>
    <row r="834" spans="1:1" ht="15.75" customHeight="1">
      <c r="A834" s="23"/>
    </row>
    <row r="835" spans="1:1" ht="15.75" customHeight="1">
      <c r="A835" s="23"/>
    </row>
    <row r="836" spans="1:1" ht="15.75" customHeight="1">
      <c r="A836" s="23"/>
    </row>
    <row r="837" spans="1:1" ht="15.75" customHeight="1">
      <c r="A837" s="23"/>
    </row>
    <row r="838" spans="1:1" ht="15.75" customHeight="1">
      <c r="A838" s="23"/>
    </row>
    <row r="839" spans="1:1" ht="15.75" customHeight="1">
      <c r="A839" s="23"/>
    </row>
    <row r="840" spans="1:1" ht="15.75" customHeight="1">
      <c r="A840" s="23"/>
    </row>
    <row r="841" spans="1:1" ht="15.75" customHeight="1">
      <c r="A841" s="23"/>
    </row>
    <row r="842" spans="1:1" ht="15.75" customHeight="1">
      <c r="A842" s="23"/>
    </row>
    <row r="843" spans="1:1" ht="15.75" customHeight="1">
      <c r="A843" s="23"/>
    </row>
    <row r="844" spans="1:1" ht="15.75" customHeight="1">
      <c r="A844" s="23"/>
    </row>
    <row r="845" spans="1:1" ht="15.75" customHeight="1">
      <c r="A845" s="23"/>
    </row>
    <row r="846" spans="1:1" ht="15.75" customHeight="1">
      <c r="A846" s="23"/>
    </row>
    <row r="847" spans="1:1" ht="15.75" customHeight="1">
      <c r="A847" s="23"/>
    </row>
    <row r="848" spans="1:1" ht="15.75" customHeight="1">
      <c r="A848" s="23"/>
    </row>
    <row r="849" spans="1:1" ht="15.75" customHeight="1">
      <c r="A849" s="23"/>
    </row>
    <row r="850" spans="1:1" ht="15.75" customHeight="1">
      <c r="A850" s="23"/>
    </row>
    <row r="851" spans="1:1" ht="15.75" customHeight="1">
      <c r="A851" s="23"/>
    </row>
    <row r="852" spans="1:1" ht="15.75" customHeight="1">
      <c r="A852" s="23"/>
    </row>
    <row r="853" spans="1:1" ht="15.75" customHeight="1">
      <c r="A853" s="23"/>
    </row>
    <row r="854" spans="1:1" ht="15.75" customHeight="1">
      <c r="A854" s="23"/>
    </row>
    <row r="855" spans="1:1" ht="15.75" customHeight="1">
      <c r="A855" s="23"/>
    </row>
    <row r="856" spans="1:1" ht="15.75" customHeight="1">
      <c r="A856" s="23"/>
    </row>
    <row r="857" spans="1:1" ht="15.75" customHeight="1">
      <c r="A857" s="23"/>
    </row>
    <row r="858" spans="1:1" ht="15.75" customHeight="1">
      <c r="A858" s="23"/>
    </row>
    <row r="859" spans="1:1" ht="15.75" customHeight="1">
      <c r="A859" s="23"/>
    </row>
    <row r="860" spans="1:1" ht="15.75" customHeight="1">
      <c r="A860" s="23"/>
    </row>
    <row r="861" spans="1:1" ht="15.75" customHeight="1">
      <c r="A861" s="23"/>
    </row>
    <row r="862" spans="1:1" ht="15.75" customHeight="1">
      <c r="A862" s="23"/>
    </row>
    <row r="863" spans="1:1" ht="15.75" customHeight="1">
      <c r="A863" s="23"/>
    </row>
    <row r="864" spans="1:1" ht="15.75" customHeight="1">
      <c r="A864" s="23"/>
    </row>
    <row r="865" spans="1:1" ht="15.75" customHeight="1">
      <c r="A865" s="23"/>
    </row>
    <row r="866" spans="1:1" ht="15.75" customHeight="1">
      <c r="A866" s="23"/>
    </row>
    <row r="867" spans="1:1" ht="15.75" customHeight="1">
      <c r="A867" s="23"/>
    </row>
    <row r="868" spans="1:1" ht="15.75" customHeight="1">
      <c r="A868" s="23"/>
    </row>
    <row r="869" spans="1:1" ht="15.75" customHeight="1">
      <c r="A869" s="23"/>
    </row>
    <row r="870" spans="1:1" ht="15.75" customHeight="1">
      <c r="A870" s="23"/>
    </row>
    <row r="871" spans="1:1" ht="15.75" customHeight="1">
      <c r="A871" s="23"/>
    </row>
    <row r="872" spans="1:1" ht="15.75" customHeight="1">
      <c r="A872" s="23"/>
    </row>
    <row r="873" spans="1:1" ht="15.75" customHeight="1">
      <c r="A873" s="23"/>
    </row>
    <row r="874" spans="1:1" ht="15.75" customHeight="1">
      <c r="A874" s="23"/>
    </row>
    <row r="875" spans="1:1" ht="15.75" customHeight="1">
      <c r="A875" s="23"/>
    </row>
    <row r="876" spans="1:1" ht="15.75" customHeight="1">
      <c r="A876" s="23"/>
    </row>
    <row r="877" spans="1:1" ht="15.75" customHeight="1">
      <c r="A877" s="23"/>
    </row>
    <row r="878" spans="1:1" ht="15.75" customHeight="1">
      <c r="A878" s="23"/>
    </row>
    <row r="879" spans="1:1" ht="15.75" customHeight="1">
      <c r="A879" s="23"/>
    </row>
    <row r="880" spans="1:1" ht="15.75" customHeight="1">
      <c r="A880" s="23"/>
    </row>
    <row r="881" spans="1:1" ht="15.75" customHeight="1">
      <c r="A881" s="23"/>
    </row>
    <row r="882" spans="1:1" ht="15.75" customHeight="1">
      <c r="A882" s="23"/>
    </row>
    <row r="883" spans="1:1" ht="15.75" customHeight="1">
      <c r="A883" s="23"/>
    </row>
    <row r="884" spans="1:1" ht="15.75" customHeight="1">
      <c r="A884" s="23"/>
    </row>
    <row r="885" spans="1:1" ht="15.75" customHeight="1">
      <c r="A885" s="23"/>
    </row>
    <row r="886" spans="1:1" ht="15.75" customHeight="1">
      <c r="A886" s="23"/>
    </row>
    <row r="887" spans="1:1" ht="15.75" customHeight="1">
      <c r="A887" s="23"/>
    </row>
    <row r="888" spans="1:1" ht="15.75" customHeight="1">
      <c r="A888" s="23"/>
    </row>
    <row r="889" spans="1:1" ht="15.75" customHeight="1">
      <c r="A889" s="23"/>
    </row>
    <row r="890" spans="1:1" ht="15.75" customHeight="1">
      <c r="A890" s="23"/>
    </row>
    <row r="891" spans="1:1" ht="15.75" customHeight="1">
      <c r="A891" s="23"/>
    </row>
    <row r="892" spans="1:1" ht="15.75" customHeight="1">
      <c r="A892" s="23"/>
    </row>
    <row r="893" spans="1:1" ht="15.75" customHeight="1">
      <c r="A893" s="23"/>
    </row>
    <row r="894" spans="1:1" ht="15.75" customHeight="1">
      <c r="A894" s="23"/>
    </row>
    <row r="895" spans="1:1" ht="15.75" customHeight="1">
      <c r="A895" s="23"/>
    </row>
    <row r="896" spans="1:1" ht="15.75" customHeight="1">
      <c r="A896" s="23"/>
    </row>
    <row r="897" spans="1:1" ht="15.75" customHeight="1">
      <c r="A897" s="23"/>
    </row>
    <row r="898" spans="1:1" ht="15.75" customHeight="1">
      <c r="A898" s="23"/>
    </row>
    <row r="899" spans="1:1" ht="15.75" customHeight="1">
      <c r="A899" s="23"/>
    </row>
    <row r="900" spans="1:1" ht="15.75" customHeight="1">
      <c r="A900" s="23"/>
    </row>
    <row r="901" spans="1:1" ht="15.75" customHeight="1">
      <c r="A901" s="23"/>
    </row>
    <row r="902" spans="1:1" ht="15.75" customHeight="1">
      <c r="A902" s="23"/>
    </row>
    <row r="903" spans="1:1" ht="15.75" customHeight="1">
      <c r="A903" s="23"/>
    </row>
    <row r="904" spans="1:1" ht="15.75" customHeight="1">
      <c r="A904" s="23"/>
    </row>
    <row r="905" spans="1:1" ht="15.75" customHeight="1">
      <c r="A905" s="23"/>
    </row>
    <row r="906" spans="1:1" ht="15.75" customHeight="1">
      <c r="A906" s="23"/>
    </row>
    <row r="907" spans="1:1" ht="15.75" customHeight="1">
      <c r="A907" s="23"/>
    </row>
    <row r="908" spans="1:1" ht="15.75" customHeight="1">
      <c r="A908" s="23"/>
    </row>
    <row r="909" spans="1:1" ht="15.75" customHeight="1">
      <c r="A909" s="23"/>
    </row>
    <row r="910" spans="1:1" ht="15.75" customHeight="1">
      <c r="A910" s="23"/>
    </row>
    <row r="911" spans="1:1" ht="15.75" customHeight="1">
      <c r="A911" s="23"/>
    </row>
    <row r="912" spans="1:1" ht="15.75" customHeight="1">
      <c r="A912" s="23"/>
    </row>
    <row r="913" spans="1:1" ht="15.75" customHeight="1">
      <c r="A913" s="23"/>
    </row>
    <row r="914" spans="1:1" ht="15.75" customHeight="1">
      <c r="A914" s="23"/>
    </row>
    <row r="915" spans="1:1" ht="15.75" customHeight="1">
      <c r="A915" s="23"/>
    </row>
    <row r="916" spans="1:1" ht="15.75" customHeight="1">
      <c r="A916" s="23"/>
    </row>
    <row r="917" spans="1:1" ht="15.75" customHeight="1">
      <c r="A917" s="23"/>
    </row>
    <row r="918" spans="1:1" ht="15.75" customHeight="1">
      <c r="A918" s="23"/>
    </row>
    <row r="919" spans="1:1" ht="15.75" customHeight="1">
      <c r="A919" s="23"/>
    </row>
    <row r="920" spans="1:1" ht="15.75" customHeight="1">
      <c r="A920" s="23"/>
    </row>
    <row r="921" spans="1:1" ht="15.75" customHeight="1">
      <c r="A921" s="23"/>
    </row>
    <row r="922" spans="1:1" ht="15.75" customHeight="1">
      <c r="A922" s="23"/>
    </row>
    <row r="923" spans="1:1" ht="15.75" customHeight="1">
      <c r="A923" s="23"/>
    </row>
    <row r="924" spans="1:1" ht="15.75" customHeight="1">
      <c r="A924" s="23"/>
    </row>
    <row r="925" spans="1:1" ht="15.75" customHeight="1">
      <c r="A925" s="23"/>
    </row>
    <row r="926" spans="1:1" ht="15.75" customHeight="1">
      <c r="A926" s="23"/>
    </row>
    <row r="927" spans="1:1" ht="15.75" customHeight="1">
      <c r="A927" s="23"/>
    </row>
    <row r="928" spans="1:1" ht="15.75" customHeight="1">
      <c r="A928" s="23"/>
    </row>
    <row r="929" spans="1:1" ht="15.75" customHeight="1">
      <c r="A929" s="23"/>
    </row>
    <row r="930" spans="1:1" ht="15.75" customHeight="1">
      <c r="A930" s="23"/>
    </row>
    <row r="931" spans="1:1" ht="15.75" customHeight="1">
      <c r="A931" s="23"/>
    </row>
    <row r="932" spans="1:1" ht="15.75" customHeight="1">
      <c r="A932" s="23"/>
    </row>
    <row r="933" spans="1:1" ht="15.75" customHeight="1">
      <c r="A933" s="23"/>
    </row>
    <row r="934" spans="1:1" ht="15.75" customHeight="1">
      <c r="A934" s="23"/>
    </row>
    <row r="935" spans="1:1" ht="15.75" customHeight="1">
      <c r="A935" s="23"/>
    </row>
    <row r="936" spans="1:1" ht="15.75" customHeight="1">
      <c r="A936" s="23"/>
    </row>
    <row r="937" spans="1:1" ht="15.75" customHeight="1">
      <c r="A937" s="23"/>
    </row>
    <row r="938" spans="1:1" ht="15.75" customHeight="1">
      <c r="A938" s="23"/>
    </row>
    <row r="939" spans="1:1" ht="15.75" customHeight="1">
      <c r="A939" s="23"/>
    </row>
    <row r="940" spans="1:1" ht="15.75" customHeight="1">
      <c r="A940" s="23"/>
    </row>
    <row r="941" spans="1:1" ht="15.75" customHeight="1">
      <c r="A941" s="23"/>
    </row>
    <row r="942" spans="1:1" ht="15.75" customHeight="1">
      <c r="A942" s="23"/>
    </row>
    <row r="943" spans="1:1" ht="15.75" customHeight="1">
      <c r="A943" s="23"/>
    </row>
    <row r="944" spans="1:1" ht="15.75" customHeight="1">
      <c r="A944" s="23"/>
    </row>
    <row r="945" spans="1:1" ht="15.75" customHeight="1">
      <c r="A945" s="23"/>
    </row>
    <row r="946" spans="1:1" ht="15.75" customHeight="1">
      <c r="A946" s="23"/>
    </row>
    <row r="947" spans="1:1" ht="15.75" customHeight="1">
      <c r="A947" s="23"/>
    </row>
    <row r="948" spans="1:1" ht="15.75" customHeight="1">
      <c r="A948" s="23"/>
    </row>
    <row r="949" spans="1:1" ht="15.75" customHeight="1">
      <c r="A949" s="23"/>
    </row>
    <row r="950" spans="1:1" ht="15.75" customHeight="1">
      <c r="A950" s="23"/>
    </row>
    <row r="951" spans="1:1" ht="15.75" customHeight="1">
      <c r="A951" s="23"/>
    </row>
    <row r="952" spans="1:1" ht="15.75" customHeight="1">
      <c r="A952" s="23"/>
    </row>
    <row r="953" spans="1:1" ht="15.75" customHeight="1">
      <c r="A953" s="23"/>
    </row>
    <row r="954" spans="1:1" ht="15.75" customHeight="1">
      <c r="A954" s="23"/>
    </row>
    <row r="955" spans="1:1" ht="15.75" customHeight="1">
      <c r="A955" s="23"/>
    </row>
    <row r="956" spans="1:1" ht="15.75" customHeight="1">
      <c r="A956" s="23"/>
    </row>
    <row r="957" spans="1:1" ht="15.75" customHeight="1">
      <c r="A957" s="23"/>
    </row>
    <row r="958" spans="1:1" ht="15.75" customHeight="1">
      <c r="A958" s="23"/>
    </row>
    <row r="959" spans="1:1" ht="15.75" customHeight="1">
      <c r="A959" s="23"/>
    </row>
    <row r="960" spans="1:1" ht="15.75" customHeight="1">
      <c r="A960" s="23"/>
    </row>
    <row r="961" spans="1:1" ht="15.75" customHeight="1">
      <c r="A961" s="23"/>
    </row>
    <row r="962" spans="1:1" ht="15.75" customHeight="1">
      <c r="A962" s="23"/>
    </row>
    <row r="963" spans="1:1" ht="15.75" customHeight="1">
      <c r="A963" s="23"/>
    </row>
    <row r="964" spans="1:1" ht="15.75" customHeight="1">
      <c r="A964" s="23"/>
    </row>
    <row r="965" spans="1:1" ht="15.75" customHeight="1">
      <c r="A965" s="23"/>
    </row>
    <row r="966" spans="1:1" ht="15.75" customHeight="1">
      <c r="A966" s="23"/>
    </row>
    <row r="967" spans="1:1" ht="15.75" customHeight="1">
      <c r="A967" s="23"/>
    </row>
    <row r="968" spans="1:1" ht="15.75" customHeight="1">
      <c r="A968" s="23"/>
    </row>
    <row r="969" spans="1:1" ht="15.75" customHeight="1">
      <c r="A969" s="23"/>
    </row>
    <row r="970" spans="1:1" ht="15.75" customHeight="1">
      <c r="A970" s="23"/>
    </row>
    <row r="971" spans="1:1" ht="15.75" customHeight="1">
      <c r="A971" s="23"/>
    </row>
    <row r="972" spans="1:1" ht="15.75" customHeight="1">
      <c r="A972" s="23"/>
    </row>
    <row r="973" spans="1:1" ht="15.75" customHeight="1">
      <c r="A973" s="23"/>
    </row>
    <row r="974" spans="1:1" ht="15.75" customHeight="1">
      <c r="A974" s="23"/>
    </row>
    <row r="975" spans="1:1" ht="15.75" customHeight="1">
      <c r="A975" s="23"/>
    </row>
    <row r="976" spans="1:1" ht="15.75" customHeight="1">
      <c r="A976" s="23"/>
    </row>
    <row r="977" spans="1:1" ht="15.75" customHeight="1">
      <c r="A977" s="23"/>
    </row>
    <row r="978" spans="1:1" ht="15.75" customHeight="1">
      <c r="A978" s="23"/>
    </row>
    <row r="979" spans="1:1" ht="15.75" customHeight="1">
      <c r="A979" s="23"/>
    </row>
    <row r="980" spans="1:1" ht="15.75" customHeight="1">
      <c r="A980" s="23"/>
    </row>
    <row r="981" spans="1:1" ht="15.75" customHeight="1">
      <c r="A981" s="23"/>
    </row>
    <row r="982" spans="1:1" ht="15.75" customHeight="1">
      <c r="A982" s="23"/>
    </row>
    <row r="983" spans="1:1" ht="15.75" customHeight="1">
      <c r="A983" s="23"/>
    </row>
    <row r="984" spans="1:1" ht="15.75" customHeight="1">
      <c r="A984" s="23"/>
    </row>
    <row r="985" spans="1:1" ht="15.75" customHeight="1">
      <c r="A985" s="23"/>
    </row>
    <row r="986" spans="1:1" ht="15.75" customHeight="1">
      <c r="A986" s="23"/>
    </row>
    <row r="987" spans="1:1" ht="15.75" customHeight="1">
      <c r="A987" s="23"/>
    </row>
    <row r="988" spans="1:1" ht="15.75" customHeight="1">
      <c r="A988" s="23"/>
    </row>
    <row r="989" spans="1:1" ht="15.75" customHeight="1">
      <c r="A989" s="23"/>
    </row>
    <row r="990" spans="1:1" ht="15.75" customHeight="1">
      <c r="A990" s="23"/>
    </row>
    <row r="991" spans="1:1" ht="15.75" customHeight="1">
      <c r="A991" s="23"/>
    </row>
    <row r="992" spans="1:1" ht="15.75" customHeight="1">
      <c r="A992" s="23"/>
    </row>
    <row r="993" spans="1:1" ht="15.75" customHeight="1">
      <c r="A993" s="23"/>
    </row>
    <row r="994" spans="1:1" ht="15.75" customHeight="1">
      <c r="A994" s="23"/>
    </row>
    <row r="995" spans="1:1" ht="15.75" customHeight="1">
      <c r="A995" s="23"/>
    </row>
    <row r="996" spans="1:1" ht="15.75" customHeight="1">
      <c r="A996" s="23"/>
    </row>
    <row r="997" spans="1:1" ht="15.75" customHeight="1">
      <c r="A997" s="23"/>
    </row>
    <row r="998" spans="1:1" ht="15.75" customHeight="1">
      <c r="A998" s="23"/>
    </row>
    <row r="999" spans="1:1" ht="15.75" customHeight="1">
      <c r="A999" s="23"/>
    </row>
    <row r="1000" spans="1:1" ht="15.75" customHeight="1">
      <c r="A1000" s="23"/>
    </row>
  </sheetData>
  <autoFilter ref="A1:D1" xr:uid="{00000000-0009-0000-0000-000003000000}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A1:D1000"/>
  <sheetViews>
    <sheetView workbookViewId="0"/>
  </sheetViews>
  <sheetFormatPr baseColWidth="10" defaultColWidth="12.59765625" defaultRowHeight="15" customHeight="1"/>
  <cols>
    <col min="1" max="1" width="12.59765625" customWidth="1"/>
    <col min="2" max="2" width="11.69921875" customWidth="1"/>
    <col min="3" max="3" width="18.19921875" customWidth="1"/>
    <col min="4" max="4" width="22.59765625" customWidth="1"/>
    <col min="5" max="6" width="9.3984375" customWidth="1"/>
  </cols>
  <sheetData>
    <row r="1" spans="1:4" ht="51.75" customHeight="1">
      <c r="A1" s="1" t="s">
        <v>0</v>
      </c>
      <c r="B1" s="2" t="s">
        <v>3</v>
      </c>
      <c r="C1" s="47" t="s">
        <v>461</v>
      </c>
      <c r="D1" s="47" t="s">
        <v>462</v>
      </c>
    </row>
    <row r="2" spans="1:4" ht="14.4">
      <c r="A2" s="6">
        <v>10101</v>
      </c>
      <c r="B2" s="7" t="s">
        <v>13</v>
      </c>
      <c r="C2" s="48">
        <v>222</v>
      </c>
      <c r="D2" s="48">
        <v>233</v>
      </c>
    </row>
    <row r="3" spans="1:4" ht="14.4">
      <c r="A3" s="6">
        <v>10102</v>
      </c>
      <c r="B3" s="7" t="s">
        <v>14</v>
      </c>
      <c r="C3" s="48">
        <v>10</v>
      </c>
      <c r="D3" s="48">
        <v>7</v>
      </c>
    </row>
    <row r="4" spans="1:4" ht="14.4">
      <c r="A4" s="6">
        <v>10103</v>
      </c>
      <c r="B4" s="7" t="s">
        <v>16</v>
      </c>
      <c r="C4" s="48">
        <v>36</v>
      </c>
      <c r="D4" s="48">
        <v>16</v>
      </c>
    </row>
    <row r="5" spans="1:4" ht="14.4">
      <c r="A5" s="6">
        <v>10201</v>
      </c>
      <c r="B5" s="7" t="s">
        <v>19</v>
      </c>
      <c r="C5" s="48">
        <v>12</v>
      </c>
      <c r="D5" s="48">
        <v>3</v>
      </c>
    </row>
    <row r="6" spans="1:4" ht="14.4">
      <c r="A6" s="6">
        <v>10202</v>
      </c>
      <c r="B6" s="7" t="s">
        <v>21</v>
      </c>
      <c r="C6" s="48">
        <v>24</v>
      </c>
      <c r="D6" s="48">
        <v>16</v>
      </c>
    </row>
    <row r="7" spans="1:4" ht="14.4">
      <c r="A7" s="6">
        <v>10301</v>
      </c>
      <c r="B7" s="7" t="s">
        <v>24</v>
      </c>
      <c r="C7" s="48">
        <v>13</v>
      </c>
      <c r="D7" s="48">
        <v>4</v>
      </c>
    </row>
    <row r="8" spans="1:4" ht="14.4">
      <c r="A8" s="6">
        <v>10302</v>
      </c>
      <c r="B8" s="7" t="s">
        <v>26</v>
      </c>
      <c r="C8" s="48">
        <v>34</v>
      </c>
      <c r="D8" s="48">
        <v>10</v>
      </c>
    </row>
    <row r="9" spans="1:4" ht="14.4">
      <c r="A9" s="6">
        <v>10303</v>
      </c>
      <c r="B9" s="7" t="s">
        <v>28</v>
      </c>
      <c r="C9" s="48">
        <v>13</v>
      </c>
      <c r="D9" s="48">
        <v>3</v>
      </c>
    </row>
    <row r="10" spans="1:4" ht="14.4">
      <c r="A10" s="6">
        <v>10304</v>
      </c>
      <c r="B10" s="7" t="s">
        <v>30</v>
      </c>
      <c r="C10" s="48">
        <v>4</v>
      </c>
      <c r="D10" s="48">
        <v>3</v>
      </c>
    </row>
    <row r="11" spans="1:4" ht="14.4">
      <c r="A11" s="6">
        <v>10401</v>
      </c>
      <c r="B11" s="7" t="s">
        <v>33</v>
      </c>
      <c r="C11" s="48">
        <v>8</v>
      </c>
      <c r="D11" s="48">
        <v>11</v>
      </c>
    </row>
    <row r="12" spans="1:4" ht="14.4">
      <c r="A12" s="6">
        <v>10402</v>
      </c>
      <c r="B12" s="7" t="s">
        <v>32</v>
      </c>
      <c r="C12" s="48">
        <v>10</v>
      </c>
      <c r="D12" s="48">
        <v>13</v>
      </c>
    </row>
    <row r="13" spans="1:4" ht="14.4">
      <c r="A13" s="6">
        <v>10403</v>
      </c>
      <c r="B13" s="7" t="s">
        <v>35</v>
      </c>
      <c r="C13" s="48">
        <v>2</v>
      </c>
      <c r="D13" s="48">
        <v>5</v>
      </c>
    </row>
    <row r="14" spans="1:4" ht="14.4">
      <c r="A14" s="6">
        <v>10404</v>
      </c>
      <c r="B14" s="7" t="s">
        <v>36</v>
      </c>
      <c r="C14" s="48">
        <v>1</v>
      </c>
      <c r="D14" s="48">
        <v>8</v>
      </c>
    </row>
    <row r="15" spans="1:4" ht="14.4">
      <c r="A15" s="6">
        <v>10405</v>
      </c>
      <c r="B15" s="7" t="s">
        <v>37</v>
      </c>
      <c r="C15" s="48">
        <v>7</v>
      </c>
      <c r="D15" s="48">
        <v>0</v>
      </c>
    </row>
    <row r="16" spans="1:4" ht="14.4">
      <c r="A16" s="6">
        <v>10501</v>
      </c>
      <c r="B16" s="7" t="s">
        <v>39</v>
      </c>
      <c r="C16" s="48">
        <v>21</v>
      </c>
      <c r="D16" s="48">
        <v>4</v>
      </c>
    </row>
    <row r="17" spans="1:4" ht="14.4">
      <c r="A17" s="6">
        <v>10502</v>
      </c>
      <c r="B17" s="7" t="s">
        <v>40</v>
      </c>
      <c r="C17" s="48">
        <v>4</v>
      </c>
      <c r="D17" s="48">
        <v>7</v>
      </c>
    </row>
    <row r="18" spans="1:4" ht="14.4">
      <c r="A18" s="6">
        <v>10601</v>
      </c>
      <c r="B18" s="7" t="s">
        <v>42</v>
      </c>
      <c r="C18" s="48">
        <v>23</v>
      </c>
      <c r="D18" s="48">
        <v>12</v>
      </c>
    </row>
    <row r="19" spans="1:4" ht="14.4">
      <c r="A19" s="6">
        <v>10602</v>
      </c>
      <c r="B19" s="7" t="s">
        <v>41</v>
      </c>
      <c r="C19" s="48">
        <v>6</v>
      </c>
      <c r="D19" s="48">
        <v>15</v>
      </c>
    </row>
    <row r="20" spans="1:4" ht="14.4">
      <c r="A20" s="6">
        <v>10701</v>
      </c>
      <c r="B20" s="7" t="s">
        <v>44</v>
      </c>
      <c r="C20" s="48">
        <v>10</v>
      </c>
      <c r="D20" s="48">
        <v>22</v>
      </c>
    </row>
    <row r="21" spans="1:4" ht="15.75" customHeight="1">
      <c r="A21" s="6">
        <v>10702</v>
      </c>
      <c r="B21" s="7" t="s">
        <v>45</v>
      </c>
      <c r="C21" s="48">
        <v>42</v>
      </c>
      <c r="D21" s="48">
        <v>37</v>
      </c>
    </row>
    <row r="22" spans="1:4" ht="15.75" customHeight="1">
      <c r="A22" s="6">
        <v>10703</v>
      </c>
      <c r="B22" s="7" t="s">
        <v>46</v>
      </c>
      <c r="C22" s="48">
        <v>15</v>
      </c>
      <c r="D22" s="48">
        <v>11</v>
      </c>
    </row>
    <row r="23" spans="1:4" ht="15.75" customHeight="1">
      <c r="A23" s="6">
        <v>10704</v>
      </c>
      <c r="B23" s="7" t="s">
        <v>47</v>
      </c>
      <c r="C23" s="48">
        <v>24</v>
      </c>
      <c r="D23" s="48">
        <v>16</v>
      </c>
    </row>
    <row r="24" spans="1:4" ht="15.75" customHeight="1">
      <c r="A24" s="6">
        <v>10801</v>
      </c>
      <c r="B24" s="7" t="s">
        <v>49</v>
      </c>
      <c r="C24" s="48">
        <v>6</v>
      </c>
      <c r="D24" s="48">
        <v>11</v>
      </c>
    </row>
    <row r="25" spans="1:4" ht="15.75" customHeight="1">
      <c r="A25" s="6">
        <v>10901</v>
      </c>
      <c r="B25" s="7" t="s">
        <v>51</v>
      </c>
      <c r="C25" s="48">
        <v>1</v>
      </c>
      <c r="D25" s="48">
        <v>2</v>
      </c>
    </row>
    <row r="26" spans="1:4" ht="15.75" customHeight="1">
      <c r="A26" s="6">
        <v>10902</v>
      </c>
      <c r="B26" s="7" t="s">
        <v>52</v>
      </c>
      <c r="C26" s="48">
        <v>11</v>
      </c>
      <c r="D26" s="48">
        <v>24</v>
      </c>
    </row>
    <row r="27" spans="1:4" ht="15.75" customHeight="1">
      <c r="A27" s="6">
        <v>10903</v>
      </c>
      <c r="B27" s="7" t="s">
        <v>53</v>
      </c>
      <c r="C27" s="48">
        <v>1</v>
      </c>
      <c r="D27" s="48">
        <v>8</v>
      </c>
    </row>
    <row r="28" spans="1:4" ht="15.75" customHeight="1">
      <c r="A28" s="6">
        <v>11001</v>
      </c>
      <c r="B28" s="7" t="s">
        <v>55</v>
      </c>
      <c r="C28" s="48">
        <v>7</v>
      </c>
      <c r="D28" s="48">
        <v>12</v>
      </c>
    </row>
    <row r="29" spans="1:4" ht="15.75" customHeight="1">
      <c r="A29" s="6">
        <v>11002</v>
      </c>
      <c r="B29" s="7" t="s">
        <v>56</v>
      </c>
      <c r="C29" s="48">
        <v>1</v>
      </c>
      <c r="D29" s="48">
        <v>0</v>
      </c>
    </row>
    <row r="30" spans="1:4" ht="15.75" customHeight="1">
      <c r="A30" s="6">
        <v>11003</v>
      </c>
      <c r="B30" s="7" t="s">
        <v>57</v>
      </c>
      <c r="C30" s="48">
        <v>2</v>
      </c>
      <c r="D30" s="48">
        <v>2</v>
      </c>
    </row>
    <row r="31" spans="1:4" ht="15.75" customHeight="1">
      <c r="A31" s="6">
        <v>20101</v>
      </c>
      <c r="B31" s="7" t="s">
        <v>59</v>
      </c>
      <c r="C31" s="48">
        <v>598</v>
      </c>
      <c r="D31" s="48">
        <v>459</v>
      </c>
    </row>
    <row r="32" spans="1:4" ht="15.75" customHeight="1">
      <c r="A32" s="6">
        <v>20102</v>
      </c>
      <c r="B32" s="7" t="s">
        <v>60</v>
      </c>
      <c r="C32" s="48">
        <v>46</v>
      </c>
      <c r="D32" s="48">
        <v>34</v>
      </c>
    </row>
    <row r="33" spans="1:4" ht="15.75" customHeight="1">
      <c r="A33" s="6">
        <v>20103</v>
      </c>
      <c r="B33" s="7" t="s">
        <v>61</v>
      </c>
      <c r="C33" s="48">
        <v>25</v>
      </c>
      <c r="D33" s="48">
        <v>25</v>
      </c>
    </row>
    <row r="34" spans="1:4" ht="15.75" customHeight="1">
      <c r="A34" s="6">
        <v>20104</v>
      </c>
      <c r="B34" s="7" t="s">
        <v>62</v>
      </c>
      <c r="C34" s="48">
        <v>61</v>
      </c>
      <c r="D34" s="48">
        <v>70</v>
      </c>
    </row>
    <row r="35" spans="1:4" ht="15.75" customHeight="1">
      <c r="A35" s="6">
        <v>20105</v>
      </c>
      <c r="B35" s="7" t="s">
        <v>63</v>
      </c>
      <c r="C35" s="48">
        <v>1168</v>
      </c>
      <c r="D35" s="48">
        <v>946</v>
      </c>
    </row>
    <row r="36" spans="1:4" ht="15.75" customHeight="1">
      <c r="A36" s="6">
        <v>20201</v>
      </c>
      <c r="B36" s="7" t="s">
        <v>65</v>
      </c>
      <c r="C36" s="48">
        <v>73</v>
      </c>
      <c r="D36" s="48">
        <v>62</v>
      </c>
    </row>
    <row r="37" spans="1:4" ht="15.75" customHeight="1">
      <c r="A37" s="6">
        <v>20202</v>
      </c>
      <c r="B37" s="7" t="s">
        <v>66</v>
      </c>
      <c r="C37" s="48">
        <v>41</v>
      </c>
      <c r="D37" s="48">
        <v>29</v>
      </c>
    </row>
    <row r="38" spans="1:4" ht="15.75" customHeight="1">
      <c r="A38" s="6">
        <v>20203</v>
      </c>
      <c r="B38" s="7" t="s">
        <v>67</v>
      </c>
      <c r="C38" s="48">
        <v>6</v>
      </c>
      <c r="D38" s="48">
        <v>6</v>
      </c>
    </row>
    <row r="39" spans="1:4" ht="15.75" customHeight="1">
      <c r="A39" s="6">
        <v>20204</v>
      </c>
      <c r="B39" s="7" t="s">
        <v>68</v>
      </c>
      <c r="C39" s="48">
        <v>13</v>
      </c>
      <c r="D39" s="48">
        <v>15</v>
      </c>
    </row>
    <row r="40" spans="1:4" ht="15.75" customHeight="1">
      <c r="A40" s="6">
        <v>20205</v>
      </c>
      <c r="B40" s="7" t="s">
        <v>69</v>
      </c>
      <c r="C40" s="48">
        <v>8</v>
      </c>
      <c r="D40" s="48">
        <v>17</v>
      </c>
    </row>
    <row r="41" spans="1:4" ht="15.75" customHeight="1">
      <c r="A41" s="6">
        <v>20206</v>
      </c>
      <c r="B41" s="7" t="s">
        <v>70</v>
      </c>
      <c r="C41" s="48">
        <v>14</v>
      </c>
      <c r="D41" s="48">
        <v>0</v>
      </c>
    </row>
    <row r="42" spans="1:4" ht="15.75" customHeight="1">
      <c r="A42" s="6">
        <v>20301</v>
      </c>
      <c r="B42" s="7" t="s">
        <v>72</v>
      </c>
      <c r="C42" s="48">
        <v>10</v>
      </c>
      <c r="D42" s="48">
        <v>34</v>
      </c>
    </row>
    <row r="43" spans="1:4" ht="15.75" customHeight="1">
      <c r="A43" s="6">
        <v>20302</v>
      </c>
      <c r="B43" s="7" t="s">
        <v>73</v>
      </c>
      <c r="C43" s="48">
        <v>13</v>
      </c>
      <c r="D43" s="48">
        <v>18</v>
      </c>
    </row>
    <row r="44" spans="1:4" ht="15.75" customHeight="1">
      <c r="A44" s="6">
        <v>20303</v>
      </c>
      <c r="B44" s="7" t="s">
        <v>74</v>
      </c>
      <c r="C44" s="48">
        <v>8</v>
      </c>
      <c r="D44" s="48">
        <v>21</v>
      </c>
    </row>
    <row r="45" spans="1:4" ht="15.75" customHeight="1">
      <c r="A45" s="6">
        <v>20304</v>
      </c>
      <c r="B45" s="7" t="s">
        <v>75</v>
      </c>
      <c r="C45" s="48">
        <v>3</v>
      </c>
      <c r="D45" s="48">
        <v>0</v>
      </c>
    </row>
    <row r="46" spans="1:4" ht="15.75" customHeight="1">
      <c r="A46" s="6">
        <v>20305</v>
      </c>
      <c r="B46" s="7" t="s">
        <v>76</v>
      </c>
      <c r="C46" s="48">
        <v>4</v>
      </c>
      <c r="D46" s="48">
        <v>11</v>
      </c>
    </row>
    <row r="47" spans="1:4" ht="15.75" customHeight="1">
      <c r="A47" s="6">
        <v>20306</v>
      </c>
      <c r="B47" s="7" t="s">
        <v>77</v>
      </c>
      <c r="C47" s="48">
        <v>7</v>
      </c>
      <c r="D47" s="48">
        <v>0</v>
      </c>
    </row>
    <row r="48" spans="1:4" ht="15.75" customHeight="1">
      <c r="A48" s="6">
        <v>20307</v>
      </c>
      <c r="B48" s="7" t="s">
        <v>78</v>
      </c>
      <c r="C48" s="48">
        <v>0</v>
      </c>
      <c r="D48" s="48">
        <v>1</v>
      </c>
    </row>
    <row r="49" spans="1:4" ht="15.75" customHeight="1">
      <c r="A49" s="6">
        <v>20308</v>
      </c>
      <c r="B49" s="7" t="s">
        <v>79</v>
      </c>
      <c r="C49" s="48">
        <v>8</v>
      </c>
      <c r="D49" s="48">
        <v>15</v>
      </c>
    </row>
    <row r="50" spans="1:4" ht="15.75" customHeight="1">
      <c r="A50" s="6">
        <v>20401</v>
      </c>
      <c r="B50" s="7" t="s">
        <v>81</v>
      </c>
      <c r="C50" s="48">
        <v>16</v>
      </c>
      <c r="D50" s="48">
        <v>12</v>
      </c>
    </row>
    <row r="51" spans="1:4" ht="15.75" customHeight="1">
      <c r="A51" s="6">
        <v>20402</v>
      </c>
      <c r="B51" s="7" t="s">
        <v>82</v>
      </c>
      <c r="C51" s="48">
        <v>34</v>
      </c>
      <c r="D51" s="48">
        <v>17</v>
      </c>
    </row>
    <row r="52" spans="1:4" ht="15.75" customHeight="1">
      <c r="A52" s="6">
        <v>20403</v>
      </c>
      <c r="B52" s="7" t="s">
        <v>83</v>
      </c>
      <c r="C52" s="48">
        <v>29</v>
      </c>
      <c r="D52" s="48">
        <v>25</v>
      </c>
    </row>
    <row r="53" spans="1:4" ht="15.75" customHeight="1">
      <c r="A53" s="6">
        <v>20404</v>
      </c>
      <c r="B53" s="7" t="s">
        <v>84</v>
      </c>
      <c r="C53" s="48">
        <v>20</v>
      </c>
      <c r="D53" s="48">
        <v>3</v>
      </c>
    </row>
    <row r="54" spans="1:4" ht="15.75" customHeight="1">
      <c r="A54" s="6">
        <v>20405</v>
      </c>
      <c r="B54" s="7" t="s">
        <v>85</v>
      </c>
      <c r="C54" s="48">
        <v>23</v>
      </c>
      <c r="D54" s="48">
        <v>16</v>
      </c>
    </row>
    <row r="55" spans="1:4" ht="15.75" customHeight="1">
      <c r="A55" s="6">
        <v>20501</v>
      </c>
      <c r="B55" s="7" t="s">
        <v>87</v>
      </c>
      <c r="C55" s="48">
        <v>33</v>
      </c>
      <c r="D55" s="48">
        <v>17</v>
      </c>
    </row>
    <row r="56" spans="1:4" ht="15.75" customHeight="1">
      <c r="A56" s="6">
        <v>20502</v>
      </c>
      <c r="B56" s="7" t="s">
        <v>88</v>
      </c>
      <c r="C56" s="48">
        <v>22</v>
      </c>
      <c r="D56" s="48">
        <v>12</v>
      </c>
    </row>
    <row r="57" spans="1:4" ht="15.75" customHeight="1">
      <c r="A57" s="6">
        <v>20503</v>
      </c>
      <c r="B57" s="7" t="s">
        <v>89</v>
      </c>
      <c r="C57" s="48">
        <v>13</v>
      </c>
      <c r="D57" s="48">
        <v>2</v>
      </c>
    </row>
    <row r="58" spans="1:4" ht="15.75" customHeight="1">
      <c r="A58" s="6">
        <v>20601</v>
      </c>
      <c r="B58" s="7" t="s">
        <v>91</v>
      </c>
      <c r="C58" s="48">
        <v>37</v>
      </c>
      <c r="D58" s="48">
        <v>27</v>
      </c>
    </row>
    <row r="59" spans="1:4" ht="15.75" customHeight="1">
      <c r="A59" s="6">
        <v>20602</v>
      </c>
      <c r="B59" s="7" t="s">
        <v>92</v>
      </c>
      <c r="C59" s="48">
        <v>38</v>
      </c>
      <c r="D59" s="48">
        <v>31</v>
      </c>
    </row>
    <row r="60" spans="1:4" ht="15.75" customHeight="1">
      <c r="A60" s="6">
        <v>20603</v>
      </c>
      <c r="B60" s="7" t="s">
        <v>93</v>
      </c>
      <c r="C60" s="48">
        <v>14</v>
      </c>
      <c r="D60" s="48">
        <v>5</v>
      </c>
    </row>
    <row r="61" spans="1:4" ht="15.75" customHeight="1">
      <c r="A61" s="6">
        <v>20604</v>
      </c>
      <c r="B61" s="7" t="s">
        <v>94</v>
      </c>
      <c r="C61" s="48">
        <v>15</v>
      </c>
      <c r="D61" s="48">
        <v>4</v>
      </c>
    </row>
    <row r="62" spans="1:4" ht="15.75" customHeight="1">
      <c r="A62" s="6">
        <v>20605</v>
      </c>
      <c r="B62" s="7" t="s">
        <v>95</v>
      </c>
      <c r="C62" s="48">
        <v>5</v>
      </c>
      <c r="D62" s="48">
        <v>0</v>
      </c>
    </row>
    <row r="63" spans="1:4" ht="15.75" customHeight="1">
      <c r="A63" s="6">
        <v>20606</v>
      </c>
      <c r="B63" s="7" t="s">
        <v>96</v>
      </c>
      <c r="C63" s="48">
        <v>25</v>
      </c>
      <c r="D63" s="48">
        <v>18</v>
      </c>
    </row>
    <row r="64" spans="1:4" ht="15.75" customHeight="1">
      <c r="A64" s="6">
        <v>20607</v>
      </c>
      <c r="B64" s="7" t="s">
        <v>97</v>
      </c>
      <c r="C64" s="48">
        <v>27</v>
      </c>
      <c r="D64" s="48">
        <v>43</v>
      </c>
    </row>
    <row r="65" spans="1:4" ht="15.75" customHeight="1">
      <c r="A65" s="6">
        <v>20608</v>
      </c>
      <c r="B65" s="7" t="s">
        <v>98</v>
      </c>
      <c r="C65" s="48">
        <v>21</v>
      </c>
      <c r="D65" s="48">
        <v>31</v>
      </c>
    </row>
    <row r="66" spans="1:4" ht="15.75" customHeight="1">
      <c r="A66" s="6">
        <v>20701</v>
      </c>
      <c r="B66" s="7" t="s">
        <v>100</v>
      </c>
      <c r="C66" s="48">
        <v>47</v>
      </c>
      <c r="D66" s="48">
        <v>31</v>
      </c>
    </row>
    <row r="67" spans="1:4" ht="15.75" customHeight="1">
      <c r="A67" s="6">
        <v>20702</v>
      </c>
      <c r="B67" s="7" t="s">
        <v>101</v>
      </c>
      <c r="C67" s="48">
        <v>13</v>
      </c>
      <c r="D67" s="48">
        <v>13</v>
      </c>
    </row>
    <row r="68" spans="1:4" ht="15.75" customHeight="1">
      <c r="A68" s="6">
        <v>20801</v>
      </c>
      <c r="B68" s="7" t="s">
        <v>103</v>
      </c>
      <c r="C68" s="48">
        <v>135</v>
      </c>
      <c r="D68" s="48">
        <v>146</v>
      </c>
    </row>
    <row r="69" spans="1:4" ht="15.75" customHeight="1">
      <c r="A69" s="6">
        <v>20802</v>
      </c>
      <c r="B69" s="7" t="s">
        <v>104</v>
      </c>
      <c r="C69" s="48">
        <v>10</v>
      </c>
      <c r="D69" s="48">
        <v>14</v>
      </c>
    </row>
    <row r="70" spans="1:4" ht="15.75" customHeight="1">
      <c r="A70" s="6">
        <v>20803</v>
      </c>
      <c r="B70" s="7" t="s">
        <v>105</v>
      </c>
      <c r="C70" s="48">
        <v>20</v>
      </c>
      <c r="D70" s="48">
        <v>18</v>
      </c>
    </row>
    <row r="71" spans="1:4" ht="15.75" customHeight="1">
      <c r="A71" s="6">
        <v>20804</v>
      </c>
      <c r="B71" s="7" t="s">
        <v>106</v>
      </c>
      <c r="C71" s="48">
        <v>8</v>
      </c>
      <c r="D71" s="48">
        <v>17</v>
      </c>
    </row>
    <row r="72" spans="1:4" ht="15.75" customHeight="1">
      <c r="A72" s="6">
        <v>20805</v>
      </c>
      <c r="B72" s="7" t="s">
        <v>107</v>
      </c>
      <c r="C72" s="48">
        <v>4</v>
      </c>
      <c r="D72" s="48">
        <v>1</v>
      </c>
    </row>
    <row r="73" spans="1:4" ht="15.75" customHeight="1">
      <c r="A73" s="6">
        <v>20806</v>
      </c>
      <c r="B73" s="7" t="s">
        <v>108</v>
      </c>
      <c r="C73" s="48">
        <v>17</v>
      </c>
      <c r="D73" s="48">
        <v>16</v>
      </c>
    </row>
    <row r="74" spans="1:4" ht="15.75" customHeight="1">
      <c r="A74" s="6">
        <v>20807</v>
      </c>
      <c r="B74" s="7" t="s">
        <v>109</v>
      </c>
      <c r="C74" s="48">
        <v>6</v>
      </c>
      <c r="D74" s="48">
        <v>7</v>
      </c>
    </row>
    <row r="75" spans="1:4" ht="15.75" customHeight="1">
      <c r="A75" s="6">
        <v>20901</v>
      </c>
      <c r="B75" s="7" t="s">
        <v>111</v>
      </c>
      <c r="C75" s="48">
        <v>21</v>
      </c>
      <c r="D75" s="48">
        <v>10</v>
      </c>
    </row>
    <row r="76" spans="1:4" ht="15.75" customHeight="1">
      <c r="A76" s="6">
        <v>20902</v>
      </c>
      <c r="B76" s="7" t="s">
        <v>112</v>
      </c>
      <c r="C76" s="48">
        <v>19</v>
      </c>
      <c r="D76" s="48">
        <v>19</v>
      </c>
    </row>
    <row r="77" spans="1:4" ht="15.75" customHeight="1">
      <c r="A77" s="6">
        <v>20903</v>
      </c>
      <c r="B77" s="7" t="s">
        <v>113</v>
      </c>
      <c r="C77" s="48">
        <v>13</v>
      </c>
      <c r="D77" s="48">
        <v>16</v>
      </c>
    </row>
    <row r="78" spans="1:4" ht="15.75" customHeight="1">
      <c r="A78" s="6">
        <v>20904</v>
      </c>
      <c r="B78" s="7" t="s">
        <v>114</v>
      </c>
      <c r="C78" s="48">
        <v>8</v>
      </c>
      <c r="D78" s="48">
        <v>5</v>
      </c>
    </row>
    <row r="79" spans="1:4" ht="15.75" customHeight="1">
      <c r="A79" s="6">
        <v>20905</v>
      </c>
      <c r="B79" s="7" t="s">
        <v>115</v>
      </c>
      <c r="C79" s="48">
        <v>26</v>
      </c>
      <c r="D79" s="48">
        <v>30</v>
      </c>
    </row>
    <row r="80" spans="1:4" ht="15.75" customHeight="1">
      <c r="A80" s="6">
        <v>21001</v>
      </c>
      <c r="B80" s="7" t="s">
        <v>116</v>
      </c>
      <c r="C80" s="48">
        <v>22</v>
      </c>
      <c r="D80" s="48">
        <v>44</v>
      </c>
    </row>
    <row r="81" spans="1:4" ht="15.75" customHeight="1">
      <c r="A81" s="6">
        <v>21002</v>
      </c>
      <c r="B81" s="7" t="s">
        <v>117</v>
      </c>
      <c r="C81" s="48">
        <v>20</v>
      </c>
      <c r="D81" s="48">
        <v>15</v>
      </c>
    </row>
    <row r="82" spans="1:4" ht="15.75" customHeight="1">
      <c r="A82" s="6">
        <v>21003</v>
      </c>
      <c r="B82" s="7" t="s">
        <v>118</v>
      </c>
      <c r="C82" s="48">
        <v>22</v>
      </c>
      <c r="D82" s="48">
        <v>22</v>
      </c>
    </row>
    <row r="83" spans="1:4" ht="15.75" customHeight="1">
      <c r="A83" s="6">
        <v>21004</v>
      </c>
      <c r="B83" s="7" t="s">
        <v>119</v>
      </c>
      <c r="C83" s="48">
        <v>43</v>
      </c>
      <c r="D83" s="48">
        <v>30</v>
      </c>
    </row>
    <row r="84" spans="1:4" ht="15.75" customHeight="1">
      <c r="A84" s="6">
        <v>21005</v>
      </c>
      <c r="B84" s="7" t="s">
        <v>120</v>
      </c>
      <c r="C84" s="48">
        <v>10</v>
      </c>
      <c r="D84" s="48">
        <v>14</v>
      </c>
    </row>
    <row r="85" spans="1:4" ht="15.75" customHeight="1">
      <c r="A85" s="6">
        <v>21006</v>
      </c>
      <c r="B85" s="7" t="s">
        <v>121</v>
      </c>
      <c r="C85" s="48">
        <v>2</v>
      </c>
      <c r="D85" s="48">
        <v>3</v>
      </c>
    </row>
    <row r="86" spans="1:4" ht="15.75" customHeight="1">
      <c r="A86" s="6">
        <v>21101</v>
      </c>
      <c r="B86" s="7" t="s">
        <v>123</v>
      </c>
      <c r="C86" s="48">
        <v>23</v>
      </c>
      <c r="D86" s="48">
        <v>31</v>
      </c>
    </row>
    <row r="87" spans="1:4" ht="15.75" customHeight="1">
      <c r="A87" s="6">
        <v>21102</v>
      </c>
      <c r="B87" s="7" t="s">
        <v>124</v>
      </c>
      <c r="C87" s="48">
        <v>20</v>
      </c>
      <c r="D87" s="48">
        <v>38</v>
      </c>
    </row>
    <row r="88" spans="1:4" ht="15.75" customHeight="1">
      <c r="A88" s="6">
        <v>21103</v>
      </c>
      <c r="B88" s="7" t="s">
        <v>125</v>
      </c>
      <c r="C88" s="48">
        <v>9</v>
      </c>
      <c r="D88" s="48">
        <v>2</v>
      </c>
    </row>
    <row r="89" spans="1:4" ht="15.75" customHeight="1">
      <c r="A89" s="6">
        <v>21104</v>
      </c>
      <c r="B89" s="7" t="s">
        <v>126</v>
      </c>
      <c r="C89" s="48">
        <v>63</v>
      </c>
      <c r="D89" s="48">
        <v>78</v>
      </c>
    </row>
    <row r="90" spans="1:4" ht="15.75" customHeight="1">
      <c r="A90" s="6">
        <v>21105</v>
      </c>
      <c r="B90" s="7" t="s">
        <v>127</v>
      </c>
      <c r="C90" s="48">
        <v>84</v>
      </c>
      <c r="D90" s="48">
        <v>115</v>
      </c>
    </row>
    <row r="91" spans="1:4" ht="15.75" customHeight="1">
      <c r="A91" s="6">
        <v>21201</v>
      </c>
      <c r="B91" s="7" t="s">
        <v>129</v>
      </c>
      <c r="C91" s="48">
        <v>77</v>
      </c>
      <c r="D91" s="48">
        <v>98</v>
      </c>
    </row>
    <row r="92" spans="1:4" ht="15.75" customHeight="1">
      <c r="A92" s="6">
        <v>21202</v>
      </c>
      <c r="B92" s="7" t="s">
        <v>130</v>
      </c>
      <c r="C92" s="48">
        <v>40</v>
      </c>
      <c r="D92" s="48">
        <v>52</v>
      </c>
    </row>
    <row r="93" spans="1:4" ht="15.75" customHeight="1">
      <c r="A93" s="6">
        <v>21203</v>
      </c>
      <c r="B93" s="7" t="s">
        <v>131</v>
      </c>
      <c r="C93" s="48">
        <v>14</v>
      </c>
      <c r="D93" s="48">
        <v>22</v>
      </c>
    </row>
    <row r="94" spans="1:4" ht="15.75" customHeight="1">
      <c r="A94" s="6">
        <v>21204</v>
      </c>
      <c r="B94" s="7" t="s">
        <v>132</v>
      </c>
      <c r="C94" s="48">
        <v>16</v>
      </c>
      <c r="D94" s="48">
        <v>3</v>
      </c>
    </row>
    <row r="95" spans="1:4" ht="15.75" customHeight="1">
      <c r="A95" s="6">
        <v>21301</v>
      </c>
      <c r="B95" s="7" t="s">
        <v>134</v>
      </c>
      <c r="C95" s="48">
        <v>46</v>
      </c>
      <c r="D95" s="48">
        <v>35</v>
      </c>
    </row>
    <row r="96" spans="1:4" ht="15.75" customHeight="1">
      <c r="A96" s="6">
        <v>21302</v>
      </c>
      <c r="B96" s="7" t="s">
        <v>135</v>
      </c>
      <c r="C96" s="48">
        <v>15</v>
      </c>
      <c r="D96" s="48">
        <v>24</v>
      </c>
    </row>
    <row r="97" spans="1:4" ht="15.75" customHeight="1">
      <c r="A97" s="6">
        <v>21303</v>
      </c>
      <c r="B97" s="7" t="s">
        <v>136</v>
      </c>
      <c r="C97" s="48">
        <v>9</v>
      </c>
      <c r="D97" s="48">
        <v>26</v>
      </c>
    </row>
    <row r="98" spans="1:4" ht="15.75" customHeight="1">
      <c r="A98" s="6">
        <v>21304</v>
      </c>
      <c r="B98" s="7" t="s">
        <v>137</v>
      </c>
      <c r="C98" s="48">
        <v>19</v>
      </c>
      <c r="D98" s="48">
        <v>47</v>
      </c>
    </row>
    <row r="99" spans="1:4" ht="15.75" customHeight="1">
      <c r="A99" s="6">
        <v>21305</v>
      </c>
      <c r="B99" s="7" t="s">
        <v>138</v>
      </c>
      <c r="C99" s="48">
        <v>25</v>
      </c>
      <c r="D99" s="48">
        <v>42</v>
      </c>
    </row>
    <row r="100" spans="1:4" ht="15.75" customHeight="1">
      <c r="A100" s="6">
        <v>21306</v>
      </c>
      <c r="B100" s="7" t="s">
        <v>139</v>
      </c>
      <c r="C100" s="48">
        <v>13</v>
      </c>
      <c r="D100" s="48">
        <v>12</v>
      </c>
    </row>
    <row r="101" spans="1:4" ht="15.75" customHeight="1">
      <c r="A101" s="6">
        <v>21307</v>
      </c>
      <c r="B101" s="7" t="s">
        <v>140</v>
      </c>
      <c r="C101" s="48">
        <v>2</v>
      </c>
      <c r="D101" s="48">
        <v>8</v>
      </c>
    </row>
    <row r="102" spans="1:4" ht="15.75" customHeight="1">
      <c r="A102" s="6">
        <v>21401</v>
      </c>
      <c r="B102" s="7" t="s">
        <v>142</v>
      </c>
      <c r="C102" s="48">
        <v>24</v>
      </c>
      <c r="D102" s="48">
        <v>54</v>
      </c>
    </row>
    <row r="103" spans="1:4" ht="15.75" customHeight="1">
      <c r="A103" s="6">
        <v>21402</v>
      </c>
      <c r="B103" s="7" t="s">
        <v>143</v>
      </c>
      <c r="C103" s="48">
        <v>18</v>
      </c>
      <c r="D103" s="48">
        <v>23</v>
      </c>
    </row>
    <row r="104" spans="1:4" ht="15.75" customHeight="1">
      <c r="A104" s="6">
        <v>21501</v>
      </c>
      <c r="B104" s="7" t="s">
        <v>145</v>
      </c>
      <c r="C104" s="48">
        <v>11</v>
      </c>
      <c r="D104" s="48">
        <v>32</v>
      </c>
    </row>
    <row r="105" spans="1:4" ht="15.75" customHeight="1">
      <c r="A105" s="6">
        <v>21502</v>
      </c>
      <c r="B105" s="7" t="s">
        <v>146</v>
      </c>
      <c r="C105" s="48">
        <v>17</v>
      </c>
      <c r="D105" s="48">
        <v>33</v>
      </c>
    </row>
    <row r="106" spans="1:4" ht="15.75" customHeight="1">
      <c r="A106" s="6">
        <v>21601</v>
      </c>
      <c r="B106" s="7" t="s">
        <v>148</v>
      </c>
      <c r="C106" s="48">
        <v>15</v>
      </c>
      <c r="D106" s="48">
        <v>12</v>
      </c>
    </row>
    <row r="107" spans="1:4" ht="15.75" customHeight="1">
      <c r="A107" s="6">
        <v>21602</v>
      </c>
      <c r="B107" s="7" t="s">
        <v>149</v>
      </c>
      <c r="C107" s="48">
        <v>4</v>
      </c>
      <c r="D107" s="48">
        <v>7</v>
      </c>
    </row>
    <row r="108" spans="1:4" ht="15.75" customHeight="1">
      <c r="A108" s="6">
        <v>21701</v>
      </c>
      <c r="B108" s="7" t="s">
        <v>151</v>
      </c>
      <c r="C108" s="48">
        <v>18</v>
      </c>
      <c r="D108" s="48">
        <v>20</v>
      </c>
    </row>
    <row r="109" spans="1:4" ht="15.75" customHeight="1">
      <c r="A109" s="6">
        <v>21702</v>
      </c>
      <c r="B109" s="7" t="s">
        <v>152</v>
      </c>
      <c r="C109" s="48">
        <v>3</v>
      </c>
      <c r="D109" s="48">
        <v>8</v>
      </c>
    </row>
    <row r="110" spans="1:4" ht="15.75" customHeight="1">
      <c r="A110" s="6">
        <v>21703</v>
      </c>
      <c r="B110" s="7" t="s">
        <v>153</v>
      </c>
      <c r="C110" s="48">
        <v>6</v>
      </c>
      <c r="D110" s="48">
        <v>8</v>
      </c>
    </row>
    <row r="111" spans="1:4" ht="15.75" customHeight="1">
      <c r="A111" s="6">
        <v>21801</v>
      </c>
      <c r="B111" s="7" t="s">
        <v>155</v>
      </c>
      <c r="C111" s="48">
        <v>9</v>
      </c>
      <c r="D111" s="48">
        <v>15</v>
      </c>
    </row>
    <row r="112" spans="1:4" ht="15.75" customHeight="1">
      <c r="A112" s="6">
        <v>21802</v>
      </c>
      <c r="B112" s="7" t="s">
        <v>157</v>
      </c>
      <c r="C112" s="48">
        <v>4</v>
      </c>
      <c r="D112" s="48">
        <v>13</v>
      </c>
    </row>
    <row r="113" spans="1:4" ht="15.75" customHeight="1">
      <c r="A113" s="6">
        <v>21803</v>
      </c>
      <c r="B113" s="7" t="s">
        <v>158</v>
      </c>
      <c r="C113" s="48">
        <v>5</v>
      </c>
      <c r="D113" s="48">
        <v>4</v>
      </c>
    </row>
    <row r="114" spans="1:4" ht="15.75" customHeight="1">
      <c r="A114" s="6">
        <v>21901</v>
      </c>
      <c r="B114" s="7" t="s">
        <v>160</v>
      </c>
      <c r="C114" s="48">
        <v>3</v>
      </c>
      <c r="D114" s="48">
        <v>7</v>
      </c>
    </row>
    <row r="115" spans="1:4" ht="15.75" customHeight="1">
      <c r="A115" s="6">
        <v>21902</v>
      </c>
      <c r="B115" s="7" t="s">
        <v>161</v>
      </c>
      <c r="C115" s="48">
        <v>0</v>
      </c>
      <c r="D115" s="48">
        <v>0</v>
      </c>
    </row>
    <row r="116" spans="1:4" ht="15.75" customHeight="1">
      <c r="A116" s="6">
        <v>22001</v>
      </c>
      <c r="B116" s="7" t="s">
        <v>162</v>
      </c>
      <c r="C116" s="48">
        <v>88</v>
      </c>
      <c r="D116" s="48">
        <v>59</v>
      </c>
    </row>
    <row r="117" spans="1:4" ht="15.75" customHeight="1">
      <c r="A117" s="6">
        <v>22002</v>
      </c>
      <c r="B117" s="7" t="s">
        <v>163</v>
      </c>
      <c r="C117" s="48">
        <v>26</v>
      </c>
      <c r="D117" s="48">
        <v>25</v>
      </c>
    </row>
    <row r="118" spans="1:4" ht="15.75" customHeight="1">
      <c r="A118" s="6">
        <v>30101</v>
      </c>
      <c r="B118" s="7" t="s">
        <v>17</v>
      </c>
      <c r="C118" s="48">
        <v>617</v>
      </c>
      <c r="D118" s="48">
        <v>404</v>
      </c>
    </row>
    <row r="119" spans="1:4" ht="15.75" customHeight="1">
      <c r="A119" s="6">
        <v>30201</v>
      </c>
      <c r="B119" s="7" t="s">
        <v>166</v>
      </c>
      <c r="C119" s="48">
        <v>34</v>
      </c>
      <c r="D119" s="48">
        <v>27</v>
      </c>
    </row>
    <row r="120" spans="1:4" ht="15.75" customHeight="1">
      <c r="A120" s="6">
        <v>30202</v>
      </c>
      <c r="B120" s="7" t="s">
        <v>167</v>
      </c>
      <c r="C120" s="48">
        <v>1</v>
      </c>
      <c r="D120" s="48">
        <v>3</v>
      </c>
    </row>
    <row r="121" spans="1:4" ht="15.75" customHeight="1">
      <c r="A121" s="6">
        <v>30203</v>
      </c>
      <c r="B121" s="7" t="s">
        <v>168</v>
      </c>
      <c r="C121" s="48">
        <v>6</v>
      </c>
      <c r="D121" s="48">
        <v>9</v>
      </c>
    </row>
    <row r="122" spans="1:4" ht="15.75" customHeight="1">
      <c r="A122" s="6">
        <v>30301</v>
      </c>
      <c r="B122" s="7" t="s">
        <v>170</v>
      </c>
      <c r="C122" s="48">
        <v>56</v>
      </c>
      <c r="D122" s="48">
        <v>60</v>
      </c>
    </row>
    <row r="123" spans="1:4" ht="15.75" customHeight="1">
      <c r="A123" s="6">
        <v>30302</v>
      </c>
      <c r="B123" s="7" t="s">
        <v>171</v>
      </c>
      <c r="C123" s="48">
        <v>42</v>
      </c>
      <c r="D123" s="48">
        <v>24</v>
      </c>
    </row>
    <row r="124" spans="1:4" ht="15.75" customHeight="1">
      <c r="A124" s="6">
        <v>30303</v>
      </c>
      <c r="B124" s="7" t="s">
        <v>172</v>
      </c>
      <c r="C124" s="48">
        <v>52</v>
      </c>
      <c r="D124" s="48">
        <v>41</v>
      </c>
    </row>
    <row r="125" spans="1:4" ht="15.75" customHeight="1">
      <c r="A125" s="6">
        <v>30401</v>
      </c>
      <c r="B125" s="7" t="s">
        <v>174</v>
      </c>
      <c r="C125" s="48">
        <v>16</v>
      </c>
      <c r="D125" s="48">
        <v>12</v>
      </c>
    </row>
    <row r="126" spans="1:4" ht="15.75" customHeight="1">
      <c r="A126" s="6">
        <v>30402</v>
      </c>
      <c r="B126" s="7" t="s">
        <v>175</v>
      </c>
      <c r="C126" s="48">
        <v>16</v>
      </c>
      <c r="D126" s="48">
        <v>19</v>
      </c>
    </row>
    <row r="127" spans="1:4" ht="15.75" customHeight="1">
      <c r="A127" s="6">
        <v>30403</v>
      </c>
      <c r="B127" s="7" t="s">
        <v>176</v>
      </c>
      <c r="C127" s="48">
        <v>36</v>
      </c>
      <c r="D127" s="48">
        <v>26</v>
      </c>
    </row>
    <row r="128" spans="1:4" ht="15.75" customHeight="1">
      <c r="A128" s="6">
        <v>30404</v>
      </c>
      <c r="B128" s="7" t="s">
        <v>177</v>
      </c>
      <c r="C128" s="48">
        <v>9</v>
      </c>
      <c r="D128" s="48">
        <v>4</v>
      </c>
    </row>
    <row r="129" spans="1:4" ht="15.75" customHeight="1">
      <c r="A129" s="6">
        <v>30501</v>
      </c>
      <c r="B129" s="7" t="s">
        <v>178</v>
      </c>
      <c r="C129" s="48">
        <v>17</v>
      </c>
      <c r="D129" s="48">
        <v>7</v>
      </c>
    </row>
    <row r="130" spans="1:4" ht="15.75" customHeight="1">
      <c r="A130" s="6">
        <v>30502</v>
      </c>
      <c r="B130" s="7" t="s">
        <v>179</v>
      </c>
      <c r="C130" s="48">
        <v>17</v>
      </c>
      <c r="D130" s="48">
        <v>15</v>
      </c>
    </row>
    <row r="131" spans="1:4" ht="15.75" customHeight="1">
      <c r="A131" s="6">
        <v>30601</v>
      </c>
      <c r="B131" s="7" t="s">
        <v>180</v>
      </c>
      <c r="C131" s="48">
        <v>29</v>
      </c>
      <c r="D131" s="48">
        <v>14</v>
      </c>
    </row>
    <row r="132" spans="1:4" ht="15.75" customHeight="1">
      <c r="A132" s="6">
        <v>30602</v>
      </c>
      <c r="B132" s="7" t="s">
        <v>181</v>
      </c>
      <c r="C132" s="48">
        <v>16</v>
      </c>
      <c r="D132" s="48">
        <v>27</v>
      </c>
    </row>
    <row r="133" spans="1:4" ht="15.75" customHeight="1">
      <c r="A133" s="6">
        <v>30701</v>
      </c>
      <c r="B133" s="7" t="s">
        <v>182</v>
      </c>
      <c r="C133" s="48">
        <v>32</v>
      </c>
      <c r="D133" s="48">
        <v>16</v>
      </c>
    </row>
    <row r="134" spans="1:4" ht="15.75" customHeight="1">
      <c r="A134" s="6">
        <v>30702</v>
      </c>
      <c r="B134" s="7" t="s">
        <v>183</v>
      </c>
      <c r="C134" s="48">
        <v>9</v>
      </c>
      <c r="D134" s="48">
        <v>7</v>
      </c>
    </row>
    <row r="135" spans="1:4" ht="15.75" customHeight="1">
      <c r="A135" s="6">
        <v>30703</v>
      </c>
      <c r="B135" s="7" t="s">
        <v>184</v>
      </c>
      <c r="C135" s="48">
        <v>12</v>
      </c>
      <c r="D135" s="48">
        <v>5</v>
      </c>
    </row>
    <row r="136" spans="1:4" ht="15.75" customHeight="1">
      <c r="A136" s="6">
        <v>30801</v>
      </c>
      <c r="B136" s="7" t="s">
        <v>186</v>
      </c>
      <c r="C136" s="48">
        <v>19</v>
      </c>
      <c r="D136" s="48">
        <v>28</v>
      </c>
    </row>
    <row r="137" spans="1:4" ht="15.75" customHeight="1">
      <c r="A137" s="6">
        <v>30802</v>
      </c>
      <c r="B137" s="7" t="s">
        <v>187</v>
      </c>
      <c r="C137" s="48">
        <v>17</v>
      </c>
      <c r="D137" s="48">
        <v>3</v>
      </c>
    </row>
    <row r="138" spans="1:4" ht="15.75" customHeight="1">
      <c r="A138" s="6">
        <v>30803</v>
      </c>
      <c r="B138" s="7" t="s">
        <v>188</v>
      </c>
      <c r="C138" s="48">
        <v>9</v>
      </c>
      <c r="D138" s="48">
        <v>1</v>
      </c>
    </row>
    <row r="139" spans="1:4" ht="15.75" customHeight="1">
      <c r="A139" s="6">
        <v>30901</v>
      </c>
      <c r="B139" s="7" t="s">
        <v>189</v>
      </c>
      <c r="C139" s="48">
        <v>91</v>
      </c>
      <c r="D139" s="48">
        <v>128</v>
      </c>
    </row>
    <row r="140" spans="1:4" ht="15.75" customHeight="1">
      <c r="A140" s="6">
        <v>30902</v>
      </c>
      <c r="B140" s="7" t="s">
        <v>190</v>
      </c>
      <c r="C140" s="48">
        <v>73</v>
      </c>
      <c r="D140" s="48">
        <v>53</v>
      </c>
    </row>
    <row r="141" spans="1:4" ht="15.75" customHeight="1">
      <c r="A141" s="6">
        <v>30903</v>
      </c>
      <c r="B141" s="7" t="s">
        <v>191</v>
      </c>
      <c r="C141" s="48">
        <v>36</v>
      </c>
      <c r="D141" s="48">
        <v>36</v>
      </c>
    </row>
    <row r="142" spans="1:4" ht="15.75" customHeight="1">
      <c r="A142" s="6">
        <v>30904</v>
      </c>
      <c r="B142" s="7" t="s">
        <v>192</v>
      </c>
      <c r="C142" s="48">
        <v>56</v>
      </c>
      <c r="D142" s="48">
        <v>47</v>
      </c>
    </row>
    <row r="143" spans="1:4" ht="15.75" customHeight="1">
      <c r="A143" s="6">
        <v>30905</v>
      </c>
      <c r="B143" s="7" t="s">
        <v>193</v>
      </c>
      <c r="C143" s="48">
        <v>24</v>
      </c>
      <c r="D143" s="48">
        <v>34</v>
      </c>
    </row>
    <row r="144" spans="1:4" ht="15.75" customHeight="1">
      <c r="A144" s="6">
        <v>31001</v>
      </c>
      <c r="B144" s="7" t="s">
        <v>195</v>
      </c>
      <c r="C144" s="48">
        <v>195</v>
      </c>
      <c r="D144" s="48">
        <v>185</v>
      </c>
    </row>
    <row r="145" spans="1:4" ht="15.75" customHeight="1">
      <c r="A145" s="6">
        <v>31002</v>
      </c>
      <c r="B145" s="7" t="s">
        <v>196</v>
      </c>
      <c r="C145" s="48">
        <v>43</v>
      </c>
      <c r="D145" s="48">
        <v>44</v>
      </c>
    </row>
    <row r="146" spans="1:4" ht="15.75" customHeight="1">
      <c r="A146" s="6">
        <v>31003</v>
      </c>
      <c r="B146" s="7" t="s">
        <v>197</v>
      </c>
      <c r="C146" s="48">
        <v>202</v>
      </c>
      <c r="D146" s="48">
        <v>187</v>
      </c>
    </row>
    <row r="147" spans="1:4" ht="15.75" customHeight="1">
      <c r="A147" s="6">
        <v>31101</v>
      </c>
      <c r="B147" s="7" t="s">
        <v>198</v>
      </c>
      <c r="C147" s="48">
        <v>53</v>
      </c>
      <c r="D147" s="48">
        <v>35</v>
      </c>
    </row>
    <row r="148" spans="1:4" ht="15.75" customHeight="1">
      <c r="A148" s="6">
        <v>31201</v>
      </c>
      <c r="B148" s="7" t="s">
        <v>200</v>
      </c>
      <c r="C148" s="48">
        <v>34</v>
      </c>
      <c r="D148" s="48">
        <v>20</v>
      </c>
    </row>
    <row r="149" spans="1:4" ht="15.75" customHeight="1">
      <c r="A149" s="6">
        <v>31202</v>
      </c>
      <c r="B149" s="7" t="s">
        <v>201</v>
      </c>
      <c r="C149" s="48">
        <v>16</v>
      </c>
      <c r="D149" s="48">
        <v>17</v>
      </c>
    </row>
    <row r="150" spans="1:4" ht="15.75" customHeight="1">
      <c r="A150" s="6">
        <v>31203</v>
      </c>
      <c r="B150" s="7" t="s">
        <v>202</v>
      </c>
      <c r="C150" s="48">
        <v>17</v>
      </c>
      <c r="D150" s="48">
        <v>15</v>
      </c>
    </row>
    <row r="151" spans="1:4" ht="15.75" customHeight="1">
      <c r="A151" s="6">
        <v>31204</v>
      </c>
      <c r="B151" s="7" t="s">
        <v>203</v>
      </c>
      <c r="C151" s="48">
        <v>43</v>
      </c>
      <c r="D151" s="48">
        <v>54</v>
      </c>
    </row>
    <row r="152" spans="1:4" ht="15.75" customHeight="1">
      <c r="A152" s="6">
        <v>31205</v>
      </c>
      <c r="B152" s="7" t="s">
        <v>204</v>
      </c>
      <c r="C152" s="48">
        <v>104</v>
      </c>
      <c r="D152" s="48">
        <v>72</v>
      </c>
    </row>
    <row r="153" spans="1:4" ht="15.75" customHeight="1">
      <c r="A153" s="6">
        <v>31206</v>
      </c>
      <c r="B153" s="7" t="s">
        <v>205</v>
      </c>
      <c r="C153" s="48">
        <v>80</v>
      </c>
      <c r="D153" s="48">
        <v>65</v>
      </c>
    </row>
    <row r="154" spans="1:4" ht="15.75" customHeight="1">
      <c r="A154" s="6">
        <v>31301</v>
      </c>
      <c r="B154" s="7" t="s">
        <v>206</v>
      </c>
      <c r="C154" s="48">
        <v>34</v>
      </c>
      <c r="D154" s="48">
        <v>18</v>
      </c>
    </row>
    <row r="155" spans="1:4" ht="15.75" customHeight="1">
      <c r="A155" s="6">
        <v>31302</v>
      </c>
      <c r="B155" s="7" t="s">
        <v>207</v>
      </c>
      <c r="C155" s="48">
        <v>10</v>
      </c>
      <c r="D155" s="48">
        <v>9</v>
      </c>
    </row>
    <row r="156" spans="1:4" ht="15.75" customHeight="1">
      <c r="A156" s="6">
        <v>31303</v>
      </c>
      <c r="B156" s="7" t="s">
        <v>208</v>
      </c>
      <c r="C156" s="48">
        <v>3</v>
      </c>
      <c r="D156" s="48">
        <v>9</v>
      </c>
    </row>
    <row r="157" spans="1:4" ht="15.75" customHeight="1">
      <c r="A157" s="19">
        <v>31304</v>
      </c>
      <c r="B157" s="7" t="s">
        <v>209</v>
      </c>
      <c r="C157" s="48">
        <v>34</v>
      </c>
      <c r="D157" s="48">
        <v>13</v>
      </c>
    </row>
    <row r="158" spans="1:4" ht="15.75" customHeight="1">
      <c r="A158" s="6">
        <v>31401</v>
      </c>
      <c r="B158" s="7" t="s">
        <v>210</v>
      </c>
      <c r="C158" s="48">
        <v>23</v>
      </c>
      <c r="D158" s="48">
        <v>23</v>
      </c>
    </row>
    <row r="159" spans="1:4" ht="15.75" customHeight="1">
      <c r="A159" s="6">
        <v>31402</v>
      </c>
      <c r="B159" s="7" t="s">
        <v>211</v>
      </c>
      <c r="C159" s="48">
        <v>7</v>
      </c>
      <c r="D159" s="48">
        <v>10</v>
      </c>
    </row>
    <row r="160" spans="1:4" ht="15.75" customHeight="1">
      <c r="A160" s="6">
        <v>31403</v>
      </c>
      <c r="B160" s="7" t="s">
        <v>212</v>
      </c>
      <c r="C160" s="48">
        <v>25</v>
      </c>
      <c r="D160" s="48">
        <v>20</v>
      </c>
    </row>
    <row r="161" spans="1:4" ht="15.75" customHeight="1">
      <c r="A161" s="6">
        <v>31404</v>
      </c>
      <c r="B161" s="7" t="s">
        <v>213</v>
      </c>
      <c r="C161" s="48">
        <v>2</v>
      </c>
      <c r="D161" s="48">
        <v>2</v>
      </c>
    </row>
    <row r="162" spans="1:4" ht="15.75" customHeight="1">
      <c r="A162" s="6">
        <v>31405</v>
      </c>
      <c r="B162" s="7" t="s">
        <v>214</v>
      </c>
      <c r="C162" s="48">
        <v>2</v>
      </c>
      <c r="D162" s="48">
        <v>0</v>
      </c>
    </row>
    <row r="163" spans="1:4" ht="15.75" customHeight="1">
      <c r="A163" s="6">
        <v>31501</v>
      </c>
      <c r="B163" s="7" t="s">
        <v>215</v>
      </c>
      <c r="C163" s="48">
        <v>31</v>
      </c>
      <c r="D163" s="48">
        <v>14</v>
      </c>
    </row>
    <row r="164" spans="1:4" ht="15.75" customHeight="1">
      <c r="A164" s="6">
        <v>31601</v>
      </c>
      <c r="B164" s="7" t="s">
        <v>216</v>
      </c>
      <c r="C164" s="48">
        <v>41</v>
      </c>
      <c r="D164" s="48">
        <v>33</v>
      </c>
    </row>
    <row r="165" spans="1:4" ht="15.75" customHeight="1">
      <c r="A165" s="6">
        <v>31602</v>
      </c>
      <c r="B165" s="7" t="s">
        <v>217</v>
      </c>
      <c r="C165" s="48">
        <v>29</v>
      </c>
      <c r="D165" s="48">
        <v>24</v>
      </c>
    </row>
    <row r="166" spans="1:4" ht="15.75" customHeight="1">
      <c r="A166" s="6">
        <v>40101</v>
      </c>
      <c r="B166" s="7" t="s">
        <v>20</v>
      </c>
      <c r="C166" s="48">
        <v>187</v>
      </c>
      <c r="D166" s="48">
        <v>312</v>
      </c>
    </row>
    <row r="167" spans="1:4" ht="15.75" customHeight="1">
      <c r="A167" s="6">
        <v>40102</v>
      </c>
      <c r="B167" s="7" t="s">
        <v>218</v>
      </c>
      <c r="C167" s="48">
        <v>38</v>
      </c>
      <c r="D167" s="48">
        <v>36</v>
      </c>
    </row>
    <row r="168" spans="1:4" ht="15.75" customHeight="1">
      <c r="A168" s="6">
        <v>40103</v>
      </c>
      <c r="B168" s="7" t="s">
        <v>219</v>
      </c>
      <c r="C168" s="48">
        <v>10</v>
      </c>
      <c r="D168" s="48">
        <v>3</v>
      </c>
    </row>
    <row r="169" spans="1:4" ht="15.75" customHeight="1">
      <c r="A169" s="6">
        <v>40104</v>
      </c>
      <c r="B169" s="7" t="s">
        <v>220</v>
      </c>
      <c r="C169" s="48">
        <v>25</v>
      </c>
      <c r="D169" s="48">
        <v>32</v>
      </c>
    </row>
    <row r="170" spans="1:4" ht="15.75" customHeight="1">
      <c r="A170" s="6">
        <v>40201</v>
      </c>
      <c r="B170" s="7" t="s">
        <v>222</v>
      </c>
      <c r="C170" s="48">
        <v>78</v>
      </c>
      <c r="D170" s="48">
        <v>39</v>
      </c>
    </row>
    <row r="171" spans="1:4" ht="15.75" customHeight="1">
      <c r="A171" s="6">
        <v>40202</v>
      </c>
      <c r="B171" s="7" t="s">
        <v>223</v>
      </c>
      <c r="C171" s="48">
        <v>11</v>
      </c>
      <c r="D171" s="48">
        <v>15</v>
      </c>
    </row>
    <row r="172" spans="1:4" ht="15.75" customHeight="1">
      <c r="A172" s="6">
        <v>40301</v>
      </c>
      <c r="B172" s="7" t="s">
        <v>225</v>
      </c>
      <c r="C172" s="48">
        <v>4</v>
      </c>
      <c r="D172" s="48">
        <v>14</v>
      </c>
    </row>
    <row r="173" spans="1:4" ht="15.75" customHeight="1">
      <c r="A173" s="6">
        <v>40302</v>
      </c>
      <c r="B173" s="7" t="s">
        <v>226</v>
      </c>
      <c r="C173" s="48">
        <v>3</v>
      </c>
      <c r="D173" s="48">
        <v>2</v>
      </c>
    </row>
    <row r="174" spans="1:4" ht="15.75" customHeight="1">
      <c r="A174" s="6">
        <v>40401</v>
      </c>
      <c r="B174" s="7" t="s">
        <v>228</v>
      </c>
      <c r="C174" s="48">
        <v>10</v>
      </c>
      <c r="D174" s="48">
        <v>14</v>
      </c>
    </row>
    <row r="175" spans="1:4" ht="15.75" customHeight="1">
      <c r="A175" s="6">
        <v>40402</v>
      </c>
      <c r="B175" s="7" t="s">
        <v>229</v>
      </c>
      <c r="C175" s="48">
        <v>8</v>
      </c>
      <c r="D175" s="48">
        <v>1</v>
      </c>
    </row>
    <row r="176" spans="1:4" ht="15.75" customHeight="1">
      <c r="A176" s="6">
        <v>40501</v>
      </c>
      <c r="B176" s="7" t="s">
        <v>231</v>
      </c>
      <c r="C176" s="48">
        <v>1</v>
      </c>
      <c r="D176" s="48">
        <v>1</v>
      </c>
    </row>
    <row r="177" spans="1:4" ht="15.75" customHeight="1">
      <c r="A177" s="6">
        <v>40502</v>
      </c>
      <c r="B177" s="7" t="s">
        <v>232</v>
      </c>
      <c r="C177" s="48">
        <v>5</v>
      </c>
      <c r="D177" s="48">
        <v>1</v>
      </c>
    </row>
    <row r="178" spans="1:4" ht="15.75" customHeight="1">
      <c r="A178" s="6">
        <v>40503</v>
      </c>
      <c r="B178" s="7" t="s">
        <v>233</v>
      </c>
      <c r="C178" s="48">
        <v>2</v>
      </c>
      <c r="D178" s="48">
        <v>1</v>
      </c>
    </row>
    <row r="179" spans="1:4" ht="15.75" customHeight="1">
      <c r="A179" s="6">
        <v>40504</v>
      </c>
      <c r="B179" s="7" t="s">
        <v>234</v>
      </c>
      <c r="C179" s="48">
        <v>0</v>
      </c>
      <c r="D179" s="48">
        <v>0</v>
      </c>
    </row>
    <row r="180" spans="1:4" ht="15.75" customHeight="1">
      <c r="A180" s="6">
        <v>40505</v>
      </c>
      <c r="B180" s="7" t="s">
        <v>235</v>
      </c>
      <c r="C180" s="48">
        <v>3</v>
      </c>
      <c r="D180" s="48">
        <v>3</v>
      </c>
    </row>
    <row r="181" spans="1:4" ht="15.75" customHeight="1">
      <c r="A181" s="6">
        <v>40601</v>
      </c>
      <c r="B181" s="7" t="s">
        <v>236</v>
      </c>
      <c r="C181" s="48">
        <v>17</v>
      </c>
      <c r="D181" s="48">
        <v>9</v>
      </c>
    </row>
    <row r="182" spans="1:4" ht="15.75" customHeight="1">
      <c r="A182" s="6">
        <v>40602</v>
      </c>
      <c r="B182" s="7" t="s">
        <v>237</v>
      </c>
      <c r="C182" s="48">
        <v>6</v>
      </c>
      <c r="D182" s="48">
        <v>3</v>
      </c>
    </row>
    <row r="183" spans="1:4" ht="15.75" customHeight="1">
      <c r="A183" s="6">
        <v>40603</v>
      </c>
      <c r="B183" s="7" t="s">
        <v>238</v>
      </c>
      <c r="C183" s="48">
        <v>1</v>
      </c>
      <c r="D183" s="48">
        <v>2</v>
      </c>
    </row>
    <row r="184" spans="1:4" ht="15.75" customHeight="1">
      <c r="A184" s="6">
        <v>40701</v>
      </c>
      <c r="B184" s="7" t="s">
        <v>240</v>
      </c>
      <c r="C184" s="48">
        <v>38</v>
      </c>
      <c r="D184" s="48">
        <v>37</v>
      </c>
    </row>
    <row r="185" spans="1:4" ht="15.75" customHeight="1">
      <c r="A185" s="6">
        <v>40702</v>
      </c>
      <c r="B185" s="7" t="s">
        <v>241</v>
      </c>
      <c r="C185" s="48">
        <v>4</v>
      </c>
      <c r="D185" s="48">
        <v>6</v>
      </c>
    </row>
    <row r="186" spans="1:4" ht="15.75" customHeight="1">
      <c r="A186" s="6">
        <v>40801</v>
      </c>
      <c r="B186" s="7" t="s">
        <v>243</v>
      </c>
      <c r="C186" s="48">
        <v>16</v>
      </c>
      <c r="D186" s="48">
        <v>9</v>
      </c>
    </row>
    <row r="187" spans="1:4" ht="15.75" customHeight="1">
      <c r="A187" s="6">
        <v>40802</v>
      </c>
      <c r="B187" s="7" t="s">
        <v>244</v>
      </c>
      <c r="C187" s="48">
        <v>3</v>
      </c>
      <c r="D187" s="48">
        <v>3</v>
      </c>
    </row>
    <row r="188" spans="1:4" ht="15.75" customHeight="1">
      <c r="A188" s="6">
        <v>40901</v>
      </c>
      <c r="B188" s="7" t="s">
        <v>245</v>
      </c>
      <c r="C188" s="48">
        <v>6</v>
      </c>
      <c r="D188" s="48">
        <v>9</v>
      </c>
    </row>
    <row r="189" spans="1:4" ht="15.75" customHeight="1">
      <c r="A189" s="6">
        <v>40902</v>
      </c>
      <c r="B189" s="7" t="s">
        <v>246</v>
      </c>
      <c r="C189" s="48">
        <v>0</v>
      </c>
      <c r="D189" s="48">
        <v>0</v>
      </c>
    </row>
    <row r="190" spans="1:4" ht="15.75" customHeight="1">
      <c r="A190" s="6">
        <v>40903</v>
      </c>
      <c r="B190" s="7" t="s">
        <v>247</v>
      </c>
      <c r="C190" s="48">
        <v>4</v>
      </c>
      <c r="D190" s="48">
        <v>1</v>
      </c>
    </row>
    <row r="191" spans="1:4" ht="15.75" customHeight="1">
      <c r="A191" s="6">
        <v>41001</v>
      </c>
      <c r="B191" s="7" t="s">
        <v>249</v>
      </c>
      <c r="C191" s="48">
        <v>9</v>
      </c>
      <c r="D191" s="48">
        <v>8</v>
      </c>
    </row>
    <row r="192" spans="1:4" ht="15.75" customHeight="1">
      <c r="A192" s="6">
        <v>41101</v>
      </c>
      <c r="B192" s="7" t="s">
        <v>251</v>
      </c>
      <c r="C192" s="48">
        <v>13</v>
      </c>
      <c r="D192" s="48">
        <v>13</v>
      </c>
    </row>
    <row r="193" spans="1:4" ht="15.75" customHeight="1">
      <c r="A193" s="6">
        <v>41201</v>
      </c>
      <c r="B193" s="7" t="s">
        <v>253</v>
      </c>
      <c r="C193" s="48">
        <v>5</v>
      </c>
      <c r="D193" s="48">
        <v>4</v>
      </c>
    </row>
    <row r="194" spans="1:4" ht="15.75" customHeight="1">
      <c r="A194" s="6">
        <v>41202</v>
      </c>
      <c r="B194" s="7" t="s">
        <v>254</v>
      </c>
      <c r="C194" s="48">
        <v>1</v>
      </c>
      <c r="D194" s="48">
        <v>0</v>
      </c>
    </row>
    <row r="195" spans="1:4" ht="15.75" customHeight="1">
      <c r="A195" s="6">
        <v>41301</v>
      </c>
      <c r="B195" s="7" t="s">
        <v>255</v>
      </c>
      <c r="C195" s="48">
        <v>3</v>
      </c>
      <c r="D195" s="48">
        <v>13</v>
      </c>
    </row>
    <row r="196" spans="1:4" ht="15.75" customHeight="1">
      <c r="A196" s="6">
        <v>41401</v>
      </c>
      <c r="B196" s="7" t="s">
        <v>257</v>
      </c>
      <c r="C196" s="48">
        <v>20</v>
      </c>
      <c r="D196" s="48">
        <v>6</v>
      </c>
    </row>
    <row r="197" spans="1:4" ht="15.75" customHeight="1">
      <c r="A197" s="6">
        <v>41501</v>
      </c>
      <c r="B197" s="7" t="s">
        <v>259</v>
      </c>
      <c r="C197" s="48">
        <v>1</v>
      </c>
      <c r="D197" s="48">
        <v>0</v>
      </c>
    </row>
    <row r="198" spans="1:4" ht="15.75" customHeight="1">
      <c r="A198" s="6">
        <v>41502</v>
      </c>
      <c r="B198" s="7" t="s">
        <v>260</v>
      </c>
      <c r="C198" s="48">
        <v>0</v>
      </c>
      <c r="D198" s="48">
        <v>0</v>
      </c>
    </row>
    <row r="199" spans="1:4" ht="15.75" customHeight="1">
      <c r="A199" s="6">
        <v>41503</v>
      </c>
      <c r="B199" s="7" t="s">
        <v>224</v>
      </c>
      <c r="C199" s="48">
        <v>0</v>
      </c>
      <c r="D199" s="48">
        <v>0</v>
      </c>
    </row>
    <row r="200" spans="1:4" ht="15.75" customHeight="1">
      <c r="A200" s="6">
        <v>41601</v>
      </c>
      <c r="B200" s="7" t="s">
        <v>262</v>
      </c>
      <c r="C200" s="48">
        <v>7</v>
      </c>
      <c r="D200" s="48">
        <v>5</v>
      </c>
    </row>
    <row r="201" spans="1:4" ht="15.75" customHeight="1">
      <c r="A201" s="6">
        <v>50101</v>
      </c>
      <c r="B201" s="7" t="s">
        <v>263</v>
      </c>
      <c r="C201" s="48">
        <v>275</v>
      </c>
      <c r="D201" s="48">
        <v>297</v>
      </c>
    </row>
    <row r="202" spans="1:4" ht="15.75" customHeight="1">
      <c r="A202" s="6">
        <v>50102</v>
      </c>
      <c r="B202" s="7" t="s">
        <v>265</v>
      </c>
      <c r="C202" s="48">
        <v>111</v>
      </c>
      <c r="D202" s="48">
        <v>84</v>
      </c>
    </row>
    <row r="203" spans="1:4" ht="15.75" customHeight="1">
      <c r="A203" s="6">
        <v>50103</v>
      </c>
      <c r="B203" s="7" t="s">
        <v>266</v>
      </c>
      <c r="C203" s="48">
        <v>11</v>
      </c>
      <c r="D203" s="48">
        <v>18</v>
      </c>
    </row>
    <row r="204" spans="1:4" ht="15.75" customHeight="1">
      <c r="A204" s="6">
        <v>50104</v>
      </c>
      <c r="B204" s="7" t="s">
        <v>267</v>
      </c>
      <c r="C204" s="48">
        <v>3</v>
      </c>
      <c r="D204" s="48">
        <v>2</v>
      </c>
    </row>
    <row r="205" spans="1:4" ht="15.75" customHeight="1">
      <c r="A205" s="6">
        <v>50201</v>
      </c>
      <c r="B205" s="7" t="s">
        <v>269</v>
      </c>
      <c r="C205" s="48">
        <v>72</v>
      </c>
      <c r="D205" s="48">
        <v>40</v>
      </c>
    </row>
    <row r="206" spans="1:4" ht="15.75" customHeight="1">
      <c r="A206" s="6">
        <v>50202</v>
      </c>
      <c r="B206" s="7" t="s">
        <v>270</v>
      </c>
      <c r="C206" s="48">
        <v>45</v>
      </c>
      <c r="D206" s="48">
        <v>13</v>
      </c>
    </row>
    <row r="207" spans="1:4" ht="15.75" customHeight="1">
      <c r="A207" s="6">
        <v>50203</v>
      </c>
      <c r="B207" s="7" t="s">
        <v>271</v>
      </c>
      <c r="C207" s="48">
        <v>76</v>
      </c>
      <c r="D207" s="48">
        <v>53</v>
      </c>
    </row>
    <row r="208" spans="1:4" ht="15.75" customHeight="1">
      <c r="A208" s="6">
        <v>50204</v>
      </c>
      <c r="B208" s="7" t="s">
        <v>272</v>
      </c>
      <c r="C208" s="48">
        <v>46</v>
      </c>
      <c r="D208" s="48">
        <v>19</v>
      </c>
    </row>
    <row r="209" spans="1:4" ht="15.75" customHeight="1">
      <c r="A209" s="6">
        <v>50301</v>
      </c>
      <c r="B209" s="7" t="s">
        <v>274</v>
      </c>
      <c r="C209" s="48">
        <v>71</v>
      </c>
      <c r="D209" s="48">
        <v>53</v>
      </c>
    </row>
    <row r="210" spans="1:4" ht="15.75" customHeight="1">
      <c r="A210" s="6">
        <v>50302</v>
      </c>
      <c r="B210" s="7" t="s">
        <v>275</v>
      </c>
      <c r="C210" s="48">
        <v>24</v>
      </c>
      <c r="D210" s="48">
        <v>36</v>
      </c>
    </row>
    <row r="211" spans="1:4" ht="15.75" customHeight="1">
      <c r="A211" s="6">
        <v>50303</v>
      </c>
      <c r="B211" s="7" t="s">
        <v>276</v>
      </c>
      <c r="C211" s="48">
        <v>35</v>
      </c>
      <c r="D211" s="48">
        <v>22</v>
      </c>
    </row>
    <row r="212" spans="1:4" ht="15.75" customHeight="1">
      <c r="A212" s="6">
        <v>50401</v>
      </c>
      <c r="B212" s="7" t="s">
        <v>277</v>
      </c>
      <c r="C212" s="48">
        <v>178</v>
      </c>
      <c r="D212" s="48">
        <v>54</v>
      </c>
    </row>
    <row r="213" spans="1:4" ht="15.75" customHeight="1">
      <c r="A213" s="6">
        <v>50402</v>
      </c>
      <c r="B213" s="7" t="s">
        <v>278</v>
      </c>
      <c r="C213" s="48">
        <v>42</v>
      </c>
      <c r="D213" s="48">
        <v>25</v>
      </c>
    </row>
    <row r="214" spans="1:4" ht="15.75" customHeight="1">
      <c r="A214" s="6">
        <v>50403</v>
      </c>
      <c r="B214" s="7" t="s">
        <v>279</v>
      </c>
      <c r="C214" s="48">
        <v>89</v>
      </c>
      <c r="D214" s="48">
        <v>88</v>
      </c>
    </row>
    <row r="215" spans="1:4" ht="15.75" customHeight="1">
      <c r="A215" s="6">
        <v>50404</v>
      </c>
      <c r="B215" s="7" t="s">
        <v>280</v>
      </c>
      <c r="C215" s="48">
        <v>71</v>
      </c>
      <c r="D215" s="48">
        <v>36</v>
      </c>
    </row>
    <row r="216" spans="1:4" ht="15.75" customHeight="1">
      <c r="A216" s="6">
        <v>50405</v>
      </c>
      <c r="B216" s="46" t="s">
        <v>281</v>
      </c>
      <c r="C216" s="48">
        <v>178</v>
      </c>
      <c r="D216" s="48">
        <v>54</v>
      </c>
    </row>
    <row r="217" spans="1:4" ht="15.75" customHeight="1">
      <c r="A217" s="6">
        <v>50501</v>
      </c>
      <c r="B217" s="7" t="s">
        <v>283</v>
      </c>
      <c r="C217" s="48">
        <v>128</v>
      </c>
      <c r="D217" s="48">
        <v>70</v>
      </c>
    </row>
    <row r="218" spans="1:4" ht="15.75" customHeight="1">
      <c r="A218" s="6">
        <v>50502</v>
      </c>
      <c r="B218" s="7" t="s">
        <v>284</v>
      </c>
      <c r="C218" s="48">
        <v>31</v>
      </c>
      <c r="D218" s="48">
        <v>27</v>
      </c>
    </row>
    <row r="219" spans="1:4" ht="15.75" customHeight="1">
      <c r="A219" s="6">
        <v>50601</v>
      </c>
      <c r="B219" s="7" t="s">
        <v>286</v>
      </c>
      <c r="C219" s="48">
        <v>21</v>
      </c>
      <c r="D219" s="48">
        <v>37</v>
      </c>
    </row>
    <row r="220" spans="1:4" ht="15.75" customHeight="1">
      <c r="A220" s="6">
        <v>50602</v>
      </c>
      <c r="B220" s="7" t="s">
        <v>287</v>
      </c>
      <c r="C220" s="48">
        <v>8</v>
      </c>
      <c r="D220" s="48">
        <v>10</v>
      </c>
    </row>
    <row r="221" spans="1:4" ht="15.75" customHeight="1">
      <c r="A221" s="6">
        <v>50701</v>
      </c>
      <c r="B221" s="7" t="s">
        <v>289</v>
      </c>
      <c r="C221" s="48">
        <v>39</v>
      </c>
      <c r="D221" s="48">
        <v>41</v>
      </c>
    </row>
    <row r="222" spans="1:4" ht="15.75" customHeight="1">
      <c r="A222" s="6">
        <v>50702</v>
      </c>
      <c r="B222" s="7" t="s">
        <v>290</v>
      </c>
      <c r="C222" s="48">
        <v>21</v>
      </c>
      <c r="D222" s="48">
        <v>14</v>
      </c>
    </row>
    <row r="223" spans="1:4" ht="15.75" customHeight="1">
      <c r="A223" s="6">
        <v>50801</v>
      </c>
      <c r="B223" s="7" t="s">
        <v>292</v>
      </c>
      <c r="C223" s="48">
        <v>28</v>
      </c>
      <c r="D223" s="48">
        <v>33</v>
      </c>
    </row>
    <row r="224" spans="1:4" ht="15.75" customHeight="1">
      <c r="A224" s="6">
        <v>50802</v>
      </c>
      <c r="B224" s="7" t="s">
        <v>293</v>
      </c>
      <c r="C224" s="48">
        <v>3</v>
      </c>
      <c r="D224" s="48">
        <v>14</v>
      </c>
    </row>
    <row r="225" spans="1:4" ht="15.75" customHeight="1">
      <c r="A225" s="6">
        <v>50901</v>
      </c>
      <c r="B225" s="7" t="s">
        <v>295</v>
      </c>
      <c r="C225" s="48">
        <v>7</v>
      </c>
      <c r="D225" s="48">
        <v>11</v>
      </c>
    </row>
    <row r="226" spans="1:4" ht="15.75" customHeight="1">
      <c r="A226" s="6">
        <v>50902</v>
      </c>
      <c r="B226" s="7" t="s">
        <v>296</v>
      </c>
      <c r="C226" s="48">
        <v>1</v>
      </c>
      <c r="D226" s="48">
        <v>1</v>
      </c>
    </row>
    <row r="227" spans="1:4" ht="15.75" customHeight="1">
      <c r="A227" s="6">
        <v>51001</v>
      </c>
      <c r="B227" s="7" t="s">
        <v>298</v>
      </c>
      <c r="C227" s="48">
        <v>4</v>
      </c>
      <c r="D227" s="48">
        <v>8</v>
      </c>
    </row>
    <row r="228" spans="1:4" ht="15.75" customHeight="1">
      <c r="A228" s="6">
        <v>51002</v>
      </c>
      <c r="B228" s="7" t="s">
        <v>299</v>
      </c>
      <c r="C228" s="48">
        <v>0</v>
      </c>
      <c r="D228" s="48">
        <v>0</v>
      </c>
    </row>
    <row r="229" spans="1:4" ht="15.75" customHeight="1">
      <c r="A229" s="6">
        <v>51003</v>
      </c>
      <c r="B229" s="7" t="s">
        <v>300</v>
      </c>
      <c r="C229" s="48">
        <v>0</v>
      </c>
      <c r="D229" s="48">
        <v>1</v>
      </c>
    </row>
    <row r="230" spans="1:4" ht="15.75" customHeight="1">
      <c r="A230" s="6">
        <v>51101</v>
      </c>
      <c r="B230" s="7" t="s">
        <v>302</v>
      </c>
      <c r="C230" s="48">
        <v>18</v>
      </c>
      <c r="D230" s="48">
        <v>11</v>
      </c>
    </row>
    <row r="231" spans="1:4" ht="15.75" customHeight="1">
      <c r="A231" s="6">
        <v>51102</v>
      </c>
      <c r="B231" s="7" t="s">
        <v>303</v>
      </c>
      <c r="C231" s="48">
        <v>7</v>
      </c>
      <c r="D231" s="48">
        <v>33</v>
      </c>
    </row>
    <row r="232" spans="1:4" ht="15.75" customHeight="1">
      <c r="A232" s="6">
        <v>51103</v>
      </c>
      <c r="B232" s="7" t="s">
        <v>304</v>
      </c>
      <c r="C232" s="48">
        <v>44</v>
      </c>
      <c r="D232" s="48">
        <v>26</v>
      </c>
    </row>
    <row r="233" spans="1:4" ht="15.75" customHeight="1">
      <c r="A233" s="6">
        <v>51201</v>
      </c>
      <c r="B233" s="7" t="s">
        <v>306</v>
      </c>
      <c r="C233" s="48">
        <v>21</v>
      </c>
      <c r="D233" s="48">
        <v>38</v>
      </c>
    </row>
    <row r="234" spans="1:4" ht="15.75" customHeight="1">
      <c r="A234" s="6">
        <v>51202</v>
      </c>
      <c r="B234" s="7" t="s">
        <v>307</v>
      </c>
      <c r="C234" s="48">
        <v>17</v>
      </c>
      <c r="D234" s="48">
        <v>10</v>
      </c>
    </row>
    <row r="235" spans="1:4" ht="15.75" customHeight="1">
      <c r="A235" s="6">
        <v>51203</v>
      </c>
      <c r="B235" s="7" t="s">
        <v>308</v>
      </c>
      <c r="C235" s="48">
        <v>10</v>
      </c>
      <c r="D235" s="48">
        <v>12</v>
      </c>
    </row>
    <row r="236" spans="1:4" ht="15.75" customHeight="1">
      <c r="A236" s="6">
        <v>51204</v>
      </c>
      <c r="B236" s="46" t="s">
        <v>309</v>
      </c>
      <c r="C236" s="48">
        <v>17</v>
      </c>
      <c r="D236" s="48">
        <v>3</v>
      </c>
    </row>
    <row r="237" spans="1:4" ht="15.75" customHeight="1">
      <c r="A237" s="6">
        <v>51301</v>
      </c>
      <c r="B237" s="7" t="s">
        <v>311</v>
      </c>
      <c r="C237" s="48">
        <v>4</v>
      </c>
      <c r="D237" s="48">
        <v>10</v>
      </c>
    </row>
    <row r="238" spans="1:4" ht="15.75" customHeight="1">
      <c r="A238" s="6">
        <v>51302</v>
      </c>
      <c r="B238" s="7" t="s">
        <v>312</v>
      </c>
      <c r="C238" s="48">
        <v>7</v>
      </c>
      <c r="D238" s="48">
        <v>10</v>
      </c>
    </row>
    <row r="239" spans="1:4" ht="15.75" customHeight="1">
      <c r="A239" s="6">
        <v>51401</v>
      </c>
      <c r="B239" s="7" t="s">
        <v>314</v>
      </c>
      <c r="C239" s="48">
        <v>8</v>
      </c>
      <c r="D239" s="48">
        <v>7</v>
      </c>
    </row>
    <row r="240" spans="1:4" ht="15.75" customHeight="1">
      <c r="A240" s="6">
        <v>51402</v>
      </c>
      <c r="B240" s="7" t="s">
        <v>315</v>
      </c>
      <c r="C240" s="48">
        <v>2</v>
      </c>
      <c r="D240" s="48">
        <v>0</v>
      </c>
    </row>
    <row r="241" spans="1:4" ht="15.75" customHeight="1">
      <c r="A241" s="6">
        <v>51501</v>
      </c>
      <c r="B241" s="7" t="s">
        <v>317</v>
      </c>
      <c r="C241" s="48">
        <v>35</v>
      </c>
      <c r="D241" s="48">
        <v>47</v>
      </c>
    </row>
    <row r="242" spans="1:4" ht="15.75" customHeight="1">
      <c r="A242" s="6">
        <v>51601</v>
      </c>
      <c r="B242" s="7" t="s">
        <v>319</v>
      </c>
      <c r="C242" s="48">
        <v>0</v>
      </c>
      <c r="D242" s="48">
        <v>6</v>
      </c>
    </row>
    <row r="243" spans="1:4" ht="15.75" customHeight="1">
      <c r="A243" s="6">
        <v>60101</v>
      </c>
      <c r="B243" s="7" t="s">
        <v>25</v>
      </c>
      <c r="C243" s="48">
        <v>76</v>
      </c>
      <c r="D243" s="48">
        <v>145</v>
      </c>
    </row>
    <row r="244" spans="1:4" ht="15.75" customHeight="1">
      <c r="A244" s="6">
        <v>60201</v>
      </c>
      <c r="B244" s="7" t="s">
        <v>321</v>
      </c>
      <c r="C244" s="48">
        <v>9</v>
      </c>
      <c r="D244" s="48">
        <v>12</v>
      </c>
    </row>
    <row r="245" spans="1:4" ht="15.75" customHeight="1">
      <c r="A245" s="6">
        <v>60202</v>
      </c>
      <c r="B245" s="7" t="s">
        <v>322</v>
      </c>
      <c r="C245" s="48">
        <v>22</v>
      </c>
      <c r="D245" s="48">
        <v>27</v>
      </c>
    </row>
    <row r="246" spans="1:4" ht="15.75" customHeight="1">
      <c r="A246" s="6">
        <v>60301</v>
      </c>
      <c r="B246" s="7" t="s">
        <v>324</v>
      </c>
      <c r="C246" s="48">
        <v>67</v>
      </c>
      <c r="D246" s="48">
        <v>91</v>
      </c>
    </row>
    <row r="247" spans="1:4" ht="15.75" customHeight="1">
      <c r="A247" s="6">
        <v>60302</v>
      </c>
      <c r="B247" s="7" t="s">
        <v>325</v>
      </c>
      <c r="C247" s="48">
        <v>6</v>
      </c>
      <c r="D247" s="48">
        <v>4</v>
      </c>
    </row>
    <row r="248" spans="1:4" ht="15.75" customHeight="1">
      <c r="A248" s="6">
        <v>60303</v>
      </c>
      <c r="B248" s="7" t="s">
        <v>326</v>
      </c>
      <c r="C248" s="48">
        <v>41</v>
      </c>
      <c r="D248" s="48">
        <v>35</v>
      </c>
    </row>
    <row r="249" spans="1:4" ht="15.75" customHeight="1">
      <c r="A249" s="6">
        <v>60401</v>
      </c>
      <c r="B249" s="7" t="s">
        <v>328</v>
      </c>
      <c r="C249" s="48">
        <v>5</v>
      </c>
      <c r="D249" s="48">
        <v>10</v>
      </c>
    </row>
    <row r="250" spans="1:4" ht="15.75" customHeight="1">
      <c r="A250" s="6">
        <v>60402</v>
      </c>
      <c r="B250" s="7" t="s">
        <v>329</v>
      </c>
      <c r="C250" s="48">
        <v>10</v>
      </c>
      <c r="D250" s="48">
        <v>6</v>
      </c>
    </row>
    <row r="251" spans="1:4" ht="15.75" customHeight="1">
      <c r="A251" s="6">
        <v>60501</v>
      </c>
      <c r="B251" s="7" t="s">
        <v>331</v>
      </c>
      <c r="C251" s="48">
        <v>14</v>
      </c>
      <c r="D251" s="48">
        <v>8</v>
      </c>
    </row>
    <row r="252" spans="1:4" ht="15.75" customHeight="1">
      <c r="A252" s="6">
        <v>60502</v>
      </c>
      <c r="B252" s="7" t="s">
        <v>332</v>
      </c>
      <c r="C252" s="48">
        <v>9</v>
      </c>
      <c r="D252" s="48">
        <v>18</v>
      </c>
    </row>
    <row r="253" spans="1:4" ht="15.75" customHeight="1">
      <c r="A253" s="6">
        <v>60601</v>
      </c>
      <c r="B253" s="7" t="s">
        <v>205</v>
      </c>
      <c r="C253" s="48">
        <v>11</v>
      </c>
      <c r="D253" s="48">
        <v>19</v>
      </c>
    </row>
    <row r="254" spans="1:4" ht="15.75" customHeight="1">
      <c r="A254" s="6">
        <v>70101</v>
      </c>
      <c r="B254" s="7" t="s">
        <v>335</v>
      </c>
      <c r="C254" s="48">
        <v>1028</v>
      </c>
      <c r="D254" s="48">
        <v>963</v>
      </c>
    </row>
    <row r="255" spans="1:4" ht="15.75" customHeight="1">
      <c r="A255" s="6">
        <v>70102</v>
      </c>
      <c r="B255" s="7" t="s">
        <v>336</v>
      </c>
      <c r="C255" s="48">
        <v>74</v>
      </c>
      <c r="D255" s="48">
        <v>97</v>
      </c>
    </row>
    <row r="256" spans="1:4" ht="15.75" customHeight="1">
      <c r="A256" s="6">
        <v>70103</v>
      </c>
      <c r="B256" s="7" t="s">
        <v>337</v>
      </c>
      <c r="C256" s="48">
        <v>6</v>
      </c>
      <c r="D256" s="48">
        <v>10</v>
      </c>
    </row>
    <row r="257" spans="1:4" ht="15.75" customHeight="1">
      <c r="A257" s="6">
        <v>70104</v>
      </c>
      <c r="B257" s="7" t="s">
        <v>338</v>
      </c>
      <c r="C257" s="48">
        <v>60</v>
      </c>
      <c r="D257" s="48">
        <v>79</v>
      </c>
    </row>
    <row r="258" spans="1:4" ht="15.75" customHeight="1">
      <c r="A258" s="6">
        <v>70105</v>
      </c>
      <c r="B258" s="7" t="s">
        <v>339</v>
      </c>
      <c r="C258" s="48">
        <v>40</v>
      </c>
      <c r="D258" s="48">
        <v>47</v>
      </c>
    </row>
    <row r="259" spans="1:4" ht="15.75" customHeight="1">
      <c r="A259" s="6">
        <v>70201</v>
      </c>
      <c r="B259" s="7" t="s">
        <v>340</v>
      </c>
      <c r="C259" s="48">
        <v>76</v>
      </c>
      <c r="D259" s="48">
        <v>111</v>
      </c>
    </row>
    <row r="260" spans="1:4" ht="15.75" customHeight="1">
      <c r="A260" s="6">
        <v>70202</v>
      </c>
      <c r="B260" s="7" t="s">
        <v>341</v>
      </c>
      <c r="C260" s="48">
        <v>7</v>
      </c>
      <c r="D260" s="48">
        <v>10</v>
      </c>
    </row>
    <row r="261" spans="1:4" ht="15.75" customHeight="1">
      <c r="A261" s="6">
        <v>70301</v>
      </c>
      <c r="B261" s="7" t="s">
        <v>343</v>
      </c>
      <c r="C261" s="48">
        <v>68</v>
      </c>
      <c r="D261" s="48">
        <v>58</v>
      </c>
    </row>
    <row r="262" spans="1:4" ht="15.75" customHeight="1">
      <c r="A262" s="6">
        <v>70302</v>
      </c>
      <c r="B262" s="7" t="s">
        <v>344</v>
      </c>
      <c r="C262" s="48">
        <v>19</v>
      </c>
      <c r="D262" s="48">
        <v>20</v>
      </c>
    </row>
    <row r="263" spans="1:4" ht="15.75" customHeight="1">
      <c r="A263" s="6">
        <v>70303</v>
      </c>
      <c r="B263" s="7" t="s">
        <v>345</v>
      </c>
      <c r="C263" s="48">
        <v>10</v>
      </c>
      <c r="D263" s="48">
        <v>4</v>
      </c>
    </row>
    <row r="264" spans="1:4" ht="15.75" customHeight="1">
      <c r="A264" s="6">
        <v>70401</v>
      </c>
      <c r="B264" s="7" t="s">
        <v>347</v>
      </c>
      <c r="C264" s="48">
        <v>9</v>
      </c>
      <c r="D264" s="48">
        <v>6</v>
      </c>
    </row>
    <row r="265" spans="1:4" ht="15.75" customHeight="1">
      <c r="A265" s="6">
        <v>70402</v>
      </c>
      <c r="B265" s="7" t="s">
        <v>348</v>
      </c>
      <c r="C265" s="48">
        <v>16</v>
      </c>
      <c r="D265" s="48">
        <v>25</v>
      </c>
    </row>
    <row r="266" spans="1:4" ht="15.75" customHeight="1">
      <c r="A266" s="6">
        <v>70403</v>
      </c>
      <c r="B266" s="7" t="s">
        <v>349</v>
      </c>
      <c r="C266" s="48">
        <v>86</v>
      </c>
      <c r="D266" s="48">
        <v>110</v>
      </c>
    </row>
    <row r="267" spans="1:4" ht="15.75" customHeight="1">
      <c r="A267" s="6">
        <v>70404</v>
      </c>
      <c r="B267" s="7" t="s">
        <v>350</v>
      </c>
      <c r="C267" s="48">
        <v>11</v>
      </c>
      <c r="D267" s="48">
        <v>19</v>
      </c>
    </row>
    <row r="268" spans="1:4" ht="15.75" customHeight="1">
      <c r="A268" s="6">
        <v>70501</v>
      </c>
      <c r="B268" s="7" t="s">
        <v>352</v>
      </c>
      <c r="C268" s="48">
        <v>16</v>
      </c>
      <c r="D268" s="48">
        <v>53</v>
      </c>
    </row>
    <row r="269" spans="1:4" ht="15.75" customHeight="1">
      <c r="A269" s="6">
        <v>70502</v>
      </c>
      <c r="B269" s="7" t="s">
        <v>353</v>
      </c>
      <c r="C269" s="48">
        <v>30</v>
      </c>
      <c r="D269" s="48">
        <v>57</v>
      </c>
    </row>
    <row r="270" spans="1:4" ht="15.75" customHeight="1">
      <c r="A270" s="6">
        <v>70503</v>
      </c>
      <c r="B270" s="7" t="s">
        <v>354</v>
      </c>
      <c r="C270" s="48">
        <v>17</v>
      </c>
      <c r="D270" s="48">
        <v>21</v>
      </c>
    </row>
    <row r="271" spans="1:4" ht="15.75" customHeight="1">
      <c r="A271" s="6">
        <v>70601</v>
      </c>
      <c r="B271" s="7" t="s">
        <v>356</v>
      </c>
      <c r="C271" s="48">
        <v>9</v>
      </c>
      <c r="D271" s="48">
        <v>6</v>
      </c>
    </row>
    <row r="272" spans="1:4" ht="15.75" customHeight="1">
      <c r="A272" s="6">
        <v>70602</v>
      </c>
      <c r="B272" s="7" t="s">
        <v>357</v>
      </c>
      <c r="C272" s="48">
        <v>18</v>
      </c>
      <c r="D272" s="48">
        <v>19</v>
      </c>
    </row>
    <row r="273" spans="1:4" ht="15.75" customHeight="1">
      <c r="A273" s="6">
        <v>70603</v>
      </c>
      <c r="B273" s="7" t="s">
        <v>358</v>
      </c>
      <c r="C273" s="48">
        <v>5</v>
      </c>
      <c r="D273" s="48">
        <v>0</v>
      </c>
    </row>
    <row r="274" spans="1:4" ht="15.75" customHeight="1">
      <c r="A274" s="6">
        <v>70701</v>
      </c>
      <c r="B274" s="7" t="s">
        <v>360</v>
      </c>
      <c r="C274" s="48">
        <v>4</v>
      </c>
      <c r="D274" s="48">
        <v>3</v>
      </c>
    </row>
    <row r="275" spans="1:4" ht="15.75" customHeight="1">
      <c r="A275" s="6">
        <v>70702</v>
      </c>
      <c r="B275" s="7" t="s">
        <v>361</v>
      </c>
      <c r="C275" s="48">
        <v>44</v>
      </c>
      <c r="D275" s="48">
        <v>65</v>
      </c>
    </row>
    <row r="276" spans="1:4" ht="15.75" customHeight="1">
      <c r="A276" s="6">
        <v>70703</v>
      </c>
      <c r="B276" s="7" t="s">
        <v>362</v>
      </c>
      <c r="C276" s="48">
        <v>17</v>
      </c>
      <c r="D276" s="48">
        <v>37</v>
      </c>
    </row>
    <row r="277" spans="1:4" ht="15.75" customHeight="1">
      <c r="A277" s="6">
        <v>70704</v>
      </c>
      <c r="B277" s="7" t="s">
        <v>363</v>
      </c>
      <c r="C277" s="48">
        <v>2</v>
      </c>
      <c r="D277" s="48">
        <v>4</v>
      </c>
    </row>
    <row r="278" spans="1:4" ht="15.75" customHeight="1">
      <c r="A278" s="6">
        <v>70705</v>
      </c>
      <c r="B278" s="7" t="s">
        <v>364</v>
      </c>
      <c r="C278" s="48">
        <v>35</v>
      </c>
      <c r="D278" s="48">
        <v>15</v>
      </c>
    </row>
    <row r="279" spans="1:4" ht="15.75" customHeight="1">
      <c r="A279" s="6">
        <v>70706</v>
      </c>
      <c r="B279" s="7" t="s">
        <v>365</v>
      </c>
      <c r="C279" s="48">
        <v>20</v>
      </c>
      <c r="D279" s="48">
        <v>20</v>
      </c>
    </row>
    <row r="280" spans="1:4" ht="15.75" customHeight="1">
      <c r="A280" s="6">
        <v>70707</v>
      </c>
      <c r="B280" s="7" t="s">
        <v>366</v>
      </c>
      <c r="C280" s="48">
        <v>2</v>
      </c>
      <c r="D280" s="48">
        <v>4</v>
      </c>
    </row>
    <row r="281" spans="1:4" ht="15.75" customHeight="1">
      <c r="A281" s="6">
        <v>70801</v>
      </c>
      <c r="B281" s="7" t="s">
        <v>367</v>
      </c>
      <c r="C281" s="48">
        <v>8</v>
      </c>
      <c r="D281" s="48">
        <v>6</v>
      </c>
    </row>
    <row r="282" spans="1:4" ht="15.75" customHeight="1">
      <c r="A282" s="6">
        <v>70802</v>
      </c>
      <c r="B282" s="7" t="s">
        <v>368</v>
      </c>
      <c r="C282" s="48">
        <v>0</v>
      </c>
      <c r="D282" s="48">
        <v>0</v>
      </c>
    </row>
    <row r="283" spans="1:4" ht="15.75" customHeight="1">
      <c r="A283" s="6">
        <v>70803</v>
      </c>
      <c r="B283" s="7" t="s">
        <v>369</v>
      </c>
      <c r="C283" s="48">
        <v>0</v>
      </c>
      <c r="D283" s="48">
        <v>1</v>
      </c>
    </row>
    <row r="284" spans="1:4" ht="15.75" customHeight="1">
      <c r="A284" s="6">
        <v>70804</v>
      </c>
      <c r="B284" s="7" t="s">
        <v>370</v>
      </c>
      <c r="C284" s="48">
        <v>0</v>
      </c>
      <c r="D284" s="48">
        <v>0</v>
      </c>
    </row>
    <row r="285" spans="1:4" ht="15.75" customHeight="1">
      <c r="A285" s="6">
        <v>70805</v>
      </c>
      <c r="B285" s="7" t="s">
        <v>371</v>
      </c>
      <c r="C285" s="48">
        <v>0</v>
      </c>
      <c r="D285" s="48">
        <v>2</v>
      </c>
    </row>
    <row r="286" spans="1:4" ht="15.75" customHeight="1">
      <c r="A286" s="6">
        <v>70901</v>
      </c>
      <c r="B286" s="7" t="s">
        <v>373</v>
      </c>
      <c r="C286" s="48">
        <v>2</v>
      </c>
      <c r="D286" s="48">
        <v>12</v>
      </c>
    </row>
    <row r="287" spans="1:4" ht="15.75" customHeight="1">
      <c r="A287" s="6">
        <v>70902</v>
      </c>
      <c r="B287" s="7" t="s">
        <v>374</v>
      </c>
      <c r="C287" s="48">
        <v>8</v>
      </c>
      <c r="D287" s="48">
        <v>11</v>
      </c>
    </row>
    <row r="288" spans="1:4" ht="15.75" customHeight="1">
      <c r="A288" s="6">
        <v>70903</v>
      </c>
      <c r="B288" s="7" t="s">
        <v>375</v>
      </c>
      <c r="C288" s="48">
        <v>11</v>
      </c>
      <c r="D288" s="48">
        <v>12</v>
      </c>
    </row>
    <row r="289" spans="1:4" ht="15.75" customHeight="1">
      <c r="A289" s="6">
        <v>70904</v>
      </c>
      <c r="B289" s="7" t="s">
        <v>376</v>
      </c>
      <c r="C289" s="48">
        <v>2</v>
      </c>
      <c r="D289" s="48">
        <v>5</v>
      </c>
    </row>
    <row r="290" spans="1:4" ht="15.75" customHeight="1">
      <c r="A290" s="6">
        <v>71001</v>
      </c>
      <c r="B290" s="7" t="s">
        <v>378</v>
      </c>
      <c r="C290" s="48">
        <v>93</v>
      </c>
      <c r="D290" s="48">
        <v>127</v>
      </c>
    </row>
    <row r="291" spans="1:4" ht="15.75" customHeight="1">
      <c r="A291" s="6">
        <v>71002</v>
      </c>
      <c r="B291" s="7" t="s">
        <v>379</v>
      </c>
      <c r="C291" s="48">
        <v>12</v>
      </c>
      <c r="D291" s="48">
        <v>13</v>
      </c>
    </row>
    <row r="292" spans="1:4" ht="15.75" customHeight="1">
      <c r="A292" s="6">
        <v>71003</v>
      </c>
      <c r="B292" s="7" t="s">
        <v>380</v>
      </c>
      <c r="C292" s="48">
        <v>47</v>
      </c>
      <c r="D292" s="48">
        <v>26</v>
      </c>
    </row>
    <row r="293" spans="1:4" ht="15.75" customHeight="1">
      <c r="A293" s="6">
        <v>71004</v>
      </c>
      <c r="B293" s="7" t="s">
        <v>381</v>
      </c>
      <c r="C293" s="48">
        <v>20</v>
      </c>
      <c r="D293" s="48">
        <v>20</v>
      </c>
    </row>
    <row r="294" spans="1:4" ht="15.75" customHeight="1">
      <c r="A294" s="6">
        <v>71005</v>
      </c>
      <c r="B294" s="7" t="s">
        <v>382</v>
      </c>
      <c r="C294" s="48">
        <v>12</v>
      </c>
      <c r="D294" s="48">
        <v>1</v>
      </c>
    </row>
    <row r="295" spans="1:4" ht="15.75" customHeight="1">
      <c r="A295" s="6">
        <v>71101</v>
      </c>
      <c r="B295" s="7" t="s">
        <v>384</v>
      </c>
      <c r="C295" s="48">
        <v>25</v>
      </c>
      <c r="D295" s="48">
        <v>49</v>
      </c>
    </row>
    <row r="296" spans="1:4" ht="15.75" customHeight="1">
      <c r="A296" s="6">
        <v>71102</v>
      </c>
      <c r="B296" s="7" t="s">
        <v>385</v>
      </c>
      <c r="C296" s="48">
        <v>31</v>
      </c>
      <c r="D296" s="48">
        <v>41</v>
      </c>
    </row>
    <row r="297" spans="1:4" ht="15.75" customHeight="1">
      <c r="A297" s="6">
        <v>71103</v>
      </c>
      <c r="B297" s="7" t="s">
        <v>386</v>
      </c>
      <c r="C297" s="48">
        <v>7</v>
      </c>
      <c r="D297" s="48">
        <v>57</v>
      </c>
    </row>
    <row r="298" spans="1:4" ht="15.75" customHeight="1">
      <c r="A298" s="6">
        <v>71104</v>
      </c>
      <c r="B298" s="7" t="s">
        <v>387</v>
      </c>
      <c r="C298" s="48">
        <v>62</v>
      </c>
      <c r="D298" s="48">
        <v>1</v>
      </c>
    </row>
    <row r="299" spans="1:4" ht="15.75" customHeight="1">
      <c r="A299" s="6">
        <v>71105</v>
      </c>
      <c r="B299" s="7" t="s">
        <v>388</v>
      </c>
      <c r="C299" s="48">
        <v>21</v>
      </c>
      <c r="D299" s="48">
        <v>3</v>
      </c>
    </row>
    <row r="300" spans="1:4" ht="15.75" customHeight="1">
      <c r="A300" s="6">
        <v>71106</v>
      </c>
      <c r="B300" s="7" t="s">
        <v>389</v>
      </c>
      <c r="C300" s="48">
        <v>25</v>
      </c>
      <c r="D300" s="48">
        <v>23</v>
      </c>
    </row>
    <row r="301" spans="1:4" ht="15.75" customHeight="1">
      <c r="A301" s="6">
        <v>71201</v>
      </c>
      <c r="B301" s="7" t="s">
        <v>391</v>
      </c>
      <c r="C301" s="48">
        <v>12</v>
      </c>
      <c r="D301" s="48">
        <v>16</v>
      </c>
    </row>
    <row r="302" spans="1:4" ht="15.75" customHeight="1">
      <c r="A302" s="6">
        <v>71301</v>
      </c>
      <c r="B302" s="7" t="s">
        <v>393</v>
      </c>
      <c r="C302" s="48">
        <v>17</v>
      </c>
      <c r="D302" s="48">
        <v>27</v>
      </c>
    </row>
    <row r="303" spans="1:4" ht="15.75" customHeight="1">
      <c r="A303" s="6">
        <v>71302</v>
      </c>
      <c r="B303" s="7" t="s">
        <v>394</v>
      </c>
      <c r="C303" s="48">
        <v>6</v>
      </c>
      <c r="D303" s="48">
        <v>4</v>
      </c>
    </row>
    <row r="304" spans="1:4" ht="15.75" customHeight="1">
      <c r="A304" s="6">
        <v>71401</v>
      </c>
      <c r="B304" s="7" t="s">
        <v>396</v>
      </c>
      <c r="C304" s="48">
        <v>9</v>
      </c>
      <c r="D304" s="48">
        <v>14</v>
      </c>
    </row>
    <row r="305" spans="1:4" ht="15.75" customHeight="1">
      <c r="A305" s="6">
        <v>71402</v>
      </c>
      <c r="B305" s="7" t="s">
        <v>397</v>
      </c>
      <c r="C305" s="48">
        <v>17</v>
      </c>
      <c r="D305" s="48">
        <v>12</v>
      </c>
    </row>
    <row r="306" spans="1:4" ht="15.75" customHeight="1">
      <c r="A306" s="6">
        <v>71403</v>
      </c>
      <c r="B306" s="7" t="s">
        <v>398</v>
      </c>
      <c r="C306" s="48">
        <v>6</v>
      </c>
      <c r="D306" s="48">
        <v>12</v>
      </c>
    </row>
    <row r="307" spans="1:4" ht="15.75" customHeight="1">
      <c r="A307" s="6">
        <v>71501</v>
      </c>
      <c r="B307" s="7" t="s">
        <v>400</v>
      </c>
      <c r="C307" s="48">
        <v>27</v>
      </c>
      <c r="D307" s="48">
        <v>68</v>
      </c>
    </row>
    <row r="308" spans="1:4" ht="15.75" customHeight="1">
      <c r="A308" s="6">
        <v>71502</v>
      </c>
      <c r="B308" s="7" t="s">
        <v>401</v>
      </c>
      <c r="C308" s="48">
        <v>10</v>
      </c>
      <c r="D308" s="48">
        <v>25</v>
      </c>
    </row>
    <row r="309" spans="1:4" ht="15.75" customHeight="1">
      <c r="A309" s="6">
        <v>71503</v>
      </c>
      <c r="B309" s="7" t="s">
        <v>332</v>
      </c>
      <c r="C309" s="48">
        <v>16</v>
      </c>
      <c r="D309" s="48">
        <v>26</v>
      </c>
    </row>
    <row r="310" spans="1:4" ht="15.75" customHeight="1">
      <c r="A310" s="6">
        <v>80101</v>
      </c>
      <c r="B310" s="7" t="s">
        <v>402</v>
      </c>
      <c r="C310" s="48">
        <v>113</v>
      </c>
      <c r="D310" s="48">
        <v>112</v>
      </c>
    </row>
    <row r="311" spans="1:4" ht="15.75" customHeight="1">
      <c r="A311" s="6">
        <v>80102</v>
      </c>
      <c r="B311" s="7" t="s">
        <v>385</v>
      </c>
      <c r="C311" s="48">
        <v>10</v>
      </c>
      <c r="D311" s="48">
        <v>5</v>
      </c>
    </row>
    <row r="312" spans="1:4" ht="15.75" customHeight="1">
      <c r="A312" s="6">
        <v>80201</v>
      </c>
      <c r="B312" s="7" t="s">
        <v>404</v>
      </c>
      <c r="C312" s="48">
        <v>230</v>
      </c>
      <c r="D312" s="48">
        <v>172</v>
      </c>
    </row>
    <row r="313" spans="1:4" ht="15.75" customHeight="1">
      <c r="A313" s="6">
        <v>80202</v>
      </c>
      <c r="B313" s="7" t="s">
        <v>405</v>
      </c>
      <c r="C313" s="48">
        <v>59</v>
      </c>
      <c r="D313" s="48">
        <v>58</v>
      </c>
    </row>
    <row r="314" spans="1:4" ht="15.75" customHeight="1">
      <c r="A314" s="6">
        <v>80301</v>
      </c>
      <c r="B314" s="7" t="s">
        <v>407</v>
      </c>
      <c r="C314" s="48">
        <v>21</v>
      </c>
      <c r="D314" s="48">
        <v>11</v>
      </c>
    </row>
    <row r="315" spans="1:4" ht="15.75" customHeight="1">
      <c r="A315" s="6">
        <v>80302</v>
      </c>
      <c r="B315" s="7" t="s">
        <v>408</v>
      </c>
      <c r="C315" s="48">
        <v>132</v>
      </c>
      <c r="D315" s="48">
        <v>94</v>
      </c>
    </row>
    <row r="316" spans="1:4" ht="15.75" customHeight="1">
      <c r="A316" s="6">
        <v>80303</v>
      </c>
      <c r="B316" s="7" t="s">
        <v>409</v>
      </c>
      <c r="C316" s="48">
        <v>11</v>
      </c>
      <c r="D316" s="48">
        <v>6</v>
      </c>
    </row>
    <row r="317" spans="1:4" ht="15.75" customHeight="1">
      <c r="A317" s="6">
        <v>80304</v>
      </c>
      <c r="B317" s="7" t="s">
        <v>410</v>
      </c>
      <c r="C317" s="48">
        <v>32</v>
      </c>
      <c r="D317" s="48">
        <v>37</v>
      </c>
    </row>
    <row r="318" spans="1:4" ht="15.75" customHeight="1">
      <c r="A318" s="6">
        <v>80401</v>
      </c>
      <c r="B318" s="7" t="s">
        <v>412</v>
      </c>
      <c r="C318" s="48">
        <v>34</v>
      </c>
      <c r="D318" s="48">
        <v>15</v>
      </c>
    </row>
    <row r="319" spans="1:4" ht="15.75" customHeight="1">
      <c r="A319" s="6">
        <v>80402</v>
      </c>
      <c r="B319" s="7" t="s">
        <v>413</v>
      </c>
      <c r="C319" s="48">
        <v>4</v>
      </c>
      <c r="D319" s="48">
        <v>7</v>
      </c>
    </row>
    <row r="320" spans="1:4" ht="15.75" customHeight="1">
      <c r="A320" s="6">
        <v>80501</v>
      </c>
      <c r="B320" s="7" t="s">
        <v>415</v>
      </c>
      <c r="C320" s="48">
        <v>46</v>
      </c>
      <c r="D320" s="48">
        <v>39</v>
      </c>
    </row>
    <row r="321" spans="1:4" ht="15.75" customHeight="1">
      <c r="A321" s="6">
        <v>80601</v>
      </c>
      <c r="B321" s="7" t="s">
        <v>417</v>
      </c>
      <c r="C321" s="48">
        <v>6</v>
      </c>
      <c r="D321" s="48">
        <v>4</v>
      </c>
    </row>
    <row r="322" spans="1:4" ht="15.75" customHeight="1">
      <c r="A322" s="6">
        <v>80602</v>
      </c>
      <c r="B322" s="7" t="s">
        <v>418</v>
      </c>
      <c r="C322" s="48">
        <v>12</v>
      </c>
      <c r="D322" s="48">
        <v>14</v>
      </c>
    </row>
    <row r="323" spans="1:4" ht="15.75" customHeight="1">
      <c r="A323" s="6">
        <v>80701</v>
      </c>
      <c r="B323" s="7" t="s">
        <v>420</v>
      </c>
      <c r="C323" s="48">
        <v>9</v>
      </c>
      <c r="D323" s="48">
        <v>2</v>
      </c>
    </row>
    <row r="324" spans="1:4" ht="15.75" customHeight="1">
      <c r="A324" s="6">
        <v>80702</v>
      </c>
      <c r="B324" s="7" t="s">
        <v>386</v>
      </c>
      <c r="C324" s="48">
        <v>3</v>
      </c>
      <c r="D324" s="48">
        <v>3</v>
      </c>
    </row>
    <row r="325" spans="1:4" ht="15.75" customHeight="1">
      <c r="A325" s="6">
        <v>80703</v>
      </c>
      <c r="B325" s="7" t="s">
        <v>421</v>
      </c>
      <c r="C325" s="48">
        <v>3</v>
      </c>
      <c r="D325" s="48">
        <v>0</v>
      </c>
    </row>
    <row r="326" spans="1:4" ht="15.75" customHeight="1">
      <c r="A326" s="6">
        <v>80801</v>
      </c>
      <c r="B326" s="7" t="s">
        <v>423</v>
      </c>
      <c r="C326" s="48">
        <v>2</v>
      </c>
      <c r="D326" s="48">
        <v>11</v>
      </c>
    </row>
    <row r="327" spans="1:4" ht="15.75" customHeight="1">
      <c r="A327" s="6">
        <v>80802</v>
      </c>
      <c r="B327" s="7" t="s">
        <v>424</v>
      </c>
      <c r="C327" s="48">
        <v>4</v>
      </c>
      <c r="D327" s="48">
        <v>4</v>
      </c>
    </row>
    <row r="328" spans="1:4" ht="15.75" customHeight="1">
      <c r="A328" s="6">
        <v>80803</v>
      </c>
      <c r="B328" s="7" t="s">
        <v>425</v>
      </c>
      <c r="C328" s="48">
        <v>4</v>
      </c>
      <c r="D328" s="48">
        <v>2</v>
      </c>
    </row>
    <row r="329" spans="1:4" ht="15.75" customHeight="1">
      <c r="A329" s="6">
        <v>80901</v>
      </c>
      <c r="B329" s="46" t="s">
        <v>426</v>
      </c>
      <c r="C329" s="48">
        <v>51</v>
      </c>
      <c r="D329" s="48">
        <v>13</v>
      </c>
    </row>
    <row r="330" spans="1:4" ht="15.75" customHeight="1">
      <c r="A330" s="6">
        <v>90101</v>
      </c>
      <c r="B330" s="7" t="s">
        <v>428</v>
      </c>
      <c r="C330" s="48">
        <v>39</v>
      </c>
      <c r="D330" s="48">
        <v>39</v>
      </c>
    </row>
    <row r="331" spans="1:4" ht="15.75" customHeight="1">
      <c r="A331" s="6">
        <v>90102</v>
      </c>
      <c r="B331" s="7" t="s">
        <v>429</v>
      </c>
      <c r="C331" s="48">
        <v>4</v>
      </c>
      <c r="D331" s="48">
        <v>6</v>
      </c>
    </row>
    <row r="332" spans="1:4" ht="15.75" customHeight="1">
      <c r="A332" s="6">
        <v>90103</v>
      </c>
      <c r="B332" s="7" t="s">
        <v>430</v>
      </c>
      <c r="C332" s="48">
        <v>0</v>
      </c>
      <c r="D332" s="48">
        <v>2</v>
      </c>
    </row>
    <row r="333" spans="1:4" ht="15.75" customHeight="1">
      <c r="A333" s="6">
        <v>90104</v>
      </c>
      <c r="B333" s="7" t="s">
        <v>431</v>
      </c>
      <c r="C333" s="48">
        <v>2</v>
      </c>
      <c r="D333" s="48">
        <v>1</v>
      </c>
    </row>
    <row r="334" spans="1:4" ht="15.75" customHeight="1">
      <c r="A334" s="6">
        <v>90201</v>
      </c>
      <c r="B334" s="7" t="s">
        <v>433</v>
      </c>
      <c r="C334" s="48">
        <v>5</v>
      </c>
      <c r="D334" s="48">
        <v>10</v>
      </c>
    </row>
    <row r="335" spans="1:4" ht="15.75" customHeight="1">
      <c r="A335" s="6">
        <v>90202</v>
      </c>
      <c r="B335" s="7" t="s">
        <v>382</v>
      </c>
      <c r="C335" s="48">
        <v>4</v>
      </c>
      <c r="D335" s="48">
        <v>0</v>
      </c>
    </row>
    <row r="336" spans="1:4" ht="15.75" customHeight="1">
      <c r="A336" s="6">
        <v>90203</v>
      </c>
      <c r="B336" s="7" t="s">
        <v>434</v>
      </c>
      <c r="C336" s="48">
        <v>6</v>
      </c>
      <c r="D336" s="48">
        <v>14</v>
      </c>
    </row>
    <row r="337" spans="1:4" ht="15.75" customHeight="1">
      <c r="A337" s="6">
        <v>90301</v>
      </c>
      <c r="B337" s="7" t="s">
        <v>436</v>
      </c>
      <c r="C337" s="48">
        <v>2</v>
      </c>
      <c r="D337" s="48">
        <v>9</v>
      </c>
    </row>
    <row r="338" spans="1:4" ht="15.75" customHeight="1">
      <c r="A338" s="6">
        <v>90302</v>
      </c>
      <c r="B338" s="7" t="s">
        <v>437</v>
      </c>
      <c r="C338" s="48">
        <v>4</v>
      </c>
      <c r="D338" s="48">
        <v>8</v>
      </c>
    </row>
    <row r="339" spans="1:4" ht="15.75" customHeight="1">
      <c r="A339" s="6">
        <v>90303</v>
      </c>
      <c r="B339" s="7" t="s">
        <v>438</v>
      </c>
      <c r="C339" s="48">
        <v>10</v>
      </c>
      <c r="D339" s="48">
        <v>26</v>
      </c>
    </row>
    <row r="340" spans="1:4" ht="15.75" customHeight="1">
      <c r="A340" s="6">
        <v>90401</v>
      </c>
      <c r="B340" s="7" t="s">
        <v>440</v>
      </c>
      <c r="C340" s="48">
        <v>2</v>
      </c>
      <c r="D340" s="48">
        <v>2</v>
      </c>
    </row>
    <row r="341" spans="1:4" ht="15.75" customHeight="1">
      <c r="A341" s="6">
        <v>90402</v>
      </c>
      <c r="B341" s="7" t="s">
        <v>102</v>
      </c>
      <c r="C341" s="48">
        <v>3</v>
      </c>
      <c r="D341" s="48">
        <v>2</v>
      </c>
    </row>
    <row r="342" spans="1:4" ht="15.75" customHeight="1">
      <c r="A342" s="6">
        <v>90501</v>
      </c>
      <c r="B342" s="7" t="s">
        <v>442</v>
      </c>
      <c r="C342" s="48">
        <v>2</v>
      </c>
      <c r="D342" s="48">
        <v>0</v>
      </c>
    </row>
    <row r="343" spans="1:4" ht="15.75" customHeight="1">
      <c r="A343" s="6">
        <v>90502</v>
      </c>
      <c r="B343" s="7" t="s">
        <v>443</v>
      </c>
      <c r="C343" s="48">
        <v>2</v>
      </c>
      <c r="D343" s="48">
        <v>2</v>
      </c>
    </row>
    <row r="344" spans="1:4" ht="15.75" customHeight="1">
      <c r="A344" s="6">
        <v>90503</v>
      </c>
      <c r="B344" s="7" t="s">
        <v>444</v>
      </c>
      <c r="C344" s="48">
        <v>6</v>
      </c>
      <c r="D344" s="48">
        <v>14</v>
      </c>
    </row>
    <row r="345" spans="1:4" ht="15.75" customHeight="1">
      <c r="A345" s="23"/>
      <c r="B345" s="24"/>
      <c r="C345" s="42">
        <v>0</v>
      </c>
      <c r="D345" s="32"/>
    </row>
    <row r="346" spans="1:4" ht="15.75" customHeight="1">
      <c r="A346" s="23"/>
      <c r="B346" s="24"/>
      <c r="D346" s="32"/>
    </row>
    <row r="347" spans="1:4" ht="15.75" customHeight="1">
      <c r="A347" s="23"/>
      <c r="B347" s="24"/>
      <c r="D347" s="32"/>
    </row>
    <row r="348" spans="1:4" ht="15.75" customHeight="1">
      <c r="A348" s="23"/>
      <c r="B348" s="24"/>
    </row>
    <row r="349" spans="1:4" ht="15.75" customHeight="1">
      <c r="A349" s="23"/>
      <c r="B349" s="24"/>
    </row>
    <row r="350" spans="1:4" ht="15.75" customHeight="1">
      <c r="A350" s="23"/>
      <c r="B350" s="24"/>
      <c r="D350" s="34"/>
    </row>
    <row r="351" spans="1:4" ht="15.75" customHeight="1">
      <c r="A351" s="23"/>
      <c r="B351" s="24"/>
      <c r="D351" s="34"/>
    </row>
    <row r="352" spans="1:4" ht="15.75" customHeight="1">
      <c r="A352" s="23"/>
      <c r="B352" s="24"/>
      <c r="D352" s="34"/>
    </row>
    <row r="353" spans="1:4" ht="15.75" customHeight="1">
      <c r="A353" s="23"/>
      <c r="B353" s="35"/>
      <c r="D353" s="34"/>
    </row>
    <row r="354" spans="1:4" ht="15.75" customHeight="1">
      <c r="A354" s="23"/>
      <c r="B354" s="35"/>
      <c r="D354" s="32"/>
    </row>
    <row r="355" spans="1:4" ht="15.75" customHeight="1">
      <c r="A355" s="23"/>
      <c r="B355" s="35"/>
    </row>
    <row r="356" spans="1:4" ht="15.75" customHeight="1">
      <c r="A356" s="23"/>
      <c r="B356" s="35"/>
    </row>
    <row r="357" spans="1:4" ht="15.75" customHeight="1">
      <c r="A357" s="23"/>
      <c r="B357" s="35"/>
    </row>
    <row r="358" spans="1:4" ht="15.75" customHeight="1">
      <c r="A358" s="23"/>
      <c r="B358" s="35"/>
    </row>
    <row r="359" spans="1:4" ht="15.75" customHeight="1">
      <c r="A359" s="23"/>
      <c r="B359" s="35"/>
    </row>
    <row r="360" spans="1:4" ht="15.75" customHeight="1">
      <c r="A360" s="23"/>
      <c r="B360" s="35"/>
    </row>
    <row r="361" spans="1:4" ht="15.75" customHeight="1">
      <c r="A361" s="23"/>
      <c r="B361" s="35"/>
    </row>
    <row r="362" spans="1:4" ht="15.75" customHeight="1">
      <c r="A362" s="23"/>
      <c r="B362" s="35"/>
    </row>
    <row r="363" spans="1:4" ht="15.75" customHeight="1">
      <c r="A363" s="23"/>
      <c r="B363" s="35"/>
    </row>
    <row r="364" spans="1:4" ht="15.75" customHeight="1">
      <c r="A364" s="23"/>
      <c r="B364" s="35"/>
    </row>
    <row r="365" spans="1:4" ht="15.75" customHeight="1">
      <c r="A365" s="23"/>
      <c r="B365" s="35"/>
    </row>
    <row r="366" spans="1:4" ht="15.75" customHeight="1">
      <c r="A366" s="23"/>
      <c r="B366" s="35"/>
    </row>
    <row r="367" spans="1:4" ht="15.75" customHeight="1">
      <c r="A367" s="23"/>
      <c r="B367" s="35"/>
    </row>
    <row r="368" spans="1:4" ht="15.75" customHeight="1">
      <c r="A368" s="23"/>
      <c r="B368" s="35"/>
    </row>
    <row r="369" spans="1:2" ht="15.75" customHeight="1">
      <c r="A369" s="23"/>
      <c r="B369" s="35"/>
    </row>
    <row r="370" spans="1:2" ht="15.75" customHeight="1">
      <c r="A370" s="23"/>
      <c r="B370" s="35"/>
    </row>
    <row r="371" spans="1:2" ht="15.75" customHeight="1">
      <c r="A371" s="23"/>
      <c r="B371" s="35"/>
    </row>
    <row r="372" spans="1:2" ht="15.75" customHeight="1">
      <c r="A372" s="23"/>
      <c r="B372" s="35"/>
    </row>
    <row r="373" spans="1:2" ht="15.75" customHeight="1">
      <c r="A373" s="23"/>
      <c r="B373" s="35"/>
    </row>
    <row r="374" spans="1:2" ht="15.75" customHeight="1">
      <c r="A374" s="23"/>
      <c r="B374" s="35"/>
    </row>
    <row r="375" spans="1:2" ht="15.75" customHeight="1">
      <c r="A375" s="23"/>
      <c r="B375" s="35"/>
    </row>
    <row r="376" spans="1:2" ht="15.75" customHeight="1">
      <c r="A376" s="23"/>
      <c r="B376" s="35"/>
    </row>
    <row r="377" spans="1:2" ht="15.75" customHeight="1">
      <c r="A377" s="23"/>
      <c r="B377" s="35"/>
    </row>
    <row r="378" spans="1:2" ht="15.75" customHeight="1">
      <c r="A378" s="23"/>
      <c r="B378" s="35"/>
    </row>
    <row r="379" spans="1:2" ht="15.75" customHeight="1">
      <c r="A379" s="23"/>
      <c r="B379" s="35"/>
    </row>
    <row r="380" spans="1:2" ht="15.75" customHeight="1">
      <c r="A380" s="23"/>
      <c r="B380" s="35"/>
    </row>
    <row r="381" spans="1:2" ht="15.75" customHeight="1">
      <c r="A381" s="23"/>
      <c r="B381" s="35"/>
    </row>
    <row r="382" spans="1:2" ht="15.75" customHeight="1">
      <c r="A382" s="23"/>
      <c r="B382" s="35"/>
    </row>
    <row r="383" spans="1:2" ht="15.75" customHeight="1">
      <c r="A383" s="23"/>
      <c r="B383" s="35"/>
    </row>
    <row r="384" spans="1:2" ht="15.75" customHeight="1">
      <c r="A384" s="23"/>
      <c r="B384" s="35"/>
    </row>
    <row r="385" spans="1:2" ht="15.75" customHeight="1">
      <c r="A385" s="23"/>
      <c r="B385" s="35"/>
    </row>
    <row r="386" spans="1:2" ht="15.75" customHeight="1">
      <c r="A386" s="23"/>
      <c r="B386" s="35"/>
    </row>
    <row r="387" spans="1:2" ht="15.75" customHeight="1">
      <c r="A387" s="23"/>
      <c r="B387" s="35"/>
    </row>
    <row r="388" spans="1:2" ht="15.75" customHeight="1">
      <c r="A388" s="23"/>
      <c r="B388" s="35"/>
    </row>
    <row r="389" spans="1:2" ht="15.75" customHeight="1">
      <c r="A389" s="23"/>
      <c r="B389" s="35"/>
    </row>
    <row r="390" spans="1:2" ht="15.75" customHeight="1">
      <c r="A390" s="23"/>
      <c r="B390" s="35"/>
    </row>
    <row r="391" spans="1:2" ht="15.75" customHeight="1">
      <c r="A391" s="23"/>
      <c r="B391" s="35"/>
    </row>
    <row r="392" spans="1:2" ht="15.75" customHeight="1">
      <c r="A392" s="23"/>
      <c r="B392" s="35"/>
    </row>
    <row r="393" spans="1:2" ht="15.75" customHeight="1">
      <c r="A393" s="23"/>
      <c r="B393" s="35"/>
    </row>
    <row r="394" spans="1:2" ht="15.75" customHeight="1">
      <c r="A394" s="23"/>
      <c r="B394" s="35"/>
    </row>
    <row r="395" spans="1:2" ht="15.75" customHeight="1">
      <c r="A395" s="23"/>
      <c r="B395" s="35"/>
    </row>
    <row r="396" spans="1:2" ht="15.75" customHeight="1">
      <c r="A396" s="23"/>
      <c r="B396" s="35"/>
    </row>
    <row r="397" spans="1:2" ht="15.75" customHeight="1">
      <c r="A397" s="23"/>
      <c r="B397" s="35"/>
    </row>
    <row r="398" spans="1:2" ht="15.75" customHeight="1">
      <c r="A398" s="23"/>
      <c r="B398" s="35"/>
    </row>
    <row r="399" spans="1:2" ht="15.75" customHeight="1">
      <c r="A399" s="23"/>
      <c r="B399" s="35"/>
    </row>
    <row r="400" spans="1:2" ht="15.75" customHeight="1">
      <c r="A400" s="23"/>
      <c r="B400" s="35"/>
    </row>
    <row r="401" spans="1:2" ht="15.75" customHeight="1">
      <c r="A401" s="23"/>
      <c r="B401" s="35"/>
    </row>
    <row r="402" spans="1:2" ht="15.75" customHeight="1">
      <c r="A402" s="23"/>
      <c r="B402" s="35"/>
    </row>
    <row r="403" spans="1:2" ht="15.75" customHeight="1">
      <c r="A403" s="23"/>
      <c r="B403" s="35"/>
    </row>
    <row r="404" spans="1:2" ht="15.75" customHeight="1">
      <c r="A404" s="23"/>
      <c r="B404" s="35"/>
    </row>
    <row r="405" spans="1:2" ht="15.75" customHeight="1">
      <c r="A405" s="23"/>
      <c r="B405" s="35"/>
    </row>
    <row r="406" spans="1:2" ht="15.75" customHeight="1">
      <c r="A406" s="23"/>
      <c r="B406" s="35"/>
    </row>
    <row r="407" spans="1:2" ht="15.75" customHeight="1">
      <c r="A407" s="23"/>
      <c r="B407" s="35"/>
    </row>
    <row r="408" spans="1:2" ht="15.75" customHeight="1">
      <c r="A408" s="23"/>
      <c r="B408" s="35"/>
    </row>
    <row r="409" spans="1:2" ht="15.75" customHeight="1">
      <c r="A409" s="23"/>
      <c r="B409" s="35"/>
    </row>
    <row r="410" spans="1:2" ht="15.75" customHeight="1">
      <c r="A410" s="23"/>
      <c r="B410" s="35"/>
    </row>
    <row r="411" spans="1:2" ht="15.75" customHeight="1">
      <c r="A411" s="23"/>
      <c r="B411" s="35"/>
    </row>
    <row r="412" spans="1:2" ht="15.75" customHeight="1">
      <c r="A412" s="23"/>
      <c r="B412" s="35"/>
    </row>
    <row r="413" spans="1:2" ht="15.75" customHeight="1">
      <c r="A413" s="23"/>
      <c r="B413" s="35"/>
    </row>
    <row r="414" spans="1:2" ht="15.75" customHeight="1">
      <c r="A414" s="23"/>
      <c r="B414" s="35"/>
    </row>
    <row r="415" spans="1:2" ht="15.75" customHeight="1">
      <c r="A415" s="23"/>
      <c r="B415" s="35"/>
    </row>
    <row r="416" spans="1:2" ht="15.75" customHeight="1">
      <c r="A416" s="23"/>
      <c r="B416" s="35"/>
    </row>
    <row r="417" spans="1:2" ht="15.75" customHeight="1">
      <c r="A417" s="23"/>
      <c r="B417" s="35"/>
    </row>
    <row r="418" spans="1:2" ht="15.75" customHeight="1">
      <c r="A418" s="23"/>
      <c r="B418" s="35"/>
    </row>
    <row r="419" spans="1:2" ht="15.75" customHeight="1">
      <c r="A419" s="23"/>
      <c r="B419" s="35"/>
    </row>
    <row r="420" spans="1:2" ht="15.75" customHeight="1">
      <c r="A420" s="23"/>
      <c r="B420" s="35"/>
    </row>
    <row r="421" spans="1:2" ht="15.75" customHeight="1">
      <c r="A421" s="23"/>
      <c r="B421" s="35"/>
    </row>
    <row r="422" spans="1:2" ht="15.75" customHeight="1">
      <c r="A422" s="23"/>
      <c r="B422" s="35"/>
    </row>
    <row r="423" spans="1:2" ht="15.75" customHeight="1">
      <c r="A423" s="23"/>
      <c r="B423" s="35"/>
    </row>
    <row r="424" spans="1:2" ht="15.75" customHeight="1">
      <c r="A424" s="23"/>
      <c r="B424" s="35"/>
    </row>
    <row r="425" spans="1:2" ht="15.75" customHeight="1">
      <c r="A425" s="23"/>
      <c r="B425" s="35"/>
    </row>
    <row r="426" spans="1:2" ht="15.75" customHeight="1">
      <c r="A426" s="23"/>
      <c r="B426" s="35"/>
    </row>
    <row r="427" spans="1:2" ht="15.75" customHeight="1">
      <c r="A427" s="23"/>
      <c r="B427" s="35"/>
    </row>
    <row r="428" spans="1:2" ht="15.75" customHeight="1">
      <c r="A428" s="23"/>
      <c r="B428" s="35"/>
    </row>
    <row r="429" spans="1:2" ht="15.75" customHeight="1">
      <c r="A429" s="23"/>
      <c r="B429" s="35"/>
    </row>
    <row r="430" spans="1:2" ht="15.75" customHeight="1">
      <c r="A430" s="23"/>
      <c r="B430" s="35"/>
    </row>
    <row r="431" spans="1:2" ht="15.75" customHeight="1">
      <c r="A431" s="23"/>
      <c r="B431" s="35"/>
    </row>
    <row r="432" spans="1:2" ht="15.75" customHeight="1">
      <c r="A432" s="23"/>
      <c r="B432" s="35"/>
    </row>
    <row r="433" spans="1:2" ht="15.75" customHeight="1">
      <c r="A433" s="23"/>
      <c r="B433" s="35"/>
    </row>
    <row r="434" spans="1:2" ht="15.75" customHeight="1">
      <c r="A434" s="23"/>
      <c r="B434" s="35"/>
    </row>
    <row r="435" spans="1:2" ht="15.75" customHeight="1">
      <c r="A435" s="23"/>
      <c r="B435" s="35"/>
    </row>
    <row r="436" spans="1:2" ht="15.75" customHeight="1">
      <c r="A436" s="23"/>
      <c r="B436" s="35"/>
    </row>
    <row r="437" spans="1:2" ht="15.75" customHeight="1">
      <c r="A437" s="23"/>
      <c r="B437" s="35"/>
    </row>
    <row r="438" spans="1:2" ht="15.75" customHeight="1">
      <c r="A438" s="23"/>
      <c r="B438" s="35"/>
    </row>
    <row r="439" spans="1:2" ht="15.75" customHeight="1">
      <c r="A439" s="23"/>
      <c r="B439" s="35"/>
    </row>
    <row r="440" spans="1:2" ht="15.75" customHeight="1">
      <c r="A440" s="23"/>
      <c r="B440" s="35"/>
    </row>
    <row r="441" spans="1:2" ht="15.75" customHeight="1">
      <c r="A441" s="23"/>
      <c r="B441" s="35"/>
    </row>
    <row r="442" spans="1:2" ht="15.75" customHeight="1">
      <c r="A442" s="23"/>
      <c r="B442" s="35"/>
    </row>
    <row r="443" spans="1:2" ht="15.75" customHeight="1">
      <c r="A443" s="23"/>
      <c r="B443" s="35"/>
    </row>
    <row r="444" spans="1:2" ht="15.75" customHeight="1">
      <c r="A444" s="23"/>
      <c r="B444" s="35"/>
    </row>
    <row r="445" spans="1:2" ht="15.75" customHeight="1">
      <c r="A445" s="23"/>
      <c r="B445" s="35"/>
    </row>
    <row r="446" spans="1:2" ht="15.75" customHeight="1">
      <c r="A446" s="23"/>
      <c r="B446" s="35"/>
    </row>
    <row r="447" spans="1:2" ht="15.75" customHeight="1">
      <c r="A447" s="23"/>
      <c r="B447" s="35"/>
    </row>
    <row r="448" spans="1:2" ht="15.75" customHeight="1">
      <c r="A448" s="23"/>
      <c r="B448" s="35"/>
    </row>
    <row r="449" spans="1:2" ht="15.75" customHeight="1">
      <c r="A449" s="23"/>
      <c r="B449" s="35"/>
    </row>
    <row r="450" spans="1:2" ht="15.75" customHeight="1">
      <c r="A450" s="23"/>
      <c r="B450" s="35"/>
    </row>
    <row r="451" spans="1:2" ht="15.75" customHeight="1">
      <c r="A451" s="23"/>
      <c r="B451" s="35"/>
    </row>
    <row r="452" spans="1:2" ht="15.75" customHeight="1">
      <c r="A452" s="23"/>
      <c r="B452" s="35"/>
    </row>
    <row r="453" spans="1:2" ht="15.75" customHeight="1">
      <c r="A453" s="23"/>
      <c r="B453" s="35"/>
    </row>
    <row r="454" spans="1:2" ht="15.75" customHeight="1">
      <c r="A454" s="23"/>
      <c r="B454" s="35"/>
    </row>
    <row r="455" spans="1:2" ht="15.75" customHeight="1">
      <c r="A455" s="23"/>
      <c r="B455" s="35"/>
    </row>
    <row r="456" spans="1:2" ht="15.75" customHeight="1">
      <c r="A456" s="23"/>
      <c r="B456" s="35"/>
    </row>
    <row r="457" spans="1:2" ht="15.75" customHeight="1">
      <c r="A457" s="23"/>
      <c r="B457" s="35"/>
    </row>
    <row r="458" spans="1:2" ht="15.75" customHeight="1">
      <c r="A458" s="23"/>
      <c r="B458" s="35"/>
    </row>
    <row r="459" spans="1:2" ht="15.75" customHeight="1">
      <c r="A459" s="23"/>
      <c r="B459" s="35"/>
    </row>
    <row r="460" spans="1:2" ht="15.75" customHeight="1">
      <c r="A460" s="23"/>
      <c r="B460" s="35"/>
    </row>
    <row r="461" spans="1:2" ht="15.75" customHeight="1">
      <c r="A461" s="23"/>
      <c r="B461" s="35"/>
    </row>
    <row r="462" spans="1:2" ht="15.75" customHeight="1">
      <c r="A462" s="23"/>
      <c r="B462" s="35"/>
    </row>
    <row r="463" spans="1:2" ht="15.75" customHeight="1">
      <c r="A463" s="23"/>
      <c r="B463" s="35"/>
    </row>
    <row r="464" spans="1:2" ht="15.75" customHeight="1">
      <c r="A464" s="23"/>
      <c r="B464" s="35"/>
    </row>
    <row r="465" spans="1:2" ht="15.75" customHeight="1">
      <c r="A465" s="23"/>
      <c r="B465" s="35"/>
    </row>
    <row r="466" spans="1:2" ht="15.75" customHeight="1">
      <c r="A466" s="23"/>
      <c r="B466" s="35"/>
    </row>
    <row r="467" spans="1:2" ht="15.75" customHeight="1">
      <c r="A467" s="23"/>
      <c r="B467" s="35"/>
    </row>
    <row r="468" spans="1:2" ht="15.75" customHeight="1">
      <c r="A468" s="23"/>
      <c r="B468" s="35"/>
    </row>
    <row r="469" spans="1:2" ht="15.75" customHeight="1">
      <c r="A469" s="23"/>
      <c r="B469" s="35"/>
    </row>
    <row r="470" spans="1:2" ht="15.75" customHeight="1">
      <c r="A470" s="23"/>
      <c r="B470" s="35"/>
    </row>
    <row r="471" spans="1:2" ht="15.75" customHeight="1">
      <c r="A471" s="23"/>
      <c r="B471" s="35"/>
    </row>
    <row r="472" spans="1:2" ht="15.75" customHeight="1">
      <c r="A472" s="23"/>
      <c r="B472" s="35"/>
    </row>
    <row r="473" spans="1:2" ht="15.75" customHeight="1">
      <c r="A473" s="23"/>
      <c r="B473" s="35"/>
    </row>
    <row r="474" spans="1:2" ht="15.75" customHeight="1">
      <c r="A474" s="23"/>
      <c r="B474" s="35"/>
    </row>
    <row r="475" spans="1:2" ht="15.75" customHeight="1">
      <c r="A475" s="23"/>
      <c r="B475" s="35"/>
    </row>
    <row r="476" spans="1:2" ht="15.75" customHeight="1">
      <c r="A476" s="23"/>
      <c r="B476" s="35"/>
    </row>
    <row r="477" spans="1:2" ht="15.75" customHeight="1">
      <c r="A477" s="23"/>
      <c r="B477" s="35"/>
    </row>
    <row r="478" spans="1:2" ht="15.75" customHeight="1">
      <c r="A478" s="23"/>
      <c r="B478" s="35"/>
    </row>
    <row r="479" spans="1:2" ht="15.75" customHeight="1">
      <c r="A479" s="23"/>
      <c r="B479" s="35"/>
    </row>
    <row r="480" spans="1:2" ht="15.75" customHeight="1">
      <c r="A480" s="23"/>
      <c r="B480" s="35"/>
    </row>
    <row r="481" spans="1:2" ht="15.75" customHeight="1">
      <c r="A481" s="23"/>
      <c r="B481" s="35"/>
    </row>
    <row r="482" spans="1:2" ht="15.75" customHeight="1">
      <c r="A482" s="23"/>
      <c r="B482" s="35"/>
    </row>
    <row r="483" spans="1:2" ht="15.75" customHeight="1">
      <c r="A483" s="23"/>
      <c r="B483" s="35"/>
    </row>
    <row r="484" spans="1:2" ht="15.75" customHeight="1">
      <c r="A484" s="23"/>
      <c r="B484" s="35"/>
    </row>
    <row r="485" spans="1:2" ht="15.75" customHeight="1">
      <c r="A485" s="23"/>
      <c r="B485" s="35"/>
    </row>
    <row r="486" spans="1:2" ht="15.75" customHeight="1">
      <c r="A486" s="23"/>
      <c r="B486" s="35"/>
    </row>
    <row r="487" spans="1:2" ht="15.75" customHeight="1">
      <c r="A487" s="23"/>
      <c r="B487" s="35"/>
    </row>
    <row r="488" spans="1:2" ht="15.75" customHeight="1">
      <c r="A488" s="23"/>
      <c r="B488" s="35"/>
    </row>
    <row r="489" spans="1:2" ht="15.75" customHeight="1">
      <c r="A489" s="23"/>
      <c r="B489" s="35"/>
    </row>
    <row r="490" spans="1:2" ht="15.75" customHeight="1">
      <c r="A490" s="23"/>
      <c r="B490" s="35"/>
    </row>
    <row r="491" spans="1:2" ht="15.75" customHeight="1">
      <c r="A491" s="23"/>
      <c r="B491" s="35"/>
    </row>
    <row r="492" spans="1:2" ht="15.75" customHeight="1">
      <c r="A492" s="23"/>
      <c r="B492" s="35"/>
    </row>
    <row r="493" spans="1:2" ht="15.75" customHeight="1">
      <c r="A493" s="23"/>
      <c r="B493" s="35"/>
    </row>
    <row r="494" spans="1:2" ht="15.75" customHeight="1">
      <c r="A494" s="23"/>
      <c r="B494" s="35"/>
    </row>
    <row r="495" spans="1:2" ht="15.75" customHeight="1">
      <c r="A495" s="23"/>
      <c r="B495" s="35"/>
    </row>
    <row r="496" spans="1:2" ht="15.75" customHeight="1">
      <c r="A496" s="23"/>
      <c r="B496" s="35"/>
    </row>
    <row r="497" spans="1:2" ht="15.75" customHeight="1">
      <c r="A497" s="23"/>
      <c r="B497" s="35"/>
    </row>
    <row r="498" spans="1:2" ht="15.75" customHeight="1">
      <c r="A498" s="23"/>
      <c r="B498" s="35"/>
    </row>
    <row r="499" spans="1:2" ht="15.75" customHeight="1">
      <c r="A499" s="23"/>
      <c r="B499" s="35"/>
    </row>
    <row r="500" spans="1:2" ht="15.75" customHeight="1">
      <c r="A500" s="23"/>
      <c r="B500" s="35"/>
    </row>
    <row r="501" spans="1:2" ht="15.75" customHeight="1">
      <c r="A501" s="23"/>
      <c r="B501" s="35"/>
    </row>
    <row r="502" spans="1:2" ht="15.75" customHeight="1">
      <c r="A502" s="23"/>
      <c r="B502" s="35"/>
    </row>
    <row r="503" spans="1:2" ht="15.75" customHeight="1">
      <c r="A503" s="23"/>
      <c r="B503" s="35"/>
    </row>
    <row r="504" spans="1:2" ht="15.75" customHeight="1">
      <c r="A504" s="23"/>
      <c r="B504" s="35"/>
    </row>
    <row r="505" spans="1:2" ht="15.75" customHeight="1">
      <c r="A505" s="23"/>
      <c r="B505" s="35"/>
    </row>
    <row r="506" spans="1:2" ht="15.75" customHeight="1">
      <c r="A506" s="23"/>
      <c r="B506" s="35"/>
    </row>
    <row r="507" spans="1:2" ht="15.75" customHeight="1">
      <c r="A507" s="23"/>
      <c r="B507" s="35"/>
    </row>
    <row r="508" spans="1:2" ht="15.75" customHeight="1">
      <c r="A508" s="23"/>
      <c r="B508" s="35"/>
    </row>
    <row r="509" spans="1:2" ht="15.75" customHeight="1">
      <c r="A509" s="23"/>
      <c r="B509" s="35"/>
    </row>
    <row r="510" spans="1:2" ht="15.75" customHeight="1">
      <c r="A510" s="23"/>
      <c r="B510" s="35"/>
    </row>
    <row r="511" spans="1:2" ht="15.75" customHeight="1">
      <c r="A511" s="23"/>
      <c r="B511" s="35"/>
    </row>
    <row r="512" spans="1:2" ht="15.75" customHeight="1">
      <c r="A512" s="23"/>
      <c r="B512" s="35"/>
    </row>
    <row r="513" spans="1:2" ht="15.75" customHeight="1">
      <c r="A513" s="23"/>
      <c r="B513" s="35"/>
    </row>
    <row r="514" spans="1:2" ht="15.75" customHeight="1">
      <c r="A514" s="23"/>
      <c r="B514" s="35"/>
    </row>
    <row r="515" spans="1:2" ht="15.75" customHeight="1">
      <c r="A515" s="23"/>
      <c r="B515" s="35"/>
    </row>
    <row r="516" spans="1:2" ht="15.75" customHeight="1">
      <c r="A516" s="23"/>
      <c r="B516" s="35"/>
    </row>
    <row r="517" spans="1:2" ht="15.75" customHeight="1">
      <c r="A517" s="23"/>
      <c r="B517" s="35"/>
    </row>
    <row r="518" spans="1:2" ht="15.75" customHeight="1">
      <c r="A518" s="23"/>
      <c r="B518" s="35"/>
    </row>
    <row r="519" spans="1:2" ht="15.75" customHeight="1">
      <c r="A519" s="23"/>
      <c r="B519" s="35"/>
    </row>
    <row r="520" spans="1:2" ht="15.75" customHeight="1">
      <c r="A520" s="23"/>
      <c r="B520" s="35"/>
    </row>
    <row r="521" spans="1:2" ht="15.75" customHeight="1">
      <c r="A521" s="23"/>
      <c r="B521" s="35"/>
    </row>
    <row r="522" spans="1:2" ht="15.75" customHeight="1">
      <c r="A522" s="23"/>
      <c r="B522" s="35"/>
    </row>
    <row r="523" spans="1:2" ht="15.75" customHeight="1">
      <c r="A523" s="23"/>
      <c r="B523" s="35"/>
    </row>
    <row r="524" spans="1:2" ht="15.75" customHeight="1">
      <c r="A524" s="23"/>
      <c r="B524" s="35"/>
    </row>
    <row r="525" spans="1:2" ht="15.75" customHeight="1">
      <c r="A525" s="23"/>
      <c r="B525" s="35"/>
    </row>
    <row r="526" spans="1:2" ht="15.75" customHeight="1">
      <c r="A526" s="23"/>
      <c r="B526" s="35"/>
    </row>
    <row r="527" spans="1:2" ht="15.75" customHeight="1">
      <c r="A527" s="23"/>
      <c r="B527" s="35"/>
    </row>
    <row r="528" spans="1:2" ht="15.75" customHeight="1">
      <c r="A528" s="23"/>
      <c r="B528" s="35"/>
    </row>
    <row r="529" spans="1:2" ht="15.75" customHeight="1">
      <c r="A529" s="23"/>
      <c r="B529" s="35"/>
    </row>
    <row r="530" spans="1:2" ht="15.75" customHeight="1">
      <c r="A530" s="23"/>
      <c r="B530" s="35"/>
    </row>
    <row r="531" spans="1:2" ht="15.75" customHeight="1">
      <c r="A531" s="23"/>
      <c r="B531" s="35"/>
    </row>
    <row r="532" spans="1:2" ht="15.75" customHeight="1">
      <c r="A532" s="23"/>
      <c r="B532" s="35"/>
    </row>
    <row r="533" spans="1:2" ht="15.75" customHeight="1">
      <c r="A533" s="23"/>
      <c r="B533" s="35"/>
    </row>
    <row r="534" spans="1:2" ht="15.75" customHeight="1">
      <c r="A534" s="23"/>
      <c r="B534" s="35"/>
    </row>
    <row r="535" spans="1:2" ht="15.75" customHeight="1">
      <c r="A535" s="23"/>
      <c r="B535" s="35"/>
    </row>
    <row r="536" spans="1:2" ht="15.75" customHeight="1">
      <c r="A536" s="23"/>
      <c r="B536" s="35"/>
    </row>
    <row r="537" spans="1:2" ht="15.75" customHeight="1">
      <c r="A537" s="23"/>
      <c r="B537" s="35"/>
    </row>
    <row r="538" spans="1:2" ht="15.75" customHeight="1">
      <c r="A538" s="23"/>
      <c r="B538" s="35"/>
    </row>
    <row r="539" spans="1:2" ht="15.75" customHeight="1">
      <c r="A539" s="23"/>
      <c r="B539" s="35"/>
    </row>
    <row r="540" spans="1:2" ht="15.75" customHeight="1">
      <c r="A540" s="23"/>
      <c r="B540" s="35"/>
    </row>
    <row r="541" spans="1:2" ht="15.75" customHeight="1">
      <c r="A541" s="23"/>
      <c r="B541" s="35"/>
    </row>
    <row r="542" spans="1:2" ht="15.75" customHeight="1">
      <c r="A542" s="23"/>
      <c r="B542" s="35"/>
    </row>
    <row r="543" spans="1:2" ht="15.75" customHeight="1">
      <c r="A543" s="23"/>
      <c r="B543" s="35"/>
    </row>
    <row r="544" spans="1:2" ht="15.75" customHeight="1">
      <c r="A544" s="23"/>
      <c r="B544" s="35"/>
    </row>
    <row r="545" spans="1:2" ht="15.75" customHeight="1">
      <c r="A545" s="23"/>
      <c r="B545" s="35"/>
    </row>
    <row r="546" spans="1:2" ht="15.75" customHeight="1">
      <c r="A546" s="23"/>
    </row>
    <row r="547" spans="1:2" ht="15.75" customHeight="1">
      <c r="A547" s="23"/>
    </row>
    <row r="548" spans="1:2" ht="15.75" customHeight="1">
      <c r="A548" s="23"/>
    </row>
    <row r="549" spans="1:2" ht="15.75" customHeight="1">
      <c r="A549" s="23"/>
    </row>
    <row r="550" spans="1:2" ht="15.75" customHeight="1">
      <c r="A550" s="23"/>
    </row>
    <row r="551" spans="1:2" ht="15.75" customHeight="1">
      <c r="A551" s="23"/>
    </row>
    <row r="552" spans="1:2" ht="15.75" customHeight="1">
      <c r="A552" s="23"/>
    </row>
    <row r="553" spans="1:2" ht="15.75" customHeight="1">
      <c r="A553" s="23"/>
    </row>
    <row r="554" spans="1:2" ht="15.75" customHeight="1">
      <c r="A554" s="23"/>
    </row>
    <row r="555" spans="1:2" ht="15.75" customHeight="1">
      <c r="A555" s="23"/>
    </row>
    <row r="556" spans="1:2" ht="15.75" customHeight="1">
      <c r="A556" s="23"/>
    </row>
    <row r="557" spans="1:2" ht="15.75" customHeight="1">
      <c r="A557" s="23"/>
    </row>
    <row r="558" spans="1:2" ht="15.75" customHeight="1">
      <c r="A558" s="23"/>
    </row>
    <row r="559" spans="1:2" ht="15.75" customHeight="1">
      <c r="A559" s="23"/>
    </row>
    <row r="560" spans="1:2" ht="15.75" customHeight="1">
      <c r="A560" s="23"/>
    </row>
    <row r="561" spans="1:1" ht="15.75" customHeight="1">
      <c r="A561" s="23"/>
    </row>
    <row r="562" spans="1:1" ht="15.75" customHeight="1">
      <c r="A562" s="23"/>
    </row>
    <row r="563" spans="1:1" ht="15.75" customHeight="1">
      <c r="A563" s="23"/>
    </row>
    <row r="564" spans="1:1" ht="15.75" customHeight="1">
      <c r="A564" s="23"/>
    </row>
    <row r="565" spans="1:1" ht="15.75" customHeight="1">
      <c r="A565" s="23"/>
    </row>
    <row r="566" spans="1:1" ht="15.75" customHeight="1">
      <c r="A566" s="23"/>
    </row>
    <row r="567" spans="1:1" ht="15.75" customHeight="1">
      <c r="A567" s="23"/>
    </row>
    <row r="568" spans="1:1" ht="15.75" customHeight="1">
      <c r="A568" s="23"/>
    </row>
    <row r="569" spans="1:1" ht="15.75" customHeight="1">
      <c r="A569" s="23"/>
    </row>
    <row r="570" spans="1:1" ht="15.75" customHeight="1">
      <c r="A570" s="23"/>
    </row>
    <row r="571" spans="1:1" ht="15.75" customHeight="1">
      <c r="A571" s="23"/>
    </row>
    <row r="572" spans="1:1" ht="15.75" customHeight="1">
      <c r="A572" s="23"/>
    </row>
    <row r="573" spans="1:1" ht="15.75" customHeight="1">
      <c r="A573" s="23"/>
    </row>
    <row r="574" spans="1:1" ht="15.75" customHeight="1">
      <c r="A574" s="23"/>
    </row>
    <row r="575" spans="1:1" ht="15.75" customHeight="1">
      <c r="A575" s="23"/>
    </row>
    <row r="576" spans="1:1" ht="15.75" customHeight="1">
      <c r="A576" s="23"/>
    </row>
    <row r="577" spans="1:1" ht="15.75" customHeight="1">
      <c r="A577" s="23"/>
    </row>
    <row r="578" spans="1:1" ht="15.75" customHeight="1">
      <c r="A578" s="23"/>
    </row>
    <row r="579" spans="1:1" ht="15.75" customHeight="1">
      <c r="A579" s="23"/>
    </row>
    <row r="580" spans="1:1" ht="15.75" customHeight="1">
      <c r="A580" s="23"/>
    </row>
    <row r="581" spans="1:1" ht="15.75" customHeight="1">
      <c r="A581" s="23"/>
    </row>
    <row r="582" spans="1:1" ht="15.75" customHeight="1">
      <c r="A582" s="23"/>
    </row>
    <row r="583" spans="1:1" ht="15.75" customHeight="1">
      <c r="A583" s="23"/>
    </row>
    <row r="584" spans="1:1" ht="15.75" customHeight="1">
      <c r="A584" s="23"/>
    </row>
    <row r="585" spans="1:1" ht="15.75" customHeight="1">
      <c r="A585" s="23"/>
    </row>
    <row r="586" spans="1:1" ht="15.75" customHeight="1">
      <c r="A586" s="23"/>
    </row>
    <row r="587" spans="1:1" ht="15.75" customHeight="1">
      <c r="A587" s="23"/>
    </row>
    <row r="588" spans="1:1" ht="15.75" customHeight="1">
      <c r="A588" s="23"/>
    </row>
    <row r="589" spans="1:1" ht="15.75" customHeight="1">
      <c r="A589" s="23"/>
    </row>
    <row r="590" spans="1:1" ht="15.75" customHeight="1">
      <c r="A590" s="23"/>
    </row>
    <row r="591" spans="1:1" ht="15.75" customHeight="1">
      <c r="A591" s="23"/>
    </row>
    <row r="592" spans="1:1" ht="15.75" customHeight="1">
      <c r="A592" s="23"/>
    </row>
    <row r="593" spans="1:1" ht="15.75" customHeight="1">
      <c r="A593" s="23"/>
    </row>
    <row r="594" spans="1:1" ht="15.75" customHeight="1">
      <c r="A594" s="23"/>
    </row>
    <row r="595" spans="1:1" ht="15.75" customHeight="1">
      <c r="A595" s="23"/>
    </row>
    <row r="596" spans="1:1" ht="15.75" customHeight="1">
      <c r="A596" s="23"/>
    </row>
    <row r="597" spans="1:1" ht="15.75" customHeight="1">
      <c r="A597" s="23"/>
    </row>
    <row r="598" spans="1:1" ht="15.75" customHeight="1">
      <c r="A598" s="23"/>
    </row>
    <row r="599" spans="1:1" ht="15.75" customHeight="1">
      <c r="A599" s="23"/>
    </row>
    <row r="600" spans="1:1" ht="15.75" customHeight="1">
      <c r="A600" s="23"/>
    </row>
    <row r="601" spans="1:1" ht="15.75" customHeight="1">
      <c r="A601" s="23"/>
    </row>
    <row r="602" spans="1:1" ht="15.75" customHeight="1">
      <c r="A602" s="23"/>
    </row>
    <row r="603" spans="1:1" ht="15.75" customHeight="1">
      <c r="A603" s="23"/>
    </row>
    <row r="604" spans="1:1" ht="15.75" customHeight="1">
      <c r="A604" s="23"/>
    </row>
    <row r="605" spans="1:1" ht="15.75" customHeight="1">
      <c r="A605" s="23"/>
    </row>
    <row r="606" spans="1:1" ht="15.75" customHeight="1">
      <c r="A606" s="23"/>
    </row>
    <row r="607" spans="1:1" ht="15.75" customHeight="1">
      <c r="A607" s="23"/>
    </row>
    <row r="608" spans="1:1" ht="15.75" customHeight="1">
      <c r="A608" s="23"/>
    </row>
    <row r="609" spans="1:1" ht="15.75" customHeight="1">
      <c r="A609" s="23"/>
    </row>
    <row r="610" spans="1:1" ht="15.75" customHeight="1">
      <c r="A610" s="23"/>
    </row>
    <row r="611" spans="1:1" ht="15.75" customHeight="1">
      <c r="A611" s="23"/>
    </row>
    <row r="612" spans="1:1" ht="15.75" customHeight="1">
      <c r="A612" s="23"/>
    </row>
    <row r="613" spans="1:1" ht="15.75" customHeight="1">
      <c r="A613" s="23"/>
    </row>
    <row r="614" spans="1:1" ht="15.75" customHeight="1">
      <c r="A614" s="23"/>
    </row>
    <row r="615" spans="1:1" ht="15.75" customHeight="1">
      <c r="A615" s="23"/>
    </row>
    <row r="616" spans="1:1" ht="15.75" customHeight="1">
      <c r="A616" s="23"/>
    </row>
    <row r="617" spans="1:1" ht="15.75" customHeight="1">
      <c r="A617" s="23"/>
    </row>
    <row r="618" spans="1:1" ht="15.75" customHeight="1">
      <c r="A618" s="23"/>
    </row>
    <row r="619" spans="1:1" ht="15.75" customHeight="1">
      <c r="A619" s="23"/>
    </row>
    <row r="620" spans="1:1" ht="15.75" customHeight="1">
      <c r="A620" s="23"/>
    </row>
    <row r="621" spans="1:1" ht="15.75" customHeight="1">
      <c r="A621" s="23"/>
    </row>
    <row r="622" spans="1:1" ht="15.75" customHeight="1">
      <c r="A622" s="23"/>
    </row>
    <row r="623" spans="1:1" ht="15.75" customHeight="1">
      <c r="A623" s="23"/>
    </row>
    <row r="624" spans="1:1" ht="15.75" customHeight="1">
      <c r="A624" s="23"/>
    </row>
    <row r="625" spans="1:1" ht="15.75" customHeight="1">
      <c r="A625" s="23"/>
    </row>
    <row r="626" spans="1:1" ht="15.75" customHeight="1">
      <c r="A626" s="23"/>
    </row>
    <row r="627" spans="1:1" ht="15.75" customHeight="1">
      <c r="A627" s="23"/>
    </row>
    <row r="628" spans="1:1" ht="15.75" customHeight="1">
      <c r="A628" s="23"/>
    </row>
    <row r="629" spans="1:1" ht="15.75" customHeight="1">
      <c r="A629" s="23"/>
    </row>
    <row r="630" spans="1:1" ht="15.75" customHeight="1">
      <c r="A630" s="23"/>
    </row>
    <row r="631" spans="1:1" ht="15.75" customHeight="1">
      <c r="A631" s="23"/>
    </row>
    <row r="632" spans="1:1" ht="15.75" customHeight="1">
      <c r="A632" s="23"/>
    </row>
    <row r="633" spans="1:1" ht="15.75" customHeight="1">
      <c r="A633" s="23"/>
    </row>
    <row r="634" spans="1:1" ht="15.75" customHeight="1">
      <c r="A634" s="23"/>
    </row>
    <row r="635" spans="1:1" ht="15.75" customHeight="1">
      <c r="A635" s="23"/>
    </row>
    <row r="636" spans="1:1" ht="15.75" customHeight="1">
      <c r="A636" s="23"/>
    </row>
    <row r="637" spans="1:1" ht="15.75" customHeight="1">
      <c r="A637" s="23"/>
    </row>
    <row r="638" spans="1:1" ht="15.75" customHeight="1">
      <c r="A638" s="23"/>
    </row>
    <row r="639" spans="1:1" ht="15.75" customHeight="1">
      <c r="A639" s="23"/>
    </row>
    <row r="640" spans="1:1" ht="15.75" customHeight="1">
      <c r="A640" s="23"/>
    </row>
    <row r="641" spans="1:1" ht="15.75" customHeight="1">
      <c r="A641" s="23"/>
    </row>
    <row r="642" spans="1:1" ht="15.75" customHeight="1">
      <c r="A642" s="23"/>
    </row>
    <row r="643" spans="1:1" ht="15.75" customHeight="1">
      <c r="A643" s="23"/>
    </row>
    <row r="644" spans="1:1" ht="15.75" customHeight="1">
      <c r="A644" s="23"/>
    </row>
    <row r="645" spans="1:1" ht="15.75" customHeight="1">
      <c r="A645" s="23"/>
    </row>
    <row r="646" spans="1:1" ht="15.75" customHeight="1">
      <c r="A646" s="23"/>
    </row>
    <row r="647" spans="1:1" ht="15.75" customHeight="1">
      <c r="A647" s="23"/>
    </row>
    <row r="648" spans="1:1" ht="15.75" customHeight="1">
      <c r="A648" s="23"/>
    </row>
    <row r="649" spans="1:1" ht="15.75" customHeight="1">
      <c r="A649" s="23"/>
    </row>
    <row r="650" spans="1:1" ht="15.75" customHeight="1">
      <c r="A650" s="23"/>
    </row>
    <row r="651" spans="1:1" ht="15.75" customHeight="1">
      <c r="A651" s="23"/>
    </row>
    <row r="652" spans="1:1" ht="15.75" customHeight="1">
      <c r="A652" s="23"/>
    </row>
    <row r="653" spans="1:1" ht="15.75" customHeight="1">
      <c r="A653" s="23"/>
    </row>
    <row r="654" spans="1:1" ht="15.75" customHeight="1">
      <c r="A654" s="23"/>
    </row>
    <row r="655" spans="1:1" ht="15.75" customHeight="1">
      <c r="A655" s="23"/>
    </row>
    <row r="656" spans="1:1" ht="15.75" customHeight="1">
      <c r="A656" s="23"/>
    </row>
    <row r="657" spans="1:1" ht="15.75" customHeight="1">
      <c r="A657" s="23"/>
    </row>
    <row r="658" spans="1:1" ht="15.75" customHeight="1">
      <c r="A658" s="23"/>
    </row>
    <row r="659" spans="1:1" ht="15.75" customHeight="1">
      <c r="A659" s="23"/>
    </row>
    <row r="660" spans="1:1" ht="15.75" customHeight="1">
      <c r="A660" s="23"/>
    </row>
    <row r="661" spans="1:1" ht="15.75" customHeight="1">
      <c r="A661" s="23"/>
    </row>
    <row r="662" spans="1:1" ht="15.75" customHeight="1">
      <c r="A662" s="23"/>
    </row>
    <row r="663" spans="1:1" ht="15.75" customHeight="1">
      <c r="A663" s="23"/>
    </row>
    <row r="664" spans="1:1" ht="15.75" customHeight="1">
      <c r="A664" s="23"/>
    </row>
    <row r="665" spans="1:1" ht="15.75" customHeight="1">
      <c r="A665" s="23"/>
    </row>
    <row r="666" spans="1:1" ht="15.75" customHeight="1">
      <c r="A666" s="23"/>
    </row>
    <row r="667" spans="1:1" ht="15.75" customHeight="1">
      <c r="A667" s="23"/>
    </row>
    <row r="668" spans="1:1" ht="15.75" customHeight="1">
      <c r="A668" s="23"/>
    </row>
    <row r="669" spans="1:1" ht="15.75" customHeight="1">
      <c r="A669" s="23"/>
    </row>
    <row r="670" spans="1:1" ht="15.75" customHeight="1">
      <c r="A670" s="23"/>
    </row>
    <row r="671" spans="1:1" ht="15.75" customHeight="1">
      <c r="A671" s="23"/>
    </row>
    <row r="672" spans="1:1" ht="15.75" customHeight="1">
      <c r="A672" s="23"/>
    </row>
    <row r="673" spans="1:1" ht="15.75" customHeight="1">
      <c r="A673" s="23"/>
    </row>
    <row r="674" spans="1:1" ht="15.75" customHeight="1">
      <c r="A674" s="23"/>
    </row>
    <row r="675" spans="1:1" ht="15.75" customHeight="1">
      <c r="A675" s="23"/>
    </row>
    <row r="676" spans="1:1" ht="15.75" customHeight="1">
      <c r="A676" s="23"/>
    </row>
    <row r="677" spans="1:1" ht="15.75" customHeight="1">
      <c r="A677" s="23"/>
    </row>
    <row r="678" spans="1:1" ht="15.75" customHeight="1">
      <c r="A678" s="23"/>
    </row>
    <row r="679" spans="1:1" ht="15.75" customHeight="1">
      <c r="A679" s="23"/>
    </row>
    <row r="680" spans="1:1" ht="15.75" customHeight="1">
      <c r="A680" s="23"/>
    </row>
    <row r="681" spans="1:1" ht="15.75" customHeight="1">
      <c r="A681" s="23"/>
    </row>
    <row r="682" spans="1:1" ht="15.75" customHeight="1">
      <c r="A682" s="23"/>
    </row>
    <row r="683" spans="1:1" ht="15.75" customHeight="1">
      <c r="A683" s="23"/>
    </row>
    <row r="684" spans="1:1" ht="15.75" customHeight="1">
      <c r="A684" s="23"/>
    </row>
    <row r="685" spans="1:1" ht="15.75" customHeight="1">
      <c r="A685" s="23"/>
    </row>
    <row r="686" spans="1:1" ht="15.75" customHeight="1">
      <c r="A686" s="23"/>
    </row>
    <row r="687" spans="1:1" ht="15.75" customHeight="1">
      <c r="A687" s="23"/>
    </row>
    <row r="688" spans="1:1" ht="15.75" customHeight="1">
      <c r="A688" s="23"/>
    </row>
    <row r="689" spans="1:1" ht="15.75" customHeight="1">
      <c r="A689" s="23"/>
    </row>
    <row r="690" spans="1:1" ht="15.75" customHeight="1">
      <c r="A690" s="23"/>
    </row>
    <row r="691" spans="1:1" ht="15.75" customHeight="1">
      <c r="A691" s="23"/>
    </row>
    <row r="692" spans="1:1" ht="15.75" customHeight="1">
      <c r="A692" s="23"/>
    </row>
    <row r="693" spans="1:1" ht="15.75" customHeight="1">
      <c r="A693" s="23"/>
    </row>
    <row r="694" spans="1:1" ht="15.75" customHeight="1">
      <c r="A694" s="23"/>
    </row>
    <row r="695" spans="1:1" ht="15.75" customHeight="1">
      <c r="A695" s="23"/>
    </row>
    <row r="696" spans="1:1" ht="15.75" customHeight="1">
      <c r="A696" s="23"/>
    </row>
    <row r="697" spans="1:1" ht="15.75" customHeight="1">
      <c r="A697" s="23"/>
    </row>
    <row r="698" spans="1:1" ht="15.75" customHeight="1">
      <c r="A698" s="23"/>
    </row>
    <row r="699" spans="1:1" ht="15.75" customHeight="1">
      <c r="A699" s="23"/>
    </row>
    <row r="700" spans="1:1" ht="15.75" customHeight="1">
      <c r="A700" s="23"/>
    </row>
    <row r="701" spans="1:1" ht="15.75" customHeight="1">
      <c r="A701" s="23"/>
    </row>
    <row r="702" spans="1:1" ht="15.75" customHeight="1">
      <c r="A702" s="23"/>
    </row>
    <row r="703" spans="1:1" ht="15.75" customHeight="1">
      <c r="A703" s="23"/>
    </row>
    <row r="704" spans="1:1" ht="15.75" customHeight="1">
      <c r="A704" s="23"/>
    </row>
    <row r="705" spans="1:1" ht="15.75" customHeight="1">
      <c r="A705" s="23"/>
    </row>
    <row r="706" spans="1:1" ht="15.75" customHeight="1">
      <c r="A706" s="23"/>
    </row>
    <row r="707" spans="1:1" ht="15.75" customHeight="1">
      <c r="A707" s="23"/>
    </row>
    <row r="708" spans="1:1" ht="15.75" customHeight="1">
      <c r="A708" s="23"/>
    </row>
    <row r="709" spans="1:1" ht="15.75" customHeight="1">
      <c r="A709" s="23"/>
    </row>
    <row r="710" spans="1:1" ht="15.75" customHeight="1">
      <c r="A710" s="23"/>
    </row>
    <row r="711" spans="1:1" ht="15.75" customHeight="1">
      <c r="A711" s="23"/>
    </row>
    <row r="712" spans="1:1" ht="15.75" customHeight="1">
      <c r="A712" s="23"/>
    </row>
    <row r="713" spans="1:1" ht="15.75" customHeight="1">
      <c r="A713" s="23"/>
    </row>
    <row r="714" spans="1:1" ht="15.75" customHeight="1">
      <c r="A714" s="23"/>
    </row>
    <row r="715" spans="1:1" ht="15.75" customHeight="1">
      <c r="A715" s="23"/>
    </row>
    <row r="716" spans="1:1" ht="15.75" customHeight="1">
      <c r="A716" s="23"/>
    </row>
    <row r="717" spans="1:1" ht="15.75" customHeight="1">
      <c r="A717" s="23"/>
    </row>
    <row r="718" spans="1:1" ht="15.75" customHeight="1">
      <c r="A718" s="23"/>
    </row>
    <row r="719" spans="1:1" ht="15.75" customHeight="1">
      <c r="A719" s="23"/>
    </row>
    <row r="720" spans="1:1" ht="15.75" customHeight="1">
      <c r="A720" s="23"/>
    </row>
    <row r="721" spans="1:1" ht="15.75" customHeight="1">
      <c r="A721" s="23"/>
    </row>
    <row r="722" spans="1:1" ht="15.75" customHeight="1">
      <c r="A722" s="23"/>
    </row>
    <row r="723" spans="1:1" ht="15.75" customHeight="1">
      <c r="A723" s="23"/>
    </row>
    <row r="724" spans="1:1" ht="15.75" customHeight="1">
      <c r="A724" s="23"/>
    </row>
    <row r="725" spans="1:1" ht="15.75" customHeight="1">
      <c r="A725" s="23"/>
    </row>
    <row r="726" spans="1:1" ht="15.75" customHeight="1">
      <c r="A726" s="23"/>
    </row>
    <row r="727" spans="1:1" ht="15.75" customHeight="1">
      <c r="A727" s="23"/>
    </row>
    <row r="728" spans="1:1" ht="15.75" customHeight="1">
      <c r="A728" s="23"/>
    </row>
    <row r="729" spans="1:1" ht="15.75" customHeight="1">
      <c r="A729" s="23"/>
    </row>
    <row r="730" spans="1:1" ht="15.75" customHeight="1">
      <c r="A730" s="23"/>
    </row>
    <row r="731" spans="1:1" ht="15.75" customHeight="1">
      <c r="A731" s="23"/>
    </row>
    <row r="732" spans="1:1" ht="15.75" customHeight="1">
      <c r="A732" s="23"/>
    </row>
    <row r="733" spans="1:1" ht="15.75" customHeight="1">
      <c r="A733" s="23"/>
    </row>
    <row r="734" spans="1:1" ht="15.75" customHeight="1">
      <c r="A734" s="23"/>
    </row>
    <row r="735" spans="1:1" ht="15.75" customHeight="1">
      <c r="A735" s="23"/>
    </row>
    <row r="736" spans="1:1" ht="15.75" customHeight="1">
      <c r="A736" s="23"/>
    </row>
    <row r="737" spans="1:1" ht="15.75" customHeight="1">
      <c r="A737" s="23"/>
    </row>
    <row r="738" spans="1:1" ht="15.75" customHeight="1">
      <c r="A738" s="23"/>
    </row>
    <row r="739" spans="1:1" ht="15.75" customHeight="1">
      <c r="A739" s="23"/>
    </row>
    <row r="740" spans="1:1" ht="15.75" customHeight="1">
      <c r="A740" s="23"/>
    </row>
    <row r="741" spans="1:1" ht="15.75" customHeight="1">
      <c r="A741" s="23"/>
    </row>
    <row r="742" spans="1:1" ht="15.75" customHeight="1">
      <c r="A742" s="23"/>
    </row>
    <row r="743" spans="1:1" ht="15.75" customHeight="1">
      <c r="A743" s="23"/>
    </row>
    <row r="744" spans="1:1" ht="15.75" customHeight="1">
      <c r="A744" s="23"/>
    </row>
    <row r="745" spans="1:1" ht="15.75" customHeight="1">
      <c r="A745" s="23"/>
    </row>
    <row r="746" spans="1:1" ht="15.75" customHeight="1">
      <c r="A746" s="23"/>
    </row>
    <row r="747" spans="1:1" ht="15.75" customHeight="1">
      <c r="A747" s="23"/>
    </row>
    <row r="748" spans="1:1" ht="15.75" customHeight="1">
      <c r="A748" s="23"/>
    </row>
    <row r="749" spans="1:1" ht="15.75" customHeight="1">
      <c r="A749" s="23"/>
    </row>
    <row r="750" spans="1:1" ht="15.75" customHeight="1">
      <c r="A750" s="23"/>
    </row>
    <row r="751" spans="1:1" ht="15.75" customHeight="1">
      <c r="A751" s="23"/>
    </row>
    <row r="752" spans="1:1" ht="15.75" customHeight="1">
      <c r="A752" s="23"/>
    </row>
    <row r="753" spans="1:1" ht="15.75" customHeight="1">
      <c r="A753" s="23"/>
    </row>
    <row r="754" spans="1:1" ht="15.75" customHeight="1">
      <c r="A754" s="23"/>
    </row>
    <row r="755" spans="1:1" ht="15.75" customHeight="1">
      <c r="A755" s="23"/>
    </row>
    <row r="756" spans="1:1" ht="15.75" customHeight="1">
      <c r="A756" s="23"/>
    </row>
    <row r="757" spans="1:1" ht="15.75" customHeight="1">
      <c r="A757" s="23"/>
    </row>
    <row r="758" spans="1:1" ht="15.75" customHeight="1">
      <c r="A758" s="23"/>
    </row>
    <row r="759" spans="1:1" ht="15.75" customHeight="1">
      <c r="A759" s="23"/>
    </row>
    <row r="760" spans="1:1" ht="15.75" customHeight="1">
      <c r="A760" s="23"/>
    </row>
    <row r="761" spans="1:1" ht="15.75" customHeight="1">
      <c r="A761" s="23"/>
    </row>
    <row r="762" spans="1:1" ht="15.75" customHeight="1">
      <c r="A762" s="23"/>
    </row>
    <row r="763" spans="1:1" ht="15.75" customHeight="1">
      <c r="A763" s="23"/>
    </row>
    <row r="764" spans="1:1" ht="15.75" customHeight="1">
      <c r="A764" s="23"/>
    </row>
    <row r="765" spans="1:1" ht="15.75" customHeight="1">
      <c r="A765" s="23"/>
    </row>
    <row r="766" spans="1:1" ht="15.75" customHeight="1">
      <c r="A766" s="23"/>
    </row>
    <row r="767" spans="1:1" ht="15.75" customHeight="1">
      <c r="A767" s="23"/>
    </row>
    <row r="768" spans="1:1" ht="15.75" customHeight="1">
      <c r="A768" s="23"/>
    </row>
    <row r="769" spans="1:1" ht="15.75" customHeight="1">
      <c r="A769" s="23"/>
    </row>
    <row r="770" spans="1:1" ht="15.75" customHeight="1">
      <c r="A770" s="23"/>
    </row>
    <row r="771" spans="1:1" ht="15.75" customHeight="1">
      <c r="A771" s="23"/>
    </row>
    <row r="772" spans="1:1" ht="15.75" customHeight="1">
      <c r="A772" s="23"/>
    </row>
    <row r="773" spans="1:1" ht="15.75" customHeight="1">
      <c r="A773" s="23"/>
    </row>
    <row r="774" spans="1:1" ht="15.75" customHeight="1">
      <c r="A774" s="23"/>
    </row>
    <row r="775" spans="1:1" ht="15.75" customHeight="1">
      <c r="A775" s="23"/>
    </row>
    <row r="776" spans="1:1" ht="15.75" customHeight="1">
      <c r="A776" s="23"/>
    </row>
    <row r="777" spans="1:1" ht="15.75" customHeight="1">
      <c r="A777" s="23"/>
    </row>
    <row r="778" spans="1:1" ht="15.75" customHeight="1">
      <c r="A778" s="23"/>
    </row>
    <row r="779" spans="1:1" ht="15.75" customHeight="1">
      <c r="A779" s="23"/>
    </row>
    <row r="780" spans="1:1" ht="15.75" customHeight="1">
      <c r="A780" s="23"/>
    </row>
    <row r="781" spans="1:1" ht="15.75" customHeight="1">
      <c r="A781" s="23"/>
    </row>
    <row r="782" spans="1:1" ht="15.75" customHeight="1">
      <c r="A782" s="23"/>
    </row>
    <row r="783" spans="1:1" ht="15.75" customHeight="1">
      <c r="A783" s="23"/>
    </row>
    <row r="784" spans="1:1" ht="15.75" customHeight="1">
      <c r="A784" s="23"/>
    </row>
    <row r="785" spans="1:1" ht="15.75" customHeight="1">
      <c r="A785" s="23"/>
    </row>
    <row r="786" spans="1:1" ht="15.75" customHeight="1">
      <c r="A786" s="23"/>
    </row>
    <row r="787" spans="1:1" ht="15.75" customHeight="1">
      <c r="A787" s="23"/>
    </row>
    <row r="788" spans="1:1" ht="15.75" customHeight="1">
      <c r="A788" s="23"/>
    </row>
    <row r="789" spans="1:1" ht="15.75" customHeight="1">
      <c r="A789" s="23"/>
    </row>
    <row r="790" spans="1:1" ht="15.75" customHeight="1">
      <c r="A790" s="23"/>
    </row>
    <row r="791" spans="1:1" ht="15.75" customHeight="1">
      <c r="A791" s="23"/>
    </row>
    <row r="792" spans="1:1" ht="15.75" customHeight="1">
      <c r="A792" s="23"/>
    </row>
    <row r="793" spans="1:1" ht="15.75" customHeight="1">
      <c r="A793" s="23"/>
    </row>
    <row r="794" spans="1:1" ht="15.75" customHeight="1">
      <c r="A794" s="23"/>
    </row>
    <row r="795" spans="1:1" ht="15.75" customHeight="1">
      <c r="A795" s="23"/>
    </row>
    <row r="796" spans="1:1" ht="15.75" customHeight="1">
      <c r="A796" s="23"/>
    </row>
    <row r="797" spans="1:1" ht="15.75" customHeight="1">
      <c r="A797" s="23"/>
    </row>
    <row r="798" spans="1:1" ht="15.75" customHeight="1">
      <c r="A798" s="23"/>
    </row>
    <row r="799" spans="1:1" ht="15.75" customHeight="1">
      <c r="A799" s="23"/>
    </row>
    <row r="800" spans="1:1" ht="15.75" customHeight="1">
      <c r="A800" s="23"/>
    </row>
    <row r="801" spans="1:1" ht="15.75" customHeight="1">
      <c r="A801" s="23"/>
    </row>
    <row r="802" spans="1:1" ht="15.75" customHeight="1">
      <c r="A802" s="23"/>
    </row>
    <row r="803" spans="1:1" ht="15.75" customHeight="1">
      <c r="A803" s="23"/>
    </row>
    <row r="804" spans="1:1" ht="15.75" customHeight="1">
      <c r="A804" s="23"/>
    </row>
    <row r="805" spans="1:1" ht="15.75" customHeight="1">
      <c r="A805" s="23"/>
    </row>
    <row r="806" spans="1:1" ht="15.75" customHeight="1">
      <c r="A806" s="23"/>
    </row>
    <row r="807" spans="1:1" ht="15.75" customHeight="1">
      <c r="A807" s="23"/>
    </row>
    <row r="808" spans="1:1" ht="15.75" customHeight="1">
      <c r="A808" s="23"/>
    </row>
    <row r="809" spans="1:1" ht="15.75" customHeight="1">
      <c r="A809" s="23"/>
    </row>
    <row r="810" spans="1:1" ht="15.75" customHeight="1">
      <c r="A810" s="23"/>
    </row>
    <row r="811" spans="1:1" ht="15.75" customHeight="1">
      <c r="A811" s="23"/>
    </row>
    <row r="812" spans="1:1" ht="15.75" customHeight="1">
      <c r="A812" s="23"/>
    </row>
    <row r="813" spans="1:1" ht="15.75" customHeight="1">
      <c r="A813" s="23"/>
    </row>
    <row r="814" spans="1:1" ht="15.75" customHeight="1">
      <c r="A814" s="23"/>
    </row>
    <row r="815" spans="1:1" ht="15.75" customHeight="1">
      <c r="A815" s="23"/>
    </row>
    <row r="816" spans="1:1" ht="15.75" customHeight="1">
      <c r="A816" s="23"/>
    </row>
    <row r="817" spans="1:1" ht="15.75" customHeight="1">
      <c r="A817" s="23"/>
    </row>
    <row r="818" spans="1:1" ht="15.75" customHeight="1">
      <c r="A818" s="23"/>
    </row>
    <row r="819" spans="1:1" ht="15.75" customHeight="1">
      <c r="A819" s="23"/>
    </row>
    <row r="820" spans="1:1" ht="15.75" customHeight="1">
      <c r="A820" s="23"/>
    </row>
    <row r="821" spans="1:1" ht="15.75" customHeight="1">
      <c r="A821" s="23"/>
    </row>
    <row r="822" spans="1:1" ht="15.75" customHeight="1">
      <c r="A822" s="23"/>
    </row>
    <row r="823" spans="1:1" ht="15.75" customHeight="1">
      <c r="A823" s="23"/>
    </row>
    <row r="824" spans="1:1" ht="15.75" customHeight="1">
      <c r="A824" s="23"/>
    </row>
    <row r="825" spans="1:1" ht="15.75" customHeight="1">
      <c r="A825" s="23"/>
    </row>
    <row r="826" spans="1:1" ht="15.75" customHeight="1">
      <c r="A826" s="23"/>
    </row>
    <row r="827" spans="1:1" ht="15.75" customHeight="1">
      <c r="A827" s="23"/>
    </row>
    <row r="828" spans="1:1" ht="15.75" customHeight="1">
      <c r="A828" s="23"/>
    </row>
    <row r="829" spans="1:1" ht="15.75" customHeight="1">
      <c r="A829" s="23"/>
    </row>
    <row r="830" spans="1:1" ht="15.75" customHeight="1">
      <c r="A830" s="23"/>
    </row>
    <row r="831" spans="1:1" ht="15.75" customHeight="1">
      <c r="A831" s="23"/>
    </row>
    <row r="832" spans="1:1" ht="15.75" customHeight="1">
      <c r="A832" s="23"/>
    </row>
    <row r="833" spans="1:1" ht="15.75" customHeight="1">
      <c r="A833" s="23"/>
    </row>
    <row r="834" spans="1:1" ht="15.75" customHeight="1">
      <c r="A834" s="23"/>
    </row>
    <row r="835" spans="1:1" ht="15.75" customHeight="1">
      <c r="A835" s="23"/>
    </row>
    <row r="836" spans="1:1" ht="15.75" customHeight="1">
      <c r="A836" s="23"/>
    </row>
    <row r="837" spans="1:1" ht="15.75" customHeight="1">
      <c r="A837" s="23"/>
    </row>
    <row r="838" spans="1:1" ht="15.75" customHeight="1">
      <c r="A838" s="23"/>
    </row>
    <row r="839" spans="1:1" ht="15.75" customHeight="1">
      <c r="A839" s="23"/>
    </row>
    <row r="840" spans="1:1" ht="15.75" customHeight="1">
      <c r="A840" s="23"/>
    </row>
    <row r="841" spans="1:1" ht="15.75" customHeight="1">
      <c r="A841" s="23"/>
    </row>
    <row r="842" spans="1:1" ht="15.75" customHeight="1">
      <c r="A842" s="23"/>
    </row>
    <row r="843" spans="1:1" ht="15.75" customHeight="1">
      <c r="A843" s="23"/>
    </row>
    <row r="844" spans="1:1" ht="15.75" customHeight="1">
      <c r="A844" s="23"/>
    </row>
    <row r="845" spans="1:1" ht="15.75" customHeight="1">
      <c r="A845" s="23"/>
    </row>
    <row r="846" spans="1:1" ht="15.75" customHeight="1">
      <c r="A846" s="23"/>
    </row>
    <row r="847" spans="1:1" ht="15.75" customHeight="1">
      <c r="A847" s="23"/>
    </row>
    <row r="848" spans="1:1" ht="15.75" customHeight="1">
      <c r="A848" s="23"/>
    </row>
    <row r="849" spans="1:1" ht="15.75" customHeight="1">
      <c r="A849" s="23"/>
    </row>
    <row r="850" spans="1:1" ht="15.75" customHeight="1">
      <c r="A850" s="23"/>
    </row>
    <row r="851" spans="1:1" ht="15.75" customHeight="1">
      <c r="A851" s="23"/>
    </row>
    <row r="852" spans="1:1" ht="15.75" customHeight="1">
      <c r="A852" s="23"/>
    </row>
    <row r="853" spans="1:1" ht="15.75" customHeight="1">
      <c r="A853" s="23"/>
    </row>
    <row r="854" spans="1:1" ht="15.75" customHeight="1">
      <c r="A854" s="23"/>
    </row>
    <row r="855" spans="1:1" ht="15.75" customHeight="1">
      <c r="A855" s="23"/>
    </row>
    <row r="856" spans="1:1" ht="15.75" customHeight="1">
      <c r="A856" s="23"/>
    </row>
    <row r="857" spans="1:1" ht="15.75" customHeight="1">
      <c r="A857" s="23"/>
    </row>
    <row r="858" spans="1:1" ht="15.75" customHeight="1">
      <c r="A858" s="23"/>
    </row>
    <row r="859" spans="1:1" ht="15.75" customHeight="1">
      <c r="A859" s="23"/>
    </row>
    <row r="860" spans="1:1" ht="15.75" customHeight="1">
      <c r="A860" s="23"/>
    </row>
    <row r="861" spans="1:1" ht="15.75" customHeight="1">
      <c r="A861" s="23"/>
    </row>
    <row r="862" spans="1:1" ht="15.75" customHeight="1">
      <c r="A862" s="23"/>
    </row>
    <row r="863" spans="1:1" ht="15.75" customHeight="1">
      <c r="A863" s="23"/>
    </row>
    <row r="864" spans="1:1" ht="15.75" customHeight="1">
      <c r="A864" s="23"/>
    </row>
    <row r="865" spans="1:1" ht="15.75" customHeight="1">
      <c r="A865" s="23"/>
    </row>
    <row r="866" spans="1:1" ht="15.75" customHeight="1">
      <c r="A866" s="23"/>
    </row>
    <row r="867" spans="1:1" ht="15.75" customHeight="1">
      <c r="A867" s="23"/>
    </row>
    <row r="868" spans="1:1" ht="15.75" customHeight="1">
      <c r="A868" s="23"/>
    </row>
    <row r="869" spans="1:1" ht="15.75" customHeight="1">
      <c r="A869" s="23"/>
    </row>
    <row r="870" spans="1:1" ht="15.75" customHeight="1">
      <c r="A870" s="23"/>
    </row>
    <row r="871" spans="1:1" ht="15.75" customHeight="1">
      <c r="A871" s="23"/>
    </row>
    <row r="872" spans="1:1" ht="15.75" customHeight="1">
      <c r="A872" s="23"/>
    </row>
    <row r="873" spans="1:1" ht="15.75" customHeight="1">
      <c r="A873" s="23"/>
    </row>
    <row r="874" spans="1:1" ht="15.75" customHeight="1">
      <c r="A874" s="23"/>
    </row>
    <row r="875" spans="1:1" ht="15.75" customHeight="1">
      <c r="A875" s="23"/>
    </row>
    <row r="876" spans="1:1" ht="15.75" customHeight="1">
      <c r="A876" s="23"/>
    </row>
    <row r="877" spans="1:1" ht="15.75" customHeight="1">
      <c r="A877" s="23"/>
    </row>
    <row r="878" spans="1:1" ht="15.75" customHeight="1">
      <c r="A878" s="23"/>
    </row>
    <row r="879" spans="1:1" ht="15.75" customHeight="1">
      <c r="A879" s="23"/>
    </row>
    <row r="880" spans="1:1" ht="15.75" customHeight="1">
      <c r="A880" s="23"/>
    </row>
    <row r="881" spans="1:1" ht="15.75" customHeight="1">
      <c r="A881" s="23"/>
    </row>
    <row r="882" spans="1:1" ht="15.75" customHeight="1">
      <c r="A882" s="23"/>
    </row>
    <row r="883" spans="1:1" ht="15.75" customHeight="1">
      <c r="A883" s="23"/>
    </row>
    <row r="884" spans="1:1" ht="15.75" customHeight="1">
      <c r="A884" s="23"/>
    </row>
    <row r="885" spans="1:1" ht="15.75" customHeight="1">
      <c r="A885" s="23"/>
    </row>
    <row r="886" spans="1:1" ht="15.75" customHeight="1">
      <c r="A886" s="23"/>
    </row>
    <row r="887" spans="1:1" ht="15.75" customHeight="1">
      <c r="A887" s="23"/>
    </row>
    <row r="888" spans="1:1" ht="15.75" customHeight="1">
      <c r="A888" s="23"/>
    </row>
    <row r="889" spans="1:1" ht="15.75" customHeight="1">
      <c r="A889" s="23"/>
    </row>
    <row r="890" spans="1:1" ht="15.75" customHeight="1">
      <c r="A890" s="23"/>
    </row>
    <row r="891" spans="1:1" ht="15.75" customHeight="1">
      <c r="A891" s="23"/>
    </row>
    <row r="892" spans="1:1" ht="15.75" customHeight="1">
      <c r="A892" s="23"/>
    </row>
    <row r="893" spans="1:1" ht="15.75" customHeight="1">
      <c r="A893" s="23"/>
    </row>
    <row r="894" spans="1:1" ht="15.75" customHeight="1">
      <c r="A894" s="23"/>
    </row>
    <row r="895" spans="1:1" ht="15.75" customHeight="1">
      <c r="A895" s="23"/>
    </row>
    <row r="896" spans="1:1" ht="15.75" customHeight="1">
      <c r="A896" s="23"/>
    </row>
    <row r="897" spans="1:1" ht="15.75" customHeight="1">
      <c r="A897" s="23"/>
    </row>
    <row r="898" spans="1:1" ht="15.75" customHeight="1">
      <c r="A898" s="23"/>
    </row>
    <row r="899" spans="1:1" ht="15.75" customHeight="1">
      <c r="A899" s="23"/>
    </row>
    <row r="900" spans="1:1" ht="15.75" customHeight="1">
      <c r="A900" s="23"/>
    </row>
    <row r="901" spans="1:1" ht="15.75" customHeight="1">
      <c r="A901" s="23"/>
    </row>
    <row r="902" spans="1:1" ht="15.75" customHeight="1">
      <c r="A902" s="23"/>
    </row>
    <row r="903" spans="1:1" ht="15.75" customHeight="1">
      <c r="A903" s="23"/>
    </row>
    <row r="904" spans="1:1" ht="15.75" customHeight="1">
      <c r="A904" s="23"/>
    </row>
    <row r="905" spans="1:1" ht="15.75" customHeight="1">
      <c r="A905" s="23"/>
    </row>
    <row r="906" spans="1:1" ht="15.75" customHeight="1">
      <c r="A906" s="23"/>
    </row>
    <row r="907" spans="1:1" ht="15.75" customHeight="1">
      <c r="A907" s="23"/>
    </row>
    <row r="908" spans="1:1" ht="15.75" customHeight="1">
      <c r="A908" s="23"/>
    </row>
    <row r="909" spans="1:1" ht="15.75" customHeight="1">
      <c r="A909" s="23"/>
    </row>
    <row r="910" spans="1:1" ht="15.75" customHeight="1">
      <c r="A910" s="23"/>
    </row>
    <row r="911" spans="1:1" ht="15.75" customHeight="1">
      <c r="A911" s="23"/>
    </row>
    <row r="912" spans="1:1" ht="15.75" customHeight="1">
      <c r="A912" s="23"/>
    </row>
    <row r="913" spans="1:1" ht="15.75" customHeight="1">
      <c r="A913" s="23"/>
    </row>
    <row r="914" spans="1:1" ht="15.75" customHeight="1">
      <c r="A914" s="23"/>
    </row>
    <row r="915" spans="1:1" ht="15.75" customHeight="1">
      <c r="A915" s="23"/>
    </row>
    <row r="916" spans="1:1" ht="15.75" customHeight="1">
      <c r="A916" s="23"/>
    </row>
    <row r="917" spans="1:1" ht="15.75" customHeight="1">
      <c r="A917" s="23"/>
    </row>
    <row r="918" spans="1:1" ht="15.75" customHeight="1">
      <c r="A918" s="23"/>
    </row>
    <row r="919" spans="1:1" ht="15.75" customHeight="1">
      <c r="A919" s="23"/>
    </row>
    <row r="920" spans="1:1" ht="15.75" customHeight="1">
      <c r="A920" s="23"/>
    </row>
    <row r="921" spans="1:1" ht="15.75" customHeight="1">
      <c r="A921" s="23"/>
    </row>
    <row r="922" spans="1:1" ht="15.75" customHeight="1">
      <c r="A922" s="23"/>
    </row>
    <row r="923" spans="1:1" ht="15.75" customHeight="1">
      <c r="A923" s="23"/>
    </row>
    <row r="924" spans="1:1" ht="15.75" customHeight="1">
      <c r="A924" s="23"/>
    </row>
    <row r="925" spans="1:1" ht="15.75" customHeight="1">
      <c r="A925" s="23"/>
    </row>
    <row r="926" spans="1:1" ht="15.75" customHeight="1">
      <c r="A926" s="23"/>
    </row>
    <row r="927" spans="1:1" ht="15.75" customHeight="1">
      <c r="A927" s="23"/>
    </row>
    <row r="928" spans="1:1" ht="15.75" customHeight="1">
      <c r="A928" s="23"/>
    </row>
    <row r="929" spans="1:1" ht="15.75" customHeight="1">
      <c r="A929" s="23"/>
    </row>
    <row r="930" spans="1:1" ht="15.75" customHeight="1">
      <c r="A930" s="23"/>
    </row>
    <row r="931" spans="1:1" ht="15.75" customHeight="1">
      <c r="A931" s="23"/>
    </row>
    <row r="932" spans="1:1" ht="15.75" customHeight="1">
      <c r="A932" s="23"/>
    </row>
    <row r="933" spans="1:1" ht="15.75" customHeight="1">
      <c r="A933" s="23"/>
    </row>
    <row r="934" spans="1:1" ht="15.75" customHeight="1">
      <c r="A934" s="23"/>
    </row>
    <row r="935" spans="1:1" ht="15.75" customHeight="1">
      <c r="A935" s="23"/>
    </row>
    <row r="936" spans="1:1" ht="15.75" customHeight="1">
      <c r="A936" s="23"/>
    </row>
    <row r="937" spans="1:1" ht="15.75" customHeight="1">
      <c r="A937" s="23"/>
    </row>
    <row r="938" spans="1:1" ht="15.75" customHeight="1">
      <c r="A938" s="23"/>
    </row>
    <row r="939" spans="1:1" ht="15.75" customHeight="1">
      <c r="A939" s="23"/>
    </row>
    <row r="940" spans="1:1" ht="15.75" customHeight="1">
      <c r="A940" s="23"/>
    </row>
    <row r="941" spans="1:1" ht="15.75" customHeight="1">
      <c r="A941" s="23"/>
    </row>
    <row r="942" spans="1:1" ht="15.75" customHeight="1">
      <c r="A942" s="23"/>
    </row>
    <row r="943" spans="1:1" ht="15.75" customHeight="1">
      <c r="A943" s="23"/>
    </row>
    <row r="944" spans="1:1" ht="15.75" customHeight="1">
      <c r="A944" s="23"/>
    </row>
    <row r="945" spans="1:1" ht="15.75" customHeight="1">
      <c r="A945" s="23"/>
    </row>
    <row r="946" spans="1:1" ht="15.75" customHeight="1">
      <c r="A946" s="23"/>
    </row>
    <row r="947" spans="1:1" ht="15.75" customHeight="1">
      <c r="A947" s="23"/>
    </row>
    <row r="948" spans="1:1" ht="15.75" customHeight="1">
      <c r="A948" s="23"/>
    </row>
    <row r="949" spans="1:1" ht="15.75" customHeight="1">
      <c r="A949" s="23"/>
    </row>
    <row r="950" spans="1:1" ht="15.75" customHeight="1">
      <c r="A950" s="23"/>
    </row>
    <row r="951" spans="1:1" ht="15.75" customHeight="1">
      <c r="A951" s="23"/>
    </row>
    <row r="952" spans="1:1" ht="15.75" customHeight="1">
      <c r="A952" s="23"/>
    </row>
    <row r="953" spans="1:1" ht="15.75" customHeight="1">
      <c r="A953" s="23"/>
    </row>
    <row r="954" spans="1:1" ht="15.75" customHeight="1">
      <c r="A954" s="23"/>
    </row>
    <row r="955" spans="1:1" ht="15.75" customHeight="1">
      <c r="A955" s="23"/>
    </row>
    <row r="956" spans="1:1" ht="15.75" customHeight="1">
      <c r="A956" s="23"/>
    </row>
    <row r="957" spans="1:1" ht="15.75" customHeight="1">
      <c r="A957" s="23"/>
    </row>
    <row r="958" spans="1:1" ht="15.75" customHeight="1">
      <c r="A958" s="23"/>
    </row>
    <row r="959" spans="1:1" ht="15.75" customHeight="1">
      <c r="A959" s="23"/>
    </row>
    <row r="960" spans="1:1" ht="15.75" customHeight="1">
      <c r="A960" s="23"/>
    </row>
    <row r="961" spans="1:1" ht="15.75" customHeight="1">
      <c r="A961" s="23"/>
    </row>
    <row r="962" spans="1:1" ht="15.75" customHeight="1">
      <c r="A962" s="23"/>
    </row>
    <row r="963" spans="1:1" ht="15.75" customHeight="1">
      <c r="A963" s="23"/>
    </row>
    <row r="964" spans="1:1" ht="15.75" customHeight="1">
      <c r="A964" s="23"/>
    </row>
    <row r="965" spans="1:1" ht="15.75" customHeight="1">
      <c r="A965" s="23"/>
    </row>
    <row r="966" spans="1:1" ht="15.75" customHeight="1">
      <c r="A966" s="23"/>
    </row>
    <row r="967" spans="1:1" ht="15.75" customHeight="1">
      <c r="A967" s="23"/>
    </row>
    <row r="968" spans="1:1" ht="15.75" customHeight="1">
      <c r="A968" s="23"/>
    </row>
    <row r="969" spans="1:1" ht="15.75" customHeight="1">
      <c r="A969" s="23"/>
    </row>
    <row r="970" spans="1:1" ht="15.75" customHeight="1">
      <c r="A970" s="23"/>
    </row>
    <row r="971" spans="1:1" ht="15.75" customHeight="1">
      <c r="A971" s="23"/>
    </row>
    <row r="972" spans="1:1" ht="15.75" customHeight="1">
      <c r="A972" s="23"/>
    </row>
    <row r="973" spans="1:1" ht="15.75" customHeight="1">
      <c r="A973" s="23"/>
    </row>
    <row r="974" spans="1:1" ht="15.75" customHeight="1">
      <c r="A974" s="23"/>
    </row>
    <row r="975" spans="1:1" ht="15.75" customHeight="1">
      <c r="A975" s="23"/>
    </row>
    <row r="976" spans="1:1" ht="15.75" customHeight="1">
      <c r="A976" s="23"/>
    </row>
    <row r="977" spans="1:1" ht="15.75" customHeight="1">
      <c r="A977" s="23"/>
    </row>
    <row r="978" spans="1:1" ht="15.75" customHeight="1">
      <c r="A978" s="23"/>
    </row>
    <row r="979" spans="1:1" ht="15.75" customHeight="1">
      <c r="A979" s="23"/>
    </row>
    <row r="980" spans="1:1" ht="15.75" customHeight="1">
      <c r="A980" s="23"/>
    </row>
    <row r="981" spans="1:1" ht="15.75" customHeight="1">
      <c r="A981" s="23"/>
    </row>
    <row r="982" spans="1:1" ht="15.75" customHeight="1">
      <c r="A982" s="23"/>
    </row>
    <row r="983" spans="1:1" ht="15.75" customHeight="1">
      <c r="A983" s="23"/>
    </row>
    <row r="984" spans="1:1" ht="15.75" customHeight="1">
      <c r="A984" s="23"/>
    </row>
    <row r="985" spans="1:1" ht="15.75" customHeight="1">
      <c r="A985" s="23"/>
    </row>
    <row r="986" spans="1:1" ht="15.75" customHeight="1">
      <c r="A986" s="23"/>
    </row>
    <row r="987" spans="1:1" ht="15.75" customHeight="1">
      <c r="A987" s="23"/>
    </row>
    <row r="988" spans="1:1" ht="15.75" customHeight="1">
      <c r="A988" s="23"/>
    </row>
    <row r="989" spans="1:1" ht="15.75" customHeight="1">
      <c r="A989" s="23"/>
    </row>
    <row r="990" spans="1:1" ht="15.75" customHeight="1">
      <c r="A990" s="23"/>
    </row>
    <row r="991" spans="1:1" ht="15.75" customHeight="1">
      <c r="A991" s="23"/>
    </row>
    <row r="992" spans="1:1" ht="15.75" customHeight="1">
      <c r="A992" s="23"/>
    </row>
    <row r="993" spans="1:1" ht="15.75" customHeight="1">
      <c r="A993" s="23"/>
    </row>
    <row r="994" spans="1:1" ht="15.75" customHeight="1">
      <c r="A994" s="23"/>
    </row>
    <row r="995" spans="1:1" ht="15.75" customHeight="1">
      <c r="A995" s="23"/>
    </row>
    <row r="996" spans="1:1" ht="15.75" customHeight="1">
      <c r="A996" s="23"/>
    </row>
    <row r="997" spans="1:1" ht="15.75" customHeight="1">
      <c r="A997" s="23"/>
    </row>
    <row r="998" spans="1:1" ht="15.75" customHeight="1">
      <c r="A998" s="23"/>
    </row>
    <row r="999" spans="1:1" ht="15.75" customHeight="1">
      <c r="A999" s="23"/>
    </row>
    <row r="1000" spans="1:1" ht="15.75" customHeight="1">
      <c r="A1000" s="23"/>
    </row>
  </sheetData>
  <autoFilter ref="A1:D1" xr:uid="{00000000-0009-0000-0000-000004000000}"/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</sheetPr>
  <dimension ref="A1:G1000"/>
  <sheetViews>
    <sheetView workbookViewId="0">
      <selection activeCell="C2" sqref="C2:D344"/>
    </sheetView>
  </sheetViews>
  <sheetFormatPr baseColWidth="10" defaultColWidth="12.59765625" defaultRowHeight="15" customHeight="1"/>
  <cols>
    <col min="1" max="1" width="12.59765625" customWidth="1"/>
    <col min="2" max="2" width="11.69921875" customWidth="1"/>
    <col min="3" max="4" width="13" customWidth="1"/>
    <col min="5" max="7" width="9.3984375" customWidth="1"/>
  </cols>
  <sheetData>
    <row r="1" spans="1:7" ht="72">
      <c r="A1" s="1" t="s">
        <v>0</v>
      </c>
      <c r="B1" s="2" t="s">
        <v>3</v>
      </c>
      <c r="C1" s="2" t="s">
        <v>8</v>
      </c>
      <c r="D1" s="2" t="s">
        <v>463</v>
      </c>
    </row>
    <row r="2" spans="1:7" ht="14.4">
      <c r="A2" s="6">
        <v>10101</v>
      </c>
      <c r="B2" s="7" t="s">
        <v>13</v>
      </c>
      <c r="C2" s="48"/>
      <c r="D2" s="48"/>
      <c r="G2" s="45"/>
    </row>
    <row r="3" spans="1:7" ht="14.4">
      <c r="A3" s="6">
        <v>10102</v>
      </c>
      <c r="B3" s="7" t="s">
        <v>14</v>
      </c>
      <c r="C3" s="48"/>
      <c r="D3" s="48"/>
      <c r="G3" s="45"/>
    </row>
    <row r="4" spans="1:7" ht="14.4">
      <c r="A4" s="6">
        <v>10103</v>
      </c>
      <c r="B4" s="7" t="s">
        <v>16</v>
      </c>
      <c r="C4" s="48"/>
      <c r="D4" s="48"/>
      <c r="G4" s="45"/>
    </row>
    <row r="5" spans="1:7" ht="14.4">
      <c r="A5" s="6">
        <v>10201</v>
      </c>
      <c r="B5" s="7" t="s">
        <v>19</v>
      </c>
      <c r="C5" s="48"/>
      <c r="D5" s="48"/>
      <c r="G5" s="45"/>
    </row>
    <row r="6" spans="1:7" ht="14.4">
      <c r="A6" s="6">
        <v>10202</v>
      </c>
      <c r="B6" s="7" t="s">
        <v>21</v>
      </c>
      <c r="C6" s="48"/>
      <c r="D6" s="48"/>
      <c r="G6" s="45"/>
    </row>
    <row r="7" spans="1:7" ht="14.4">
      <c r="A7" s="6">
        <v>10301</v>
      </c>
      <c r="B7" s="7" t="s">
        <v>24</v>
      </c>
      <c r="C7" s="48"/>
      <c r="D7" s="48"/>
      <c r="G7" s="45"/>
    </row>
    <row r="8" spans="1:7" ht="14.4">
      <c r="A8" s="6">
        <v>10302</v>
      </c>
      <c r="B8" s="7" t="s">
        <v>26</v>
      </c>
      <c r="C8" s="48"/>
      <c r="D8" s="48"/>
      <c r="G8" s="45"/>
    </row>
    <row r="9" spans="1:7" ht="14.4">
      <c r="A9" s="6">
        <v>10303</v>
      </c>
      <c r="B9" s="7" t="s">
        <v>28</v>
      </c>
      <c r="C9" s="48"/>
      <c r="D9" s="48"/>
      <c r="G9" s="45"/>
    </row>
    <row r="10" spans="1:7" ht="14.4">
      <c r="A10" s="6">
        <v>10304</v>
      </c>
      <c r="B10" s="7" t="s">
        <v>30</v>
      </c>
      <c r="C10" s="48"/>
      <c r="D10" s="48"/>
      <c r="G10" s="45"/>
    </row>
    <row r="11" spans="1:7" ht="14.4">
      <c r="A11" s="6">
        <v>10401</v>
      </c>
      <c r="B11" s="7" t="s">
        <v>33</v>
      </c>
      <c r="C11" s="48"/>
      <c r="D11" s="48"/>
      <c r="G11" s="45"/>
    </row>
    <row r="12" spans="1:7" ht="14.4">
      <c r="A12" s="6">
        <v>10402</v>
      </c>
      <c r="B12" s="7" t="s">
        <v>32</v>
      </c>
      <c r="C12" s="48"/>
      <c r="D12" s="48"/>
      <c r="G12" s="45"/>
    </row>
    <row r="13" spans="1:7" ht="14.4">
      <c r="A13" s="6">
        <v>10403</v>
      </c>
      <c r="B13" s="7" t="s">
        <v>35</v>
      </c>
      <c r="C13" s="48"/>
      <c r="D13" s="48"/>
      <c r="G13" s="45"/>
    </row>
    <row r="14" spans="1:7" ht="14.4">
      <c r="A14" s="6">
        <v>10404</v>
      </c>
      <c r="B14" s="7" t="s">
        <v>36</v>
      </c>
      <c r="C14" s="48"/>
      <c r="D14" s="48"/>
      <c r="G14" s="45"/>
    </row>
    <row r="15" spans="1:7" ht="14.4">
      <c r="A15" s="6">
        <v>10405</v>
      </c>
      <c r="B15" s="7" t="s">
        <v>37</v>
      </c>
      <c r="C15" s="48"/>
      <c r="D15" s="48"/>
      <c r="G15" s="45"/>
    </row>
    <row r="16" spans="1:7" ht="14.4">
      <c r="A16" s="6">
        <v>10501</v>
      </c>
      <c r="B16" s="7" t="s">
        <v>39</v>
      </c>
      <c r="C16" s="48"/>
      <c r="D16" s="48"/>
      <c r="G16" s="45"/>
    </row>
    <row r="17" spans="1:7" ht="14.4">
      <c r="A17" s="6">
        <v>10502</v>
      </c>
      <c r="B17" s="7" t="s">
        <v>40</v>
      </c>
      <c r="C17" s="48"/>
      <c r="D17" s="48"/>
      <c r="G17" s="45"/>
    </row>
    <row r="18" spans="1:7" ht="14.4">
      <c r="A18" s="6">
        <v>10601</v>
      </c>
      <c r="B18" s="7" t="s">
        <v>42</v>
      </c>
      <c r="C18" s="48"/>
      <c r="D18" s="48"/>
      <c r="G18" s="45"/>
    </row>
    <row r="19" spans="1:7" ht="14.4">
      <c r="A19" s="6">
        <v>10602</v>
      </c>
      <c r="B19" s="7" t="s">
        <v>41</v>
      </c>
      <c r="C19" s="48"/>
      <c r="D19" s="48"/>
      <c r="G19" s="45"/>
    </row>
    <row r="20" spans="1:7" ht="14.4">
      <c r="A20" s="6">
        <v>10701</v>
      </c>
      <c r="B20" s="7" t="s">
        <v>44</v>
      </c>
      <c r="C20" s="48"/>
      <c r="D20" s="48"/>
      <c r="G20" s="45"/>
    </row>
    <row r="21" spans="1:7" ht="15.75" customHeight="1">
      <c r="A21" s="6">
        <v>10702</v>
      </c>
      <c r="B21" s="7" t="s">
        <v>45</v>
      </c>
      <c r="C21" s="48"/>
      <c r="D21" s="48"/>
      <c r="G21" s="45"/>
    </row>
    <row r="22" spans="1:7" ht="15.75" customHeight="1">
      <c r="A22" s="6">
        <v>10703</v>
      </c>
      <c r="B22" s="7" t="s">
        <v>46</v>
      </c>
      <c r="C22" s="48"/>
      <c r="D22" s="48"/>
      <c r="G22" s="45"/>
    </row>
    <row r="23" spans="1:7" ht="15.75" customHeight="1">
      <c r="A23" s="6">
        <v>10704</v>
      </c>
      <c r="B23" s="7" t="s">
        <v>47</v>
      </c>
      <c r="C23" s="48"/>
      <c r="D23" s="48"/>
      <c r="G23" s="45"/>
    </row>
    <row r="24" spans="1:7" ht="15.75" customHeight="1">
      <c r="A24" s="6">
        <v>10801</v>
      </c>
      <c r="B24" s="7" t="s">
        <v>49</v>
      </c>
      <c r="C24" s="48"/>
      <c r="D24" s="48"/>
      <c r="G24" s="45"/>
    </row>
    <row r="25" spans="1:7" ht="15.75" customHeight="1">
      <c r="A25" s="6">
        <v>10901</v>
      </c>
      <c r="B25" s="7" t="s">
        <v>51</v>
      </c>
      <c r="C25" s="48"/>
      <c r="D25" s="48"/>
      <c r="G25" s="45"/>
    </row>
    <row r="26" spans="1:7" ht="15.75" customHeight="1">
      <c r="A26" s="6">
        <v>10902</v>
      </c>
      <c r="B26" s="7" t="s">
        <v>52</v>
      </c>
      <c r="C26" s="48"/>
      <c r="D26" s="48"/>
      <c r="G26" s="45"/>
    </row>
    <row r="27" spans="1:7" ht="15.75" customHeight="1">
      <c r="A27" s="6">
        <v>10903</v>
      </c>
      <c r="B27" s="7" t="s">
        <v>53</v>
      </c>
      <c r="C27" s="48"/>
      <c r="D27" s="48"/>
      <c r="G27" s="45"/>
    </row>
    <row r="28" spans="1:7" ht="15.75" customHeight="1">
      <c r="A28" s="6">
        <v>11001</v>
      </c>
      <c r="B28" s="7" t="s">
        <v>55</v>
      </c>
      <c r="C28" s="48"/>
      <c r="D28" s="48"/>
      <c r="G28" s="45"/>
    </row>
    <row r="29" spans="1:7" ht="15.75" customHeight="1">
      <c r="A29" s="6">
        <v>11002</v>
      </c>
      <c r="B29" s="7" t="s">
        <v>56</v>
      </c>
      <c r="C29" s="48"/>
      <c r="D29" s="48"/>
      <c r="G29" s="45"/>
    </row>
    <row r="30" spans="1:7" ht="15.75" customHeight="1">
      <c r="A30" s="6">
        <v>11003</v>
      </c>
      <c r="B30" s="7" t="s">
        <v>57</v>
      </c>
      <c r="C30" s="48"/>
      <c r="D30" s="48"/>
      <c r="G30" s="45"/>
    </row>
    <row r="31" spans="1:7" ht="15.75" customHeight="1">
      <c r="A31" s="6">
        <v>20101</v>
      </c>
      <c r="B31" s="7" t="s">
        <v>59</v>
      </c>
      <c r="C31" s="48"/>
      <c r="D31" s="48"/>
      <c r="G31" s="45"/>
    </row>
    <row r="32" spans="1:7" ht="15.75" customHeight="1">
      <c r="A32" s="6">
        <v>20102</v>
      </c>
      <c r="B32" s="7" t="s">
        <v>60</v>
      </c>
      <c r="C32" s="48"/>
      <c r="D32" s="48"/>
      <c r="G32" s="45"/>
    </row>
    <row r="33" spans="1:7" ht="15.75" customHeight="1">
      <c r="A33" s="6">
        <v>20103</v>
      </c>
      <c r="B33" s="7" t="s">
        <v>61</v>
      </c>
      <c r="C33" s="48"/>
      <c r="D33" s="48"/>
      <c r="G33" s="45"/>
    </row>
    <row r="34" spans="1:7" ht="15.75" customHeight="1">
      <c r="A34" s="6">
        <v>20104</v>
      </c>
      <c r="B34" s="7" t="s">
        <v>62</v>
      </c>
      <c r="C34" s="48"/>
      <c r="D34" s="48"/>
      <c r="G34" s="45"/>
    </row>
    <row r="35" spans="1:7" ht="15.75" customHeight="1">
      <c r="A35" s="6">
        <v>20105</v>
      </c>
      <c r="B35" s="7" t="s">
        <v>63</v>
      </c>
      <c r="C35" s="48"/>
      <c r="D35" s="48"/>
      <c r="G35" s="45"/>
    </row>
    <row r="36" spans="1:7" ht="15.75" customHeight="1">
      <c r="A36" s="6">
        <v>20201</v>
      </c>
      <c r="B36" s="7" t="s">
        <v>65</v>
      </c>
      <c r="C36" s="48"/>
      <c r="D36" s="48"/>
      <c r="G36" s="45"/>
    </row>
    <row r="37" spans="1:7" ht="15.75" customHeight="1">
      <c r="A37" s="6">
        <v>20202</v>
      </c>
      <c r="B37" s="7" t="s">
        <v>66</v>
      </c>
      <c r="C37" s="48"/>
      <c r="D37" s="48"/>
      <c r="G37" s="45"/>
    </row>
    <row r="38" spans="1:7" ht="15.75" customHeight="1">
      <c r="A38" s="6">
        <v>20203</v>
      </c>
      <c r="B38" s="7" t="s">
        <v>67</v>
      </c>
      <c r="C38" s="48"/>
      <c r="D38" s="48"/>
      <c r="G38" s="45"/>
    </row>
    <row r="39" spans="1:7" ht="15.75" customHeight="1">
      <c r="A39" s="6">
        <v>20204</v>
      </c>
      <c r="B39" s="7" t="s">
        <v>68</v>
      </c>
      <c r="C39" s="48"/>
      <c r="D39" s="48"/>
      <c r="G39" s="45"/>
    </row>
    <row r="40" spans="1:7" ht="15.75" customHeight="1">
      <c r="A40" s="6">
        <v>20205</v>
      </c>
      <c r="B40" s="7" t="s">
        <v>69</v>
      </c>
      <c r="C40" s="48"/>
      <c r="D40" s="48"/>
      <c r="G40" s="45"/>
    </row>
    <row r="41" spans="1:7" ht="15.75" customHeight="1">
      <c r="A41" s="6">
        <v>20206</v>
      </c>
      <c r="B41" s="7" t="s">
        <v>70</v>
      </c>
      <c r="C41" s="48"/>
      <c r="D41" s="48"/>
      <c r="G41" s="45"/>
    </row>
    <row r="42" spans="1:7" ht="15.75" customHeight="1">
      <c r="A42" s="6">
        <v>20301</v>
      </c>
      <c r="B42" s="7" t="s">
        <v>72</v>
      </c>
      <c r="C42" s="48"/>
      <c r="D42" s="48"/>
      <c r="G42" s="45"/>
    </row>
    <row r="43" spans="1:7" ht="15.75" customHeight="1">
      <c r="A43" s="6">
        <v>20302</v>
      </c>
      <c r="B43" s="7" t="s">
        <v>73</v>
      </c>
      <c r="C43" s="48"/>
      <c r="D43" s="48"/>
      <c r="G43" s="45"/>
    </row>
    <row r="44" spans="1:7" ht="15.75" customHeight="1">
      <c r="A44" s="6">
        <v>20303</v>
      </c>
      <c r="B44" s="7" t="s">
        <v>74</v>
      </c>
      <c r="C44" s="48"/>
      <c r="D44" s="48"/>
      <c r="G44" s="45"/>
    </row>
    <row r="45" spans="1:7" ht="15.75" customHeight="1">
      <c r="A45" s="6">
        <v>20304</v>
      </c>
      <c r="B45" s="7" t="s">
        <v>75</v>
      </c>
      <c r="C45" s="48"/>
      <c r="D45" s="48"/>
      <c r="G45" s="45"/>
    </row>
    <row r="46" spans="1:7" ht="15.75" customHeight="1">
      <c r="A46" s="6">
        <v>20305</v>
      </c>
      <c r="B46" s="7" t="s">
        <v>76</v>
      </c>
      <c r="C46" s="48"/>
      <c r="D46" s="48"/>
      <c r="G46" s="45"/>
    </row>
    <row r="47" spans="1:7" ht="15.75" customHeight="1">
      <c r="A47" s="6">
        <v>20306</v>
      </c>
      <c r="B47" s="7" t="s">
        <v>77</v>
      </c>
      <c r="C47" s="48"/>
      <c r="D47" s="48"/>
      <c r="G47" s="45"/>
    </row>
    <row r="48" spans="1:7" ht="15.75" customHeight="1">
      <c r="A48" s="6">
        <v>20307</v>
      </c>
      <c r="B48" s="7" t="s">
        <v>78</v>
      </c>
      <c r="C48" s="48"/>
      <c r="D48" s="48"/>
      <c r="G48" s="45"/>
    </row>
    <row r="49" spans="1:7" ht="15.75" customHeight="1">
      <c r="A49" s="6">
        <v>20308</v>
      </c>
      <c r="B49" s="7" t="s">
        <v>79</v>
      </c>
      <c r="C49" s="48"/>
      <c r="D49" s="48"/>
      <c r="G49" s="45"/>
    </row>
    <row r="50" spans="1:7" ht="15.75" customHeight="1">
      <c r="A50" s="6">
        <v>20401</v>
      </c>
      <c r="B50" s="7" t="s">
        <v>81</v>
      </c>
      <c r="C50" s="48"/>
      <c r="D50" s="48"/>
      <c r="G50" s="45"/>
    </row>
    <row r="51" spans="1:7" ht="15.75" customHeight="1">
      <c r="A51" s="6">
        <v>20402</v>
      </c>
      <c r="B51" s="7" t="s">
        <v>82</v>
      </c>
      <c r="C51" s="48"/>
      <c r="D51" s="48"/>
      <c r="G51" s="45"/>
    </row>
    <row r="52" spans="1:7" ht="15.75" customHeight="1">
      <c r="A52" s="6">
        <v>20403</v>
      </c>
      <c r="B52" s="7" t="s">
        <v>83</v>
      </c>
      <c r="C52" s="48"/>
      <c r="D52" s="48"/>
      <c r="G52" s="45"/>
    </row>
    <row r="53" spans="1:7" ht="15.75" customHeight="1">
      <c r="A53" s="6">
        <v>20404</v>
      </c>
      <c r="B53" s="7" t="s">
        <v>84</v>
      </c>
      <c r="C53" s="48"/>
      <c r="D53" s="48"/>
      <c r="G53" s="45"/>
    </row>
    <row r="54" spans="1:7" ht="15.75" customHeight="1">
      <c r="A54" s="6">
        <v>20405</v>
      </c>
      <c r="B54" s="7" t="s">
        <v>85</v>
      </c>
      <c r="C54" s="48"/>
      <c r="D54" s="48"/>
      <c r="G54" s="45"/>
    </row>
    <row r="55" spans="1:7" ht="15.75" customHeight="1">
      <c r="A55" s="6">
        <v>20501</v>
      </c>
      <c r="B55" s="7" t="s">
        <v>87</v>
      </c>
      <c r="C55" s="48"/>
      <c r="D55" s="48"/>
      <c r="G55" s="45"/>
    </row>
    <row r="56" spans="1:7" ht="15.75" customHeight="1">
      <c r="A56" s="6">
        <v>20502</v>
      </c>
      <c r="B56" s="7" t="s">
        <v>88</v>
      </c>
      <c r="C56" s="48"/>
      <c r="D56" s="48"/>
      <c r="G56" s="45"/>
    </row>
    <row r="57" spans="1:7" ht="15.75" customHeight="1">
      <c r="A57" s="6">
        <v>20503</v>
      </c>
      <c r="B57" s="7" t="s">
        <v>89</v>
      </c>
      <c r="C57" s="48"/>
      <c r="D57" s="48"/>
      <c r="G57" s="45"/>
    </row>
    <row r="58" spans="1:7" ht="15.75" customHeight="1">
      <c r="A58" s="6">
        <v>20601</v>
      </c>
      <c r="B58" s="7" t="s">
        <v>91</v>
      </c>
      <c r="C58" s="48"/>
      <c r="D58" s="48"/>
      <c r="G58" s="45"/>
    </row>
    <row r="59" spans="1:7" ht="15.75" customHeight="1">
      <c r="A59" s="6">
        <v>20602</v>
      </c>
      <c r="B59" s="7" t="s">
        <v>92</v>
      </c>
      <c r="C59" s="48"/>
      <c r="D59" s="48"/>
      <c r="G59" s="45"/>
    </row>
    <row r="60" spans="1:7" ht="15.75" customHeight="1">
      <c r="A60" s="6">
        <v>20603</v>
      </c>
      <c r="B60" s="7" t="s">
        <v>93</v>
      </c>
      <c r="C60" s="48"/>
      <c r="D60" s="48"/>
      <c r="G60" s="45"/>
    </row>
    <row r="61" spans="1:7" ht="15.75" customHeight="1">
      <c r="A61" s="6">
        <v>20604</v>
      </c>
      <c r="B61" s="7" t="s">
        <v>94</v>
      </c>
      <c r="C61" s="48"/>
      <c r="D61" s="48"/>
      <c r="G61" s="45"/>
    </row>
    <row r="62" spans="1:7" ht="15.75" customHeight="1">
      <c r="A62" s="6">
        <v>20605</v>
      </c>
      <c r="B62" s="7" t="s">
        <v>95</v>
      </c>
      <c r="C62" s="48"/>
      <c r="D62" s="48"/>
      <c r="G62" s="45"/>
    </row>
    <row r="63" spans="1:7" ht="15.75" customHeight="1">
      <c r="A63" s="6">
        <v>20606</v>
      </c>
      <c r="B63" s="7" t="s">
        <v>96</v>
      </c>
      <c r="C63" s="48"/>
      <c r="D63" s="48"/>
      <c r="G63" s="45"/>
    </row>
    <row r="64" spans="1:7" ht="15.75" customHeight="1">
      <c r="A64" s="6">
        <v>20607</v>
      </c>
      <c r="B64" s="7" t="s">
        <v>97</v>
      </c>
      <c r="C64" s="48"/>
      <c r="D64" s="48"/>
      <c r="G64" s="45"/>
    </row>
    <row r="65" spans="1:7" ht="15.75" customHeight="1">
      <c r="A65" s="6">
        <v>20608</v>
      </c>
      <c r="B65" s="7" t="s">
        <v>98</v>
      </c>
      <c r="C65" s="48"/>
      <c r="D65" s="48"/>
      <c r="G65" s="45"/>
    </row>
    <row r="66" spans="1:7" ht="15.75" customHeight="1">
      <c r="A66" s="6">
        <v>20701</v>
      </c>
      <c r="B66" s="7" t="s">
        <v>100</v>
      </c>
      <c r="C66" s="48"/>
      <c r="D66" s="48"/>
      <c r="G66" s="45"/>
    </row>
    <row r="67" spans="1:7" ht="15.75" customHeight="1">
      <c r="A67" s="6">
        <v>20702</v>
      </c>
      <c r="B67" s="7" t="s">
        <v>101</v>
      </c>
      <c r="C67" s="48"/>
      <c r="D67" s="48"/>
      <c r="G67" s="45"/>
    </row>
    <row r="68" spans="1:7" ht="15.75" customHeight="1">
      <c r="A68" s="6">
        <v>20801</v>
      </c>
      <c r="B68" s="7" t="s">
        <v>103</v>
      </c>
      <c r="C68" s="48"/>
      <c r="D68" s="48"/>
      <c r="G68" s="45"/>
    </row>
    <row r="69" spans="1:7" ht="15.75" customHeight="1">
      <c r="A69" s="6">
        <v>20802</v>
      </c>
      <c r="B69" s="7" t="s">
        <v>104</v>
      </c>
      <c r="C69" s="48"/>
      <c r="D69" s="48"/>
      <c r="G69" s="45"/>
    </row>
    <row r="70" spans="1:7" ht="15.75" customHeight="1">
      <c r="A70" s="6">
        <v>20803</v>
      </c>
      <c r="B70" s="7" t="s">
        <v>105</v>
      </c>
      <c r="C70" s="48"/>
      <c r="D70" s="48"/>
      <c r="G70" s="45"/>
    </row>
    <row r="71" spans="1:7" ht="15.75" customHeight="1">
      <c r="A71" s="6">
        <v>20804</v>
      </c>
      <c r="B71" s="7" t="s">
        <v>106</v>
      </c>
      <c r="C71" s="48"/>
      <c r="D71" s="48"/>
      <c r="G71" s="45"/>
    </row>
    <row r="72" spans="1:7" ht="15.75" customHeight="1">
      <c r="A72" s="6">
        <v>20805</v>
      </c>
      <c r="B72" s="7" t="s">
        <v>107</v>
      </c>
      <c r="C72" s="48"/>
      <c r="D72" s="48"/>
      <c r="G72" s="45"/>
    </row>
    <row r="73" spans="1:7" ht="15.75" customHeight="1">
      <c r="A73" s="6">
        <v>20806</v>
      </c>
      <c r="B73" s="7" t="s">
        <v>108</v>
      </c>
      <c r="C73" s="48"/>
      <c r="D73" s="48"/>
      <c r="G73" s="45"/>
    </row>
    <row r="74" spans="1:7" ht="15.75" customHeight="1">
      <c r="A74" s="6">
        <v>20807</v>
      </c>
      <c r="B74" s="7" t="s">
        <v>109</v>
      </c>
      <c r="C74" s="48"/>
      <c r="D74" s="48"/>
      <c r="G74" s="45"/>
    </row>
    <row r="75" spans="1:7" ht="15.75" customHeight="1">
      <c r="A75" s="6">
        <v>20901</v>
      </c>
      <c r="B75" s="7" t="s">
        <v>111</v>
      </c>
      <c r="C75" s="48"/>
      <c r="D75" s="48"/>
      <c r="G75" s="45"/>
    </row>
    <row r="76" spans="1:7" ht="15.75" customHeight="1">
      <c r="A76" s="6">
        <v>20902</v>
      </c>
      <c r="B76" s="7" t="s">
        <v>112</v>
      </c>
      <c r="C76" s="48"/>
      <c r="D76" s="48"/>
      <c r="G76" s="45"/>
    </row>
    <row r="77" spans="1:7" ht="15.75" customHeight="1">
      <c r="A77" s="6">
        <v>20903</v>
      </c>
      <c r="B77" s="7" t="s">
        <v>113</v>
      </c>
      <c r="C77" s="48"/>
      <c r="D77" s="48"/>
      <c r="G77" s="45"/>
    </row>
    <row r="78" spans="1:7" ht="15.75" customHeight="1">
      <c r="A78" s="6">
        <v>20904</v>
      </c>
      <c r="B78" s="7" t="s">
        <v>114</v>
      </c>
      <c r="C78" s="48"/>
      <c r="D78" s="48"/>
      <c r="G78" s="45"/>
    </row>
    <row r="79" spans="1:7" ht="15.75" customHeight="1">
      <c r="A79" s="6">
        <v>20905</v>
      </c>
      <c r="B79" s="7" t="s">
        <v>115</v>
      </c>
      <c r="C79" s="48"/>
      <c r="D79" s="48"/>
      <c r="G79" s="45"/>
    </row>
    <row r="80" spans="1:7" ht="15.75" customHeight="1">
      <c r="A80" s="6">
        <v>21001</v>
      </c>
      <c r="B80" s="7" t="s">
        <v>116</v>
      </c>
      <c r="C80" s="48"/>
      <c r="D80" s="48"/>
      <c r="G80" s="45"/>
    </row>
    <row r="81" spans="1:7" ht="15.75" customHeight="1">
      <c r="A81" s="6">
        <v>21002</v>
      </c>
      <c r="B81" s="7" t="s">
        <v>117</v>
      </c>
      <c r="C81" s="48"/>
      <c r="D81" s="48"/>
      <c r="G81" s="45"/>
    </row>
    <row r="82" spans="1:7" ht="15.75" customHeight="1">
      <c r="A82" s="6">
        <v>21003</v>
      </c>
      <c r="B82" s="7" t="s">
        <v>118</v>
      </c>
      <c r="C82" s="48"/>
      <c r="D82" s="48"/>
      <c r="G82" s="45"/>
    </row>
    <row r="83" spans="1:7" ht="15.75" customHeight="1">
      <c r="A83" s="6">
        <v>21004</v>
      </c>
      <c r="B83" s="7" t="s">
        <v>119</v>
      </c>
      <c r="C83" s="48"/>
      <c r="D83" s="48"/>
      <c r="G83" s="45"/>
    </row>
    <row r="84" spans="1:7" ht="15.75" customHeight="1">
      <c r="A84" s="6">
        <v>21005</v>
      </c>
      <c r="B84" s="7" t="s">
        <v>120</v>
      </c>
      <c r="C84" s="48"/>
      <c r="D84" s="48"/>
      <c r="G84" s="45"/>
    </row>
    <row r="85" spans="1:7" ht="15.75" customHeight="1">
      <c r="A85" s="6">
        <v>21006</v>
      </c>
      <c r="B85" s="7" t="s">
        <v>121</v>
      </c>
      <c r="C85" s="48"/>
      <c r="D85" s="48"/>
      <c r="G85" s="45"/>
    </row>
    <row r="86" spans="1:7" ht="15.75" customHeight="1">
      <c r="A86" s="6">
        <v>21101</v>
      </c>
      <c r="B86" s="7" t="s">
        <v>123</v>
      </c>
      <c r="C86" s="48"/>
      <c r="D86" s="48"/>
      <c r="G86" s="45"/>
    </row>
    <row r="87" spans="1:7" ht="15.75" customHeight="1">
      <c r="A87" s="6">
        <v>21102</v>
      </c>
      <c r="B87" s="7" t="s">
        <v>124</v>
      </c>
      <c r="C87" s="48"/>
      <c r="D87" s="48"/>
      <c r="G87" s="45"/>
    </row>
    <row r="88" spans="1:7" ht="15.75" customHeight="1">
      <c r="A88" s="6">
        <v>21103</v>
      </c>
      <c r="B88" s="7" t="s">
        <v>125</v>
      </c>
      <c r="C88" s="48"/>
      <c r="D88" s="48"/>
      <c r="G88" s="45"/>
    </row>
    <row r="89" spans="1:7" ht="15.75" customHeight="1">
      <c r="A89" s="6">
        <v>21104</v>
      </c>
      <c r="B89" s="7" t="s">
        <v>126</v>
      </c>
      <c r="C89" s="48"/>
      <c r="D89" s="48"/>
      <c r="G89" s="45"/>
    </row>
    <row r="90" spans="1:7" ht="15.75" customHeight="1">
      <c r="A90" s="6">
        <v>21105</v>
      </c>
      <c r="B90" s="7" t="s">
        <v>127</v>
      </c>
      <c r="C90" s="48"/>
      <c r="D90" s="48"/>
      <c r="G90" s="45"/>
    </row>
    <row r="91" spans="1:7" ht="15.75" customHeight="1">
      <c r="A91" s="6">
        <v>21201</v>
      </c>
      <c r="B91" s="7" t="s">
        <v>129</v>
      </c>
      <c r="C91" s="48"/>
      <c r="D91" s="48"/>
      <c r="G91" s="45"/>
    </row>
    <row r="92" spans="1:7" ht="15.75" customHeight="1">
      <c r="A92" s="6">
        <v>21202</v>
      </c>
      <c r="B92" s="7" t="s">
        <v>130</v>
      </c>
      <c r="C92" s="48"/>
      <c r="D92" s="48"/>
      <c r="G92" s="45"/>
    </row>
    <row r="93" spans="1:7" ht="15.75" customHeight="1">
      <c r="A93" s="6">
        <v>21203</v>
      </c>
      <c r="B93" s="7" t="s">
        <v>131</v>
      </c>
      <c r="C93" s="48"/>
      <c r="D93" s="48"/>
      <c r="G93" s="45"/>
    </row>
    <row r="94" spans="1:7" ht="15.75" customHeight="1">
      <c r="A94" s="6">
        <v>21204</v>
      </c>
      <c r="B94" s="7" t="s">
        <v>132</v>
      </c>
      <c r="C94" s="48"/>
      <c r="D94" s="48"/>
      <c r="G94" s="45"/>
    </row>
    <row r="95" spans="1:7" ht="15.75" customHeight="1">
      <c r="A95" s="6">
        <v>21301</v>
      </c>
      <c r="B95" s="7" t="s">
        <v>134</v>
      </c>
      <c r="C95" s="48"/>
      <c r="D95" s="48"/>
      <c r="G95" s="45"/>
    </row>
    <row r="96" spans="1:7" ht="15.75" customHeight="1">
      <c r="A96" s="6">
        <v>21302</v>
      </c>
      <c r="B96" s="7" t="s">
        <v>135</v>
      </c>
      <c r="C96" s="48"/>
      <c r="D96" s="48"/>
      <c r="G96" s="45"/>
    </row>
    <row r="97" spans="1:7" ht="15.75" customHeight="1">
      <c r="A97" s="6">
        <v>21303</v>
      </c>
      <c r="B97" s="7" t="s">
        <v>136</v>
      </c>
      <c r="C97" s="48"/>
      <c r="D97" s="48"/>
      <c r="G97" s="45"/>
    </row>
    <row r="98" spans="1:7" ht="15.75" customHeight="1">
      <c r="A98" s="6">
        <v>21304</v>
      </c>
      <c r="B98" s="7" t="s">
        <v>137</v>
      </c>
      <c r="C98" s="48"/>
      <c r="D98" s="48"/>
      <c r="G98" s="45"/>
    </row>
    <row r="99" spans="1:7" ht="15.75" customHeight="1">
      <c r="A99" s="6">
        <v>21305</v>
      </c>
      <c r="B99" s="7" t="s">
        <v>138</v>
      </c>
      <c r="C99" s="48"/>
      <c r="D99" s="48"/>
      <c r="G99" s="45"/>
    </row>
    <row r="100" spans="1:7" ht="15.75" customHeight="1">
      <c r="A100" s="6">
        <v>21306</v>
      </c>
      <c r="B100" s="7" t="s">
        <v>139</v>
      </c>
      <c r="C100" s="48"/>
      <c r="D100" s="48"/>
      <c r="G100" s="45"/>
    </row>
    <row r="101" spans="1:7" ht="15.75" customHeight="1">
      <c r="A101" s="6">
        <v>21307</v>
      </c>
      <c r="B101" s="7" t="s">
        <v>140</v>
      </c>
      <c r="C101" s="48"/>
      <c r="D101" s="48"/>
      <c r="G101" s="45"/>
    </row>
    <row r="102" spans="1:7" ht="15.75" customHeight="1">
      <c r="A102" s="6">
        <v>21401</v>
      </c>
      <c r="B102" s="7" t="s">
        <v>142</v>
      </c>
      <c r="C102" s="48"/>
      <c r="D102" s="48"/>
      <c r="G102" s="45"/>
    </row>
    <row r="103" spans="1:7" ht="15.75" customHeight="1">
      <c r="A103" s="6">
        <v>21402</v>
      </c>
      <c r="B103" s="7" t="s">
        <v>143</v>
      </c>
      <c r="C103" s="48"/>
      <c r="D103" s="48"/>
      <c r="G103" s="45"/>
    </row>
    <row r="104" spans="1:7" ht="15.75" customHeight="1">
      <c r="A104" s="6">
        <v>21501</v>
      </c>
      <c r="B104" s="7" t="s">
        <v>145</v>
      </c>
      <c r="C104" s="48"/>
      <c r="D104" s="48"/>
      <c r="G104" s="45"/>
    </row>
    <row r="105" spans="1:7" ht="15.75" customHeight="1">
      <c r="A105" s="6">
        <v>21502</v>
      </c>
      <c r="B105" s="7" t="s">
        <v>146</v>
      </c>
      <c r="C105" s="48"/>
      <c r="D105" s="48"/>
      <c r="G105" s="45"/>
    </row>
    <row r="106" spans="1:7" ht="15.75" customHeight="1">
      <c r="A106" s="6">
        <v>21601</v>
      </c>
      <c r="B106" s="7" t="s">
        <v>148</v>
      </c>
      <c r="C106" s="48"/>
      <c r="D106" s="48"/>
      <c r="G106" s="45"/>
    </row>
    <row r="107" spans="1:7" ht="15.75" customHeight="1">
      <c r="A107" s="6">
        <v>21602</v>
      </c>
      <c r="B107" s="7" t="s">
        <v>149</v>
      </c>
      <c r="C107" s="48"/>
      <c r="D107" s="48"/>
      <c r="G107" s="45"/>
    </row>
    <row r="108" spans="1:7" ht="15.75" customHeight="1">
      <c r="A108" s="6">
        <v>21701</v>
      </c>
      <c r="B108" s="7" t="s">
        <v>151</v>
      </c>
      <c r="C108" s="48"/>
      <c r="D108" s="48"/>
      <c r="G108" s="45"/>
    </row>
    <row r="109" spans="1:7" ht="15.75" customHeight="1">
      <c r="A109" s="6">
        <v>21702</v>
      </c>
      <c r="B109" s="7" t="s">
        <v>152</v>
      </c>
      <c r="C109" s="48"/>
      <c r="D109" s="48"/>
      <c r="G109" s="45"/>
    </row>
    <row r="110" spans="1:7" ht="15.75" customHeight="1">
      <c r="A110" s="6">
        <v>21703</v>
      </c>
      <c r="B110" s="7" t="s">
        <v>153</v>
      </c>
      <c r="C110" s="48"/>
      <c r="D110" s="48"/>
      <c r="G110" s="45"/>
    </row>
    <row r="111" spans="1:7" ht="15.75" customHeight="1">
      <c r="A111" s="6">
        <v>21801</v>
      </c>
      <c r="B111" s="7" t="s">
        <v>155</v>
      </c>
      <c r="C111" s="48"/>
      <c r="D111" s="48"/>
      <c r="G111" s="45"/>
    </row>
    <row r="112" spans="1:7" ht="15.75" customHeight="1">
      <c r="A112" s="6">
        <v>21802</v>
      </c>
      <c r="B112" s="7" t="s">
        <v>157</v>
      </c>
      <c r="C112" s="48"/>
      <c r="D112" s="48"/>
      <c r="G112" s="45"/>
    </row>
    <row r="113" spans="1:7" ht="15.75" customHeight="1">
      <c r="A113" s="6">
        <v>21803</v>
      </c>
      <c r="B113" s="7" t="s">
        <v>158</v>
      </c>
      <c r="C113" s="48"/>
      <c r="D113" s="48"/>
      <c r="G113" s="45"/>
    </row>
    <row r="114" spans="1:7" ht="15.75" customHeight="1">
      <c r="A114" s="6">
        <v>21901</v>
      </c>
      <c r="B114" s="7" t="s">
        <v>160</v>
      </c>
      <c r="C114" s="48"/>
      <c r="D114" s="48"/>
      <c r="G114" s="45"/>
    </row>
    <row r="115" spans="1:7" ht="15.75" customHeight="1">
      <c r="A115" s="6">
        <v>21902</v>
      </c>
      <c r="B115" s="7" t="s">
        <v>161</v>
      </c>
      <c r="C115" s="48"/>
      <c r="D115" s="48"/>
      <c r="G115" s="45"/>
    </row>
    <row r="116" spans="1:7" ht="15.75" customHeight="1">
      <c r="A116" s="6">
        <v>22001</v>
      </c>
      <c r="B116" s="7" t="s">
        <v>162</v>
      </c>
      <c r="C116" s="48"/>
      <c r="D116" s="48"/>
      <c r="G116" s="45"/>
    </row>
    <row r="117" spans="1:7" ht="15.75" customHeight="1">
      <c r="A117" s="6">
        <v>22002</v>
      </c>
      <c r="B117" s="7" t="s">
        <v>163</v>
      </c>
      <c r="C117" s="48"/>
      <c r="D117" s="48"/>
      <c r="G117" s="45"/>
    </row>
    <row r="118" spans="1:7" ht="15.75" customHeight="1">
      <c r="A118" s="6">
        <v>30101</v>
      </c>
      <c r="B118" s="7" t="s">
        <v>17</v>
      </c>
      <c r="C118" s="48"/>
      <c r="D118" s="48"/>
      <c r="G118" s="45"/>
    </row>
    <row r="119" spans="1:7" ht="15.75" customHeight="1">
      <c r="A119" s="6">
        <v>30201</v>
      </c>
      <c r="B119" s="7" t="s">
        <v>166</v>
      </c>
      <c r="C119" s="48"/>
      <c r="D119" s="48"/>
      <c r="G119" s="45"/>
    </row>
    <row r="120" spans="1:7" ht="15.75" customHeight="1">
      <c r="A120" s="6">
        <v>30202</v>
      </c>
      <c r="B120" s="7" t="s">
        <v>167</v>
      </c>
      <c r="C120" s="48"/>
      <c r="D120" s="48"/>
      <c r="G120" s="45"/>
    </row>
    <row r="121" spans="1:7" ht="15.75" customHeight="1">
      <c r="A121" s="6">
        <v>30203</v>
      </c>
      <c r="B121" s="7" t="s">
        <v>168</v>
      </c>
      <c r="C121" s="48"/>
      <c r="D121" s="48"/>
      <c r="G121" s="45"/>
    </row>
    <row r="122" spans="1:7" ht="15.75" customHeight="1">
      <c r="A122" s="6">
        <v>30301</v>
      </c>
      <c r="B122" s="7" t="s">
        <v>170</v>
      </c>
      <c r="C122" s="48"/>
      <c r="D122" s="48"/>
      <c r="G122" s="45"/>
    </row>
    <row r="123" spans="1:7" ht="15.75" customHeight="1">
      <c r="A123" s="6">
        <v>30302</v>
      </c>
      <c r="B123" s="7" t="s">
        <v>171</v>
      </c>
      <c r="C123" s="48"/>
      <c r="D123" s="48"/>
      <c r="G123" s="45"/>
    </row>
    <row r="124" spans="1:7" ht="15.75" customHeight="1">
      <c r="A124" s="6">
        <v>30303</v>
      </c>
      <c r="B124" s="7" t="s">
        <v>172</v>
      </c>
      <c r="C124" s="48"/>
      <c r="D124" s="48"/>
      <c r="G124" s="45"/>
    </row>
    <row r="125" spans="1:7" ht="15.75" customHeight="1">
      <c r="A125" s="6">
        <v>30401</v>
      </c>
      <c r="B125" s="7" t="s">
        <v>174</v>
      </c>
      <c r="C125" s="48"/>
      <c r="D125" s="48"/>
      <c r="G125" s="45"/>
    </row>
    <row r="126" spans="1:7" ht="15.75" customHeight="1">
      <c r="A126" s="6">
        <v>30402</v>
      </c>
      <c r="B126" s="7" t="s">
        <v>175</v>
      </c>
      <c r="C126" s="48"/>
      <c r="D126" s="48"/>
      <c r="G126" s="45"/>
    </row>
    <row r="127" spans="1:7" ht="15.75" customHeight="1">
      <c r="A127" s="6">
        <v>30403</v>
      </c>
      <c r="B127" s="7" t="s">
        <v>176</v>
      </c>
      <c r="C127" s="48"/>
      <c r="D127" s="48"/>
      <c r="G127" s="45"/>
    </row>
    <row r="128" spans="1:7" ht="15.75" customHeight="1">
      <c r="A128" s="6">
        <v>30404</v>
      </c>
      <c r="B128" s="7" t="s">
        <v>177</v>
      </c>
      <c r="C128" s="48"/>
      <c r="D128" s="48"/>
      <c r="G128" s="45"/>
    </row>
    <row r="129" spans="1:7" ht="15.75" customHeight="1">
      <c r="A129" s="6">
        <v>30501</v>
      </c>
      <c r="B129" s="7" t="s">
        <v>178</v>
      </c>
      <c r="C129" s="48"/>
      <c r="D129" s="48"/>
      <c r="G129" s="45"/>
    </row>
    <row r="130" spans="1:7" ht="15.75" customHeight="1">
      <c r="A130" s="6">
        <v>30502</v>
      </c>
      <c r="B130" s="7" t="s">
        <v>179</v>
      </c>
      <c r="C130" s="48"/>
      <c r="D130" s="48"/>
      <c r="G130" s="45"/>
    </row>
    <row r="131" spans="1:7" ht="15.75" customHeight="1">
      <c r="A131" s="6">
        <v>30601</v>
      </c>
      <c r="B131" s="7" t="s">
        <v>180</v>
      </c>
      <c r="C131" s="48"/>
      <c r="D131" s="48"/>
      <c r="G131" s="45"/>
    </row>
    <row r="132" spans="1:7" ht="15.75" customHeight="1">
      <c r="A132" s="6">
        <v>30602</v>
      </c>
      <c r="B132" s="7" t="s">
        <v>181</v>
      </c>
      <c r="C132" s="48"/>
      <c r="D132" s="48"/>
      <c r="G132" s="45"/>
    </row>
    <row r="133" spans="1:7" ht="15.75" customHeight="1">
      <c r="A133" s="6">
        <v>30701</v>
      </c>
      <c r="B133" s="7" t="s">
        <v>182</v>
      </c>
      <c r="C133" s="48"/>
      <c r="D133" s="48"/>
      <c r="G133" s="45"/>
    </row>
    <row r="134" spans="1:7" ht="15.75" customHeight="1">
      <c r="A134" s="6">
        <v>30702</v>
      </c>
      <c r="B134" s="7" t="s">
        <v>183</v>
      </c>
      <c r="C134" s="48"/>
      <c r="D134" s="48"/>
      <c r="G134" s="45"/>
    </row>
    <row r="135" spans="1:7" ht="15.75" customHeight="1">
      <c r="A135" s="6">
        <v>30703</v>
      </c>
      <c r="B135" s="7" t="s">
        <v>184</v>
      </c>
      <c r="C135" s="48"/>
      <c r="D135" s="48"/>
      <c r="G135" s="45"/>
    </row>
    <row r="136" spans="1:7" ht="15.75" customHeight="1">
      <c r="A136" s="6">
        <v>30801</v>
      </c>
      <c r="B136" s="7" t="s">
        <v>186</v>
      </c>
      <c r="C136" s="48"/>
      <c r="D136" s="48"/>
      <c r="G136" s="45"/>
    </row>
    <row r="137" spans="1:7" ht="15.75" customHeight="1">
      <c r="A137" s="6">
        <v>30802</v>
      </c>
      <c r="B137" s="7" t="s">
        <v>187</v>
      </c>
      <c r="C137" s="48"/>
      <c r="D137" s="48"/>
      <c r="G137" s="45"/>
    </row>
    <row r="138" spans="1:7" ht="15.75" customHeight="1">
      <c r="A138" s="6">
        <v>30803</v>
      </c>
      <c r="B138" s="7" t="s">
        <v>188</v>
      </c>
      <c r="C138" s="48"/>
      <c r="D138" s="48"/>
      <c r="G138" s="45"/>
    </row>
    <row r="139" spans="1:7" ht="15.75" customHeight="1">
      <c r="A139" s="6">
        <v>30901</v>
      </c>
      <c r="B139" s="7" t="s">
        <v>189</v>
      </c>
      <c r="C139" s="48"/>
      <c r="D139" s="48"/>
      <c r="G139" s="45"/>
    </row>
    <row r="140" spans="1:7" ht="15.75" customHeight="1">
      <c r="A140" s="6">
        <v>30902</v>
      </c>
      <c r="B140" s="7" t="s">
        <v>190</v>
      </c>
      <c r="C140" s="48"/>
      <c r="D140" s="48"/>
      <c r="G140" s="45"/>
    </row>
    <row r="141" spans="1:7" ht="15.75" customHeight="1">
      <c r="A141" s="6">
        <v>30903</v>
      </c>
      <c r="B141" s="7" t="s">
        <v>191</v>
      </c>
      <c r="C141" s="48"/>
      <c r="D141" s="48"/>
      <c r="G141" s="45"/>
    </row>
    <row r="142" spans="1:7" ht="15.75" customHeight="1">
      <c r="A142" s="6">
        <v>30904</v>
      </c>
      <c r="B142" s="7" t="s">
        <v>192</v>
      </c>
      <c r="C142" s="48"/>
      <c r="D142" s="48"/>
      <c r="G142" s="45"/>
    </row>
    <row r="143" spans="1:7" ht="15.75" customHeight="1">
      <c r="A143" s="6">
        <v>30905</v>
      </c>
      <c r="B143" s="7" t="s">
        <v>193</v>
      </c>
      <c r="C143" s="48"/>
      <c r="D143" s="48"/>
      <c r="G143" s="45"/>
    </row>
    <row r="144" spans="1:7" ht="15.75" customHeight="1">
      <c r="A144" s="6">
        <v>31001</v>
      </c>
      <c r="B144" s="7" t="s">
        <v>195</v>
      </c>
      <c r="C144" s="48"/>
      <c r="D144" s="48"/>
      <c r="G144" s="45"/>
    </row>
    <row r="145" spans="1:7" ht="15.75" customHeight="1">
      <c r="A145" s="6">
        <v>31002</v>
      </c>
      <c r="B145" s="7" t="s">
        <v>196</v>
      </c>
      <c r="C145" s="48"/>
      <c r="D145" s="48"/>
      <c r="G145" s="45"/>
    </row>
    <row r="146" spans="1:7" ht="15.75" customHeight="1">
      <c r="A146" s="6">
        <v>31003</v>
      </c>
      <c r="B146" s="7" t="s">
        <v>197</v>
      </c>
      <c r="C146" s="48"/>
      <c r="D146" s="48"/>
      <c r="G146" s="45"/>
    </row>
    <row r="147" spans="1:7" ht="15.75" customHeight="1">
      <c r="A147" s="6">
        <v>31101</v>
      </c>
      <c r="B147" s="7" t="s">
        <v>198</v>
      </c>
      <c r="C147" s="48"/>
      <c r="D147" s="48"/>
      <c r="G147" s="45"/>
    </row>
    <row r="148" spans="1:7" ht="15.75" customHeight="1">
      <c r="A148" s="6">
        <v>31201</v>
      </c>
      <c r="B148" s="7" t="s">
        <v>200</v>
      </c>
      <c r="C148" s="48"/>
      <c r="D148" s="48"/>
      <c r="G148" s="45"/>
    </row>
    <row r="149" spans="1:7" ht="15.75" customHeight="1">
      <c r="A149" s="6">
        <v>31202</v>
      </c>
      <c r="B149" s="7" t="s">
        <v>201</v>
      </c>
      <c r="C149" s="48"/>
      <c r="D149" s="48"/>
      <c r="G149" s="45"/>
    </row>
    <row r="150" spans="1:7" ht="15.75" customHeight="1">
      <c r="A150" s="6">
        <v>31203</v>
      </c>
      <c r="B150" s="7" t="s">
        <v>202</v>
      </c>
      <c r="C150" s="48"/>
      <c r="D150" s="48"/>
      <c r="G150" s="45"/>
    </row>
    <row r="151" spans="1:7" ht="15.75" customHeight="1">
      <c r="A151" s="6">
        <v>31204</v>
      </c>
      <c r="B151" s="7" t="s">
        <v>203</v>
      </c>
      <c r="C151" s="48"/>
      <c r="D151" s="48"/>
      <c r="G151" s="45"/>
    </row>
    <row r="152" spans="1:7" ht="15.75" customHeight="1">
      <c r="A152" s="6">
        <v>31205</v>
      </c>
      <c r="B152" s="7" t="s">
        <v>204</v>
      </c>
      <c r="C152" s="48"/>
      <c r="D152" s="48"/>
      <c r="G152" s="45"/>
    </row>
    <row r="153" spans="1:7" ht="15.75" customHeight="1">
      <c r="A153" s="6">
        <v>31206</v>
      </c>
      <c r="B153" s="7" t="s">
        <v>205</v>
      </c>
      <c r="C153" s="48"/>
      <c r="D153" s="48"/>
      <c r="G153" s="45"/>
    </row>
    <row r="154" spans="1:7" ht="15.75" customHeight="1">
      <c r="A154" s="6">
        <v>31301</v>
      </c>
      <c r="B154" s="7" t="s">
        <v>206</v>
      </c>
      <c r="C154" s="48"/>
      <c r="D154" s="48"/>
      <c r="G154" s="45"/>
    </row>
    <row r="155" spans="1:7" ht="15.75" customHeight="1">
      <c r="A155" s="6">
        <v>31302</v>
      </c>
      <c r="B155" s="7" t="s">
        <v>207</v>
      </c>
      <c r="C155" s="48"/>
      <c r="D155" s="48"/>
      <c r="G155" s="45"/>
    </row>
    <row r="156" spans="1:7" ht="15.75" customHeight="1">
      <c r="A156" s="6">
        <v>31303</v>
      </c>
      <c r="B156" s="7" t="s">
        <v>208</v>
      </c>
      <c r="C156" s="48"/>
      <c r="D156" s="48"/>
      <c r="G156" s="45"/>
    </row>
    <row r="157" spans="1:7" ht="15.75" customHeight="1">
      <c r="A157" s="19">
        <v>31304</v>
      </c>
      <c r="B157" s="7" t="s">
        <v>209</v>
      </c>
      <c r="C157" s="48"/>
      <c r="D157" s="48"/>
      <c r="G157" s="45"/>
    </row>
    <row r="158" spans="1:7" ht="15.75" customHeight="1">
      <c r="A158" s="6">
        <v>31401</v>
      </c>
      <c r="B158" s="7" t="s">
        <v>210</v>
      </c>
      <c r="C158" s="48"/>
      <c r="D158" s="48"/>
      <c r="G158" s="45"/>
    </row>
    <row r="159" spans="1:7" ht="15.75" customHeight="1">
      <c r="A159" s="6">
        <v>31402</v>
      </c>
      <c r="B159" s="7" t="s">
        <v>211</v>
      </c>
      <c r="C159" s="48"/>
      <c r="D159" s="48"/>
      <c r="G159" s="45"/>
    </row>
    <row r="160" spans="1:7" ht="15.75" customHeight="1">
      <c r="A160" s="6">
        <v>31403</v>
      </c>
      <c r="B160" s="7" t="s">
        <v>212</v>
      </c>
      <c r="C160" s="48"/>
      <c r="D160" s="48"/>
      <c r="G160" s="45"/>
    </row>
    <row r="161" spans="1:7" ht="15.75" customHeight="1">
      <c r="A161" s="6">
        <v>31404</v>
      </c>
      <c r="B161" s="7" t="s">
        <v>213</v>
      </c>
      <c r="C161" s="48"/>
      <c r="D161" s="48"/>
      <c r="G161" s="45"/>
    </row>
    <row r="162" spans="1:7" ht="15.75" customHeight="1">
      <c r="A162" s="6">
        <v>31405</v>
      </c>
      <c r="B162" s="7" t="s">
        <v>214</v>
      </c>
      <c r="C162" s="48"/>
      <c r="D162" s="48"/>
      <c r="G162" s="45"/>
    </row>
    <row r="163" spans="1:7" ht="15.75" customHeight="1">
      <c r="A163" s="6">
        <v>31501</v>
      </c>
      <c r="B163" s="7" t="s">
        <v>215</v>
      </c>
      <c r="C163" s="48"/>
      <c r="D163" s="48"/>
      <c r="G163" s="45"/>
    </row>
    <row r="164" spans="1:7" ht="15.75" customHeight="1">
      <c r="A164" s="6">
        <v>31601</v>
      </c>
      <c r="B164" s="7" t="s">
        <v>216</v>
      </c>
      <c r="C164" s="48"/>
      <c r="D164" s="48"/>
      <c r="G164" s="45"/>
    </row>
    <row r="165" spans="1:7" ht="15.75" customHeight="1">
      <c r="A165" s="6">
        <v>31602</v>
      </c>
      <c r="B165" s="7" t="s">
        <v>217</v>
      </c>
      <c r="C165" s="48"/>
      <c r="D165" s="48"/>
      <c r="G165" s="45"/>
    </row>
    <row r="166" spans="1:7" ht="15.75" customHeight="1">
      <c r="A166" s="6">
        <v>40101</v>
      </c>
      <c r="B166" s="7" t="s">
        <v>20</v>
      </c>
      <c r="C166" s="48"/>
      <c r="D166" s="48"/>
      <c r="G166" s="45"/>
    </row>
    <row r="167" spans="1:7" ht="15.75" customHeight="1">
      <c r="A167" s="6">
        <v>40102</v>
      </c>
      <c r="B167" s="7" t="s">
        <v>218</v>
      </c>
      <c r="C167" s="48"/>
      <c r="D167" s="48"/>
      <c r="G167" s="45"/>
    </row>
    <row r="168" spans="1:7" ht="15.75" customHeight="1">
      <c r="A168" s="6">
        <v>40103</v>
      </c>
      <c r="B168" s="7" t="s">
        <v>219</v>
      </c>
      <c r="C168" s="48"/>
      <c r="D168" s="48"/>
      <c r="G168" s="45"/>
    </row>
    <row r="169" spans="1:7" ht="15.75" customHeight="1">
      <c r="A169" s="6">
        <v>40104</v>
      </c>
      <c r="B169" s="7" t="s">
        <v>220</v>
      </c>
      <c r="C169" s="48"/>
      <c r="D169" s="48"/>
      <c r="G169" s="45"/>
    </row>
    <row r="170" spans="1:7" ht="15.75" customHeight="1">
      <c r="A170" s="6">
        <v>40201</v>
      </c>
      <c r="B170" s="7" t="s">
        <v>222</v>
      </c>
      <c r="C170" s="48"/>
      <c r="D170" s="48"/>
      <c r="G170" s="45"/>
    </row>
    <row r="171" spans="1:7" ht="15.75" customHeight="1">
      <c r="A171" s="6">
        <v>40202</v>
      </c>
      <c r="B171" s="7" t="s">
        <v>223</v>
      </c>
      <c r="C171" s="48"/>
      <c r="D171" s="48"/>
      <c r="G171" s="45"/>
    </row>
    <row r="172" spans="1:7" ht="15.75" customHeight="1">
      <c r="A172" s="6">
        <v>40301</v>
      </c>
      <c r="B172" s="7" t="s">
        <v>225</v>
      </c>
      <c r="C172" s="48"/>
      <c r="D172" s="48"/>
      <c r="G172" s="45"/>
    </row>
    <row r="173" spans="1:7" ht="15.75" customHeight="1">
      <c r="A173" s="6">
        <v>40302</v>
      </c>
      <c r="B173" s="7" t="s">
        <v>226</v>
      </c>
      <c r="C173" s="48"/>
      <c r="D173" s="48"/>
      <c r="G173" s="45"/>
    </row>
    <row r="174" spans="1:7" ht="15.75" customHeight="1">
      <c r="A174" s="6">
        <v>40401</v>
      </c>
      <c r="B174" s="7" t="s">
        <v>228</v>
      </c>
      <c r="C174" s="48"/>
      <c r="D174" s="48"/>
      <c r="G174" s="45"/>
    </row>
    <row r="175" spans="1:7" ht="15.75" customHeight="1">
      <c r="A175" s="6">
        <v>40402</v>
      </c>
      <c r="B175" s="7" t="s">
        <v>229</v>
      </c>
      <c r="C175" s="48"/>
      <c r="D175" s="48"/>
      <c r="G175" s="45"/>
    </row>
    <row r="176" spans="1:7" ht="15.75" customHeight="1">
      <c r="A176" s="6">
        <v>40501</v>
      </c>
      <c r="B176" s="7" t="s">
        <v>231</v>
      </c>
      <c r="C176" s="48"/>
      <c r="D176" s="48"/>
      <c r="G176" s="45"/>
    </row>
    <row r="177" spans="1:7" ht="15.75" customHeight="1">
      <c r="A177" s="6">
        <v>40502</v>
      </c>
      <c r="B177" s="7" t="s">
        <v>232</v>
      </c>
      <c r="C177" s="48"/>
      <c r="D177" s="48"/>
      <c r="G177" s="45"/>
    </row>
    <row r="178" spans="1:7" ht="15.75" customHeight="1">
      <c r="A178" s="6">
        <v>40503</v>
      </c>
      <c r="B178" s="7" t="s">
        <v>233</v>
      </c>
      <c r="C178" s="48"/>
      <c r="D178" s="48"/>
      <c r="G178" s="45"/>
    </row>
    <row r="179" spans="1:7" ht="15.75" customHeight="1">
      <c r="A179" s="6">
        <v>40504</v>
      </c>
      <c r="B179" s="7" t="s">
        <v>234</v>
      </c>
      <c r="C179" s="48"/>
      <c r="D179" s="48"/>
      <c r="G179" s="45"/>
    </row>
    <row r="180" spans="1:7" ht="15.75" customHeight="1">
      <c r="A180" s="6">
        <v>40505</v>
      </c>
      <c r="B180" s="7" t="s">
        <v>235</v>
      </c>
      <c r="C180" s="48"/>
      <c r="D180" s="48"/>
      <c r="G180" s="45"/>
    </row>
    <row r="181" spans="1:7" ht="15.75" customHeight="1">
      <c r="A181" s="6">
        <v>40601</v>
      </c>
      <c r="B181" s="7" t="s">
        <v>236</v>
      </c>
      <c r="C181" s="48"/>
      <c r="D181" s="48"/>
      <c r="G181" s="45"/>
    </row>
    <row r="182" spans="1:7" ht="15.75" customHeight="1">
      <c r="A182" s="6">
        <v>40602</v>
      </c>
      <c r="B182" s="7" t="s">
        <v>237</v>
      </c>
      <c r="C182" s="48"/>
      <c r="D182" s="48"/>
      <c r="G182" s="45"/>
    </row>
    <row r="183" spans="1:7" ht="15.75" customHeight="1">
      <c r="A183" s="6">
        <v>40603</v>
      </c>
      <c r="B183" s="7" t="s">
        <v>238</v>
      </c>
      <c r="C183" s="48"/>
      <c r="D183" s="48"/>
      <c r="G183" s="45"/>
    </row>
    <row r="184" spans="1:7" ht="15.75" customHeight="1">
      <c r="A184" s="6">
        <v>40701</v>
      </c>
      <c r="B184" s="7" t="s">
        <v>240</v>
      </c>
      <c r="C184" s="48"/>
      <c r="D184" s="48"/>
      <c r="G184" s="45"/>
    </row>
    <row r="185" spans="1:7" ht="15.75" customHeight="1">
      <c r="A185" s="6">
        <v>40702</v>
      </c>
      <c r="B185" s="7" t="s">
        <v>241</v>
      </c>
      <c r="C185" s="48"/>
      <c r="D185" s="48"/>
      <c r="G185" s="45"/>
    </row>
    <row r="186" spans="1:7" ht="15.75" customHeight="1">
      <c r="A186" s="6">
        <v>40801</v>
      </c>
      <c r="B186" s="7" t="s">
        <v>243</v>
      </c>
      <c r="C186" s="48"/>
      <c r="D186" s="48"/>
      <c r="G186" s="45"/>
    </row>
    <row r="187" spans="1:7" ht="15.75" customHeight="1">
      <c r="A187" s="6">
        <v>40802</v>
      </c>
      <c r="B187" s="7" t="s">
        <v>244</v>
      </c>
      <c r="C187" s="48"/>
      <c r="D187" s="48"/>
      <c r="G187" s="45"/>
    </row>
    <row r="188" spans="1:7" ht="15.75" customHeight="1">
      <c r="A188" s="6">
        <v>40901</v>
      </c>
      <c r="B188" s="7" t="s">
        <v>245</v>
      </c>
      <c r="C188" s="48"/>
      <c r="D188" s="48"/>
      <c r="G188" s="45"/>
    </row>
    <row r="189" spans="1:7" ht="15.75" customHeight="1">
      <c r="A189" s="6">
        <v>40902</v>
      </c>
      <c r="B189" s="7" t="s">
        <v>246</v>
      </c>
      <c r="C189" s="48"/>
      <c r="D189" s="48"/>
      <c r="G189" s="45"/>
    </row>
    <row r="190" spans="1:7" ht="15.75" customHeight="1">
      <c r="A190" s="6">
        <v>40903</v>
      </c>
      <c r="B190" s="7" t="s">
        <v>247</v>
      </c>
      <c r="C190" s="48"/>
      <c r="D190" s="48"/>
      <c r="G190" s="45"/>
    </row>
    <row r="191" spans="1:7" ht="15.75" customHeight="1">
      <c r="A191" s="6">
        <v>41001</v>
      </c>
      <c r="B191" s="7" t="s">
        <v>249</v>
      </c>
      <c r="C191" s="48"/>
      <c r="D191" s="48"/>
      <c r="G191" s="45"/>
    </row>
    <row r="192" spans="1:7" ht="15.75" customHeight="1">
      <c r="A192" s="6">
        <v>41101</v>
      </c>
      <c r="B192" s="7" t="s">
        <v>251</v>
      </c>
      <c r="C192" s="48"/>
      <c r="D192" s="48"/>
      <c r="G192" s="45"/>
    </row>
    <row r="193" spans="1:7" ht="15.75" customHeight="1">
      <c r="A193" s="6">
        <v>41201</v>
      </c>
      <c r="B193" s="7" t="s">
        <v>253</v>
      </c>
      <c r="C193" s="48"/>
      <c r="D193" s="48"/>
      <c r="G193" s="45"/>
    </row>
    <row r="194" spans="1:7" ht="15.75" customHeight="1">
      <c r="A194" s="6">
        <v>41202</v>
      </c>
      <c r="B194" s="7" t="s">
        <v>254</v>
      </c>
      <c r="C194" s="48"/>
      <c r="D194" s="48"/>
      <c r="G194" s="45"/>
    </row>
    <row r="195" spans="1:7" ht="15.75" customHeight="1">
      <c r="A195" s="6">
        <v>41301</v>
      </c>
      <c r="B195" s="7" t="s">
        <v>255</v>
      </c>
      <c r="C195" s="48"/>
      <c r="D195" s="48"/>
      <c r="G195" s="45"/>
    </row>
    <row r="196" spans="1:7" ht="15.75" customHeight="1">
      <c r="A196" s="6">
        <v>41401</v>
      </c>
      <c r="B196" s="7" t="s">
        <v>257</v>
      </c>
      <c r="C196" s="48"/>
      <c r="D196" s="48"/>
      <c r="G196" s="45"/>
    </row>
    <row r="197" spans="1:7" ht="15.75" customHeight="1">
      <c r="A197" s="6">
        <v>41501</v>
      </c>
      <c r="B197" s="7" t="s">
        <v>259</v>
      </c>
      <c r="C197" s="48"/>
      <c r="D197" s="48"/>
      <c r="G197" s="45"/>
    </row>
    <row r="198" spans="1:7" ht="15.75" customHeight="1">
      <c r="A198" s="6">
        <v>41502</v>
      </c>
      <c r="B198" s="7" t="s">
        <v>260</v>
      </c>
      <c r="C198" s="48"/>
      <c r="D198" s="48"/>
      <c r="G198" s="45"/>
    </row>
    <row r="199" spans="1:7" ht="15.75" customHeight="1">
      <c r="A199" s="6">
        <v>41503</v>
      </c>
      <c r="B199" s="7" t="s">
        <v>224</v>
      </c>
      <c r="C199" s="48"/>
      <c r="D199" s="48"/>
      <c r="G199" s="45"/>
    </row>
    <row r="200" spans="1:7" ht="15.75" customHeight="1">
      <c r="A200" s="6">
        <v>41601</v>
      </c>
      <c r="B200" s="7" t="s">
        <v>262</v>
      </c>
      <c r="C200" s="48"/>
      <c r="D200" s="48"/>
      <c r="G200" s="45"/>
    </row>
    <row r="201" spans="1:7" ht="15.75" customHeight="1">
      <c r="A201" s="6">
        <v>50101</v>
      </c>
      <c r="B201" s="7" t="s">
        <v>263</v>
      </c>
      <c r="C201" s="48"/>
      <c r="D201" s="48"/>
      <c r="G201" s="45"/>
    </row>
    <row r="202" spans="1:7" ht="15.75" customHeight="1">
      <c r="A202" s="6">
        <v>50102</v>
      </c>
      <c r="B202" s="7" t="s">
        <v>265</v>
      </c>
      <c r="C202" s="48"/>
      <c r="D202" s="48"/>
      <c r="G202" s="45"/>
    </row>
    <row r="203" spans="1:7" ht="15.75" customHeight="1">
      <c r="A203" s="6">
        <v>50103</v>
      </c>
      <c r="B203" s="7" t="s">
        <v>266</v>
      </c>
      <c r="C203" s="48"/>
      <c r="D203" s="48"/>
      <c r="G203" s="45"/>
    </row>
    <row r="204" spans="1:7" ht="15.75" customHeight="1">
      <c r="A204" s="6">
        <v>50104</v>
      </c>
      <c r="B204" s="7" t="s">
        <v>267</v>
      </c>
      <c r="C204" s="48"/>
      <c r="D204" s="48"/>
      <c r="G204" s="45"/>
    </row>
    <row r="205" spans="1:7" ht="15.75" customHeight="1">
      <c r="A205" s="6">
        <v>50201</v>
      </c>
      <c r="B205" s="7" t="s">
        <v>269</v>
      </c>
      <c r="C205" s="48"/>
      <c r="D205" s="48"/>
      <c r="G205" s="45"/>
    </row>
    <row r="206" spans="1:7" ht="15.75" customHeight="1">
      <c r="A206" s="6">
        <v>50202</v>
      </c>
      <c r="B206" s="7" t="s">
        <v>270</v>
      </c>
      <c r="C206" s="48"/>
      <c r="D206" s="48"/>
      <c r="G206" s="45"/>
    </row>
    <row r="207" spans="1:7" ht="15.75" customHeight="1">
      <c r="A207" s="6">
        <v>50203</v>
      </c>
      <c r="B207" s="7" t="s">
        <v>271</v>
      </c>
      <c r="C207" s="48"/>
      <c r="D207" s="48"/>
      <c r="G207" s="45"/>
    </row>
    <row r="208" spans="1:7" ht="15.75" customHeight="1">
      <c r="A208" s="6">
        <v>50204</v>
      </c>
      <c r="B208" s="7" t="s">
        <v>272</v>
      </c>
      <c r="C208" s="48"/>
      <c r="D208" s="48"/>
      <c r="G208" s="45"/>
    </row>
    <row r="209" spans="1:7" ht="15.75" customHeight="1">
      <c r="A209" s="6">
        <v>50301</v>
      </c>
      <c r="B209" s="7" t="s">
        <v>274</v>
      </c>
      <c r="C209" s="48"/>
      <c r="D209" s="48"/>
      <c r="G209" s="45"/>
    </row>
    <row r="210" spans="1:7" ht="15.75" customHeight="1">
      <c r="A210" s="6">
        <v>50302</v>
      </c>
      <c r="B210" s="7" t="s">
        <v>275</v>
      </c>
      <c r="C210" s="48"/>
      <c r="D210" s="48"/>
      <c r="G210" s="45"/>
    </row>
    <row r="211" spans="1:7" ht="15.75" customHeight="1">
      <c r="A211" s="6">
        <v>50303</v>
      </c>
      <c r="B211" s="7" t="s">
        <v>276</v>
      </c>
      <c r="C211" s="48"/>
      <c r="D211" s="48"/>
      <c r="G211" s="45"/>
    </row>
    <row r="212" spans="1:7" ht="15.75" customHeight="1">
      <c r="A212" s="6">
        <v>50401</v>
      </c>
      <c r="B212" s="7" t="s">
        <v>277</v>
      </c>
      <c r="C212" s="48"/>
      <c r="D212" s="48"/>
      <c r="G212" s="45"/>
    </row>
    <row r="213" spans="1:7" ht="15.75" customHeight="1">
      <c r="A213" s="6">
        <v>50402</v>
      </c>
      <c r="B213" s="7" t="s">
        <v>278</v>
      </c>
      <c r="C213" s="48"/>
      <c r="D213" s="48"/>
      <c r="G213" s="45"/>
    </row>
    <row r="214" spans="1:7" ht="15.75" customHeight="1">
      <c r="A214" s="6">
        <v>50403</v>
      </c>
      <c r="B214" s="7" t="s">
        <v>279</v>
      </c>
      <c r="C214" s="48"/>
      <c r="D214" s="48"/>
      <c r="G214" s="45"/>
    </row>
    <row r="215" spans="1:7" ht="15.75" customHeight="1">
      <c r="A215" s="6">
        <v>50404</v>
      </c>
      <c r="B215" s="7" t="s">
        <v>280</v>
      </c>
      <c r="C215" s="48"/>
      <c r="D215" s="48"/>
      <c r="G215" s="45"/>
    </row>
    <row r="216" spans="1:7" ht="15.75" customHeight="1">
      <c r="A216" s="6">
        <v>50405</v>
      </c>
      <c r="B216" s="46" t="s">
        <v>281</v>
      </c>
      <c r="C216" s="48"/>
      <c r="D216" s="48"/>
      <c r="G216" s="45"/>
    </row>
    <row r="217" spans="1:7" ht="15.75" customHeight="1">
      <c r="A217" s="6">
        <v>50501</v>
      </c>
      <c r="B217" s="7" t="s">
        <v>283</v>
      </c>
      <c r="C217" s="48"/>
      <c r="D217" s="48"/>
      <c r="G217" s="45"/>
    </row>
    <row r="218" spans="1:7" ht="15.75" customHeight="1">
      <c r="A218" s="6">
        <v>50502</v>
      </c>
      <c r="B218" s="7" t="s">
        <v>284</v>
      </c>
      <c r="C218" s="48"/>
      <c r="D218" s="48"/>
      <c r="G218" s="45"/>
    </row>
    <row r="219" spans="1:7" ht="15.75" customHeight="1">
      <c r="A219" s="6">
        <v>50601</v>
      </c>
      <c r="B219" s="7" t="s">
        <v>286</v>
      </c>
      <c r="C219" s="48"/>
      <c r="D219" s="48"/>
      <c r="G219" s="45"/>
    </row>
    <row r="220" spans="1:7" ht="15.75" customHeight="1">
      <c r="A220" s="6">
        <v>50602</v>
      </c>
      <c r="B220" s="7" t="s">
        <v>287</v>
      </c>
      <c r="C220" s="48"/>
      <c r="D220" s="48"/>
      <c r="G220" s="45"/>
    </row>
    <row r="221" spans="1:7" ht="15.75" customHeight="1">
      <c r="A221" s="6">
        <v>50701</v>
      </c>
      <c r="B221" s="7" t="s">
        <v>289</v>
      </c>
      <c r="C221" s="48"/>
      <c r="D221" s="48"/>
      <c r="G221" s="45"/>
    </row>
    <row r="222" spans="1:7" ht="15.75" customHeight="1">
      <c r="A222" s="6">
        <v>50702</v>
      </c>
      <c r="B222" s="7" t="s">
        <v>290</v>
      </c>
      <c r="C222" s="48"/>
      <c r="D222" s="48"/>
      <c r="G222" s="45"/>
    </row>
    <row r="223" spans="1:7" ht="15.75" customHeight="1">
      <c r="A223" s="6">
        <v>50801</v>
      </c>
      <c r="B223" s="7" t="s">
        <v>292</v>
      </c>
      <c r="C223" s="48"/>
      <c r="D223" s="48"/>
      <c r="G223" s="45"/>
    </row>
    <row r="224" spans="1:7" ht="15.75" customHeight="1">
      <c r="A224" s="6">
        <v>50802</v>
      </c>
      <c r="B224" s="7" t="s">
        <v>293</v>
      </c>
      <c r="C224" s="48"/>
      <c r="D224" s="48"/>
      <c r="G224" s="45"/>
    </row>
    <row r="225" spans="1:7" ht="15.75" customHeight="1">
      <c r="A225" s="6">
        <v>50901</v>
      </c>
      <c r="B225" s="7" t="s">
        <v>295</v>
      </c>
      <c r="C225" s="48"/>
      <c r="D225" s="48"/>
      <c r="G225" s="45"/>
    </row>
    <row r="226" spans="1:7" ht="15.75" customHeight="1">
      <c r="A226" s="6">
        <v>50902</v>
      </c>
      <c r="B226" s="7" t="s">
        <v>296</v>
      </c>
      <c r="C226" s="48"/>
      <c r="D226" s="48"/>
      <c r="G226" s="45"/>
    </row>
    <row r="227" spans="1:7" ht="15.75" customHeight="1">
      <c r="A227" s="6">
        <v>51001</v>
      </c>
      <c r="B227" s="7" t="s">
        <v>298</v>
      </c>
      <c r="C227" s="48"/>
      <c r="D227" s="48"/>
      <c r="G227" s="45"/>
    </row>
    <row r="228" spans="1:7" ht="15.75" customHeight="1">
      <c r="A228" s="6">
        <v>51002</v>
      </c>
      <c r="B228" s="7" t="s">
        <v>299</v>
      </c>
      <c r="C228" s="48"/>
      <c r="D228" s="48"/>
      <c r="G228" s="45"/>
    </row>
    <row r="229" spans="1:7" ht="15.75" customHeight="1">
      <c r="A229" s="6">
        <v>51003</v>
      </c>
      <c r="B229" s="7" t="s">
        <v>300</v>
      </c>
      <c r="C229" s="48"/>
      <c r="D229" s="48"/>
      <c r="G229" s="45"/>
    </row>
    <row r="230" spans="1:7" ht="15.75" customHeight="1">
      <c r="A230" s="6">
        <v>51101</v>
      </c>
      <c r="B230" s="7" t="s">
        <v>302</v>
      </c>
      <c r="C230" s="48"/>
      <c r="D230" s="48"/>
      <c r="G230" s="45"/>
    </row>
    <row r="231" spans="1:7" ht="15.75" customHeight="1">
      <c r="A231" s="6">
        <v>51102</v>
      </c>
      <c r="B231" s="7" t="s">
        <v>303</v>
      </c>
      <c r="C231" s="48"/>
      <c r="D231" s="48"/>
      <c r="G231" s="45"/>
    </row>
    <row r="232" spans="1:7" ht="15.75" customHeight="1">
      <c r="A232" s="6">
        <v>51103</v>
      </c>
      <c r="B232" s="7" t="s">
        <v>304</v>
      </c>
      <c r="C232" s="48"/>
      <c r="D232" s="48"/>
      <c r="G232" s="45"/>
    </row>
    <row r="233" spans="1:7" ht="15.75" customHeight="1">
      <c r="A233" s="6">
        <v>51201</v>
      </c>
      <c r="B233" s="7" t="s">
        <v>306</v>
      </c>
      <c r="C233" s="48"/>
      <c r="D233" s="48"/>
      <c r="G233" s="45"/>
    </row>
    <row r="234" spans="1:7" ht="15.75" customHeight="1">
      <c r="A234" s="6">
        <v>51202</v>
      </c>
      <c r="B234" s="7" t="s">
        <v>307</v>
      </c>
      <c r="C234" s="48"/>
      <c r="D234" s="48"/>
      <c r="G234" s="45"/>
    </row>
    <row r="235" spans="1:7" ht="15.75" customHeight="1">
      <c r="A235" s="6">
        <v>51203</v>
      </c>
      <c r="B235" s="7" t="s">
        <v>308</v>
      </c>
      <c r="C235" s="48"/>
      <c r="D235" s="48"/>
      <c r="G235" s="45"/>
    </row>
    <row r="236" spans="1:7" ht="15.75" customHeight="1">
      <c r="A236" s="6">
        <v>51204</v>
      </c>
      <c r="B236" s="46" t="s">
        <v>309</v>
      </c>
      <c r="C236" s="48"/>
      <c r="D236" s="48"/>
      <c r="G236" s="45"/>
    </row>
    <row r="237" spans="1:7" ht="15.75" customHeight="1">
      <c r="A237" s="6">
        <v>51301</v>
      </c>
      <c r="B237" s="7" t="s">
        <v>311</v>
      </c>
      <c r="C237" s="48"/>
      <c r="D237" s="48"/>
      <c r="G237" s="45"/>
    </row>
    <row r="238" spans="1:7" ht="15.75" customHeight="1">
      <c r="A238" s="6">
        <v>51302</v>
      </c>
      <c r="B238" s="7" t="s">
        <v>312</v>
      </c>
      <c r="C238" s="48"/>
      <c r="D238" s="48"/>
      <c r="G238" s="45"/>
    </row>
    <row r="239" spans="1:7" ht="15.75" customHeight="1">
      <c r="A239" s="6">
        <v>51401</v>
      </c>
      <c r="B239" s="7" t="s">
        <v>314</v>
      </c>
      <c r="C239" s="48"/>
      <c r="D239" s="48"/>
      <c r="G239" s="45"/>
    </row>
    <row r="240" spans="1:7" ht="15.75" customHeight="1">
      <c r="A240" s="6">
        <v>51402</v>
      </c>
      <c r="B240" s="7" t="s">
        <v>315</v>
      </c>
      <c r="C240" s="48"/>
      <c r="D240" s="48"/>
      <c r="G240" s="45"/>
    </row>
    <row r="241" spans="1:7" ht="15.75" customHeight="1">
      <c r="A241" s="6">
        <v>51501</v>
      </c>
      <c r="B241" s="7" t="s">
        <v>317</v>
      </c>
      <c r="C241" s="48"/>
      <c r="D241" s="48"/>
      <c r="G241" s="45"/>
    </row>
    <row r="242" spans="1:7" ht="15.75" customHeight="1">
      <c r="A242" s="6">
        <v>51601</v>
      </c>
      <c r="B242" s="7" t="s">
        <v>319</v>
      </c>
      <c r="C242" s="48"/>
      <c r="D242" s="48"/>
      <c r="G242" s="45"/>
    </row>
    <row r="243" spans="1:7" ht="15.75" customHeight="1">
      <c r="A243" s="6">
        <v>60101</v>
      </c>
      <c r="B243" s="7" t="s">
        <v>25</v>
      </c>
      <c r="C243" s="48"/>
      <c r="D243" s="48"/>
      <c r="G243" s="45"/>
    </row>
    <row r="244" spans="1:7" ht="15.75" customHeight="1">
      <c r="A244" s="6">
        <v>60201</v>
      </c>
      <c r="B244" s="7" t="s">
        <v>321</v>
      </c>
      <c r="C244" s="48"/>
      <c r="D244" s="48"/>
      <c r="G244" s="45"/>
    </row>
    <row r="245" spans="1:7" ht="15.75" customHeight="1">
      <c r="A245" s="6">
        <v>60202</v>
      </c>
      <c r="B245" s="7" t="s">
        <v>322</v>
      </c>
      <c r="C245" s="48"/>
      <c r="D245" s="48"/>
      <c r="G245" s="45"/>
    </row>
    <row r="246" spans="1:7" ht="15.75" customHeight="1">
      <c r="A246" s="6">
        <v>60301</v>
      </c>
      <c r="B246" s="7" t="s">
        <v>324</v>
      </c>
      <c r="C246" s="48"/>
      <c r="D246" s="48"/>
      <c r="G246" s="45"/>
    </row>
    <row r="247" spans="1:7" ht="15.75" customHeight="1">
      <c r="A247" s="6">
        <v>60302</v>
      </c>
      <c r="B247" s="7" t="s">
        <v>325</v>
      </c>
      <c r="C247" s="48"/>
      <c r="D247" s="48"/>
      <c r="G247" s="45"/>
    </row>
    <row r="248" spans="1:7" ht="15.75" customHeight="1">
      <c r="A248" s="6">
        <v>60303</v>
      </c>
      <c r="B248" s="7" t="s">
        <v>326</v>
      </c>
      <c r="C248" s="48"/>
      <c r="D248" s="48"/>
      <c r="G248" s="45"/>
    </row>
    <row r="249" spans="1:7" ht="15.75" customHeight="1">
      <c r="A249" s="6">
        <v>60401</v>
      </c>
      <c r="B249" s="7" t="s">
        <v>328</v>
      </c>
      <c r="C249" s="48"/>
      <c r="D249" s="48"/>
      <c r="G249" s="45"/>
    </row>
    <row r="250" spans="1:7" ht="15.75" customHeight="1">
      <c r="A250" s="6">
        <v>60402</v>
      </c>
      <c r="B250" s="7" t="s">
        <v>329</v>
      </c>
      <c r="C250" s="48"/>
      <c r="D250" s="48"/>
      <c r="G250" s="45"/>
    </row>
    <row r="251" spans="1:7" ht="15.75" customHeight="1">
      <c r="A251" s="6">
        <v>60501</v>
      </c>
      <c r="B251" s="7" t="s">
        <v>331</v>
      </c>
      <c r="C251" s="48"/>
      <c r="D251" s="48"/>
      <c r="G251" s="45"/>
    </row>
    <row r="252" spans="1:7" ht="15.75" customHeight="1">
      <c r="A252" s="6">
        <v>60502</v>
      </c>
      <c r="B252" s="7" t="s">
        <v>332</v>
      </c>
      <c r="C252" s="48"/>
      <c r="D252" s="48"/>
      <c r="G252" s="45"/>
    </row>
    <row r="253" spans="1:7" ht="15.75" customHeight="1">
      <c r="A253" s="6">
        <v>60601</v>
      </c>
      <c r="B253" s="7" t="s">
        <v>205</v>
      </c>
      <c r="C253" s="48"/>
      <c r="D253" s="48"/>
      <c r="G253" s="45"/>
    </row>
    <row r="254" spans="1:7" ht="15.75" customHeight="1">
      <c r="A254" s="6">
        <v>70101</v>
      </c>
      <c r="B254" s="7" t="s">
        <v>335</v>
      </c>
      <c r="C254" s="48"/>
      <c r="D254" s="48"/>
      <c r="G254" s="45"/>
    </row>
    <row r="255" spans="1:7" ht="15.75" customHeight="1">
      <c r="A255" s="6">
        <v>70102</v>
      </c>
      <c r="B255" s="7" t="s">
        <v>336</v>
      </c>
      <c r="C255" s="48"/>
      <c r="D255" s="48"/>
      <c r="G255" s="45"/>
    </row>
    <row r="256" spans="1:7" ht="15.75" customHeight="1">
      <c r="A256" s="6">
        <v>70103</v>
      </c>
      <c r="B256" s="7" t="s">
        <v>337</v>
      </c>
      <c r="C256" s="48"/>
      <c r="D256" s="48"/>
      <c r="G256" s="45"/>
    </row>
    <row r="257" spans="1:7" ht="15.75" customHeight="1">
      <c r="A257" s="6">
        <v>70104</v>
      </c>
      <c r="B257" s="7" t="s">
        <v>338</v>
      </c>
      <c r="C257" s="48"/>
      <c r="D257" s="48"/>
      <c r="G257" s="45"/>
    </row>
    <row r="258" spans="1:7" ht="15.75" customHeight="1">
      <c r="A258" s="6">
        <v>70105</v>
      </c>
      <c r="B258" s="7" t="s">
        <v>339</v>
      </c>
      <c r="C258" s="48"/>
      <c r="D258" s="48"/>
      <c r="G258" s="45"/>
    </row>
    <row r="259" spans="1:7" ht="15.75" customHeight="1">
      <c r="A259" s="6">
        <v>70201</v>
      </c>
      <c r="B259" s="7" t="s">
        <v>340</v>
      </c>
      <c r="C259" s="48"/>
      <c r="D259" s="48"/>
      <c r="G259" s="45"/>
    </row>
    <row r="260" spans="1:7" ht="15.75" customHeight="1">
      <c r="A260" s="6">
        <v>70202</v>
      </c>
      <c r="B260" s="7" t="s">
        <v>341</v>
      </c>
      <c r="C260" s="48"/>
      <c r="D260" s="48"/>
      <c r="G260" s="45"/>
    </row>
    <row r="261" spans="1:7" ht="15.75" customHeight="1">
      <c r="A261" s="6">
        <v>70301</v>
      </c>
      <c r="B261" s="7" t="s">
        <v>343</v>
      </c>
      <c r="C261" s="48"/>
      <c r="D261" s="48"/>
      <c r="G261" s="45"/>
    </row>
    <row r="262" spans="1:7" ht="15.75" customHeight="1">
      <c r="A262" s="6">
        <v>70302</v>
      </c>
      <c r="B262" s="7" t="s">
        <v>344</v>
      </c>
      <c r="C262" s="48"/>
      <c r="D262" s="48"/>
      <c r="G262" s="45"/>
    </row>
    <row r="263" spans="1:7" ht="15.75" customHeight="1">
      <c r="A263" s="6">
        <v>70303</v>
      </c>
      <c r="B263" s="7" t="s">
        <v>345</v>
      </c>
      <c r="C263" s="48"/>
      <c r="D263" s="48"/>
      <c r="G263" s="45"/>
    </row>
    <row r="264" spans="1:7" ht="15.75" customHeight="1">
      <c r="A264" s="6">
        <v>70401</v>
      </c>
      <c r="B264" s="7" t="s">
        <v>347</v>
      </c>
      <c r="C264" s="48"/>
      <c r="D264" s="48"/>
      <c r="G264" s="45"/>
    </row>
    <row r="265" spans="1:7" ht="15.75" customHeight="1">
      <c r="A265" s="6">
        <v>70402</v>
      </c>
      <c r="B265" s="7" t="s">
        <v>348</v>
      </c>
      <c r="C265" s="48"/>
      <c r="D265" s="48"/>
      <c r="G265" s="45"/>
    </row>
    <row r="266" spans="1:7" ht="15.75" customHeight="1">
      <c r="A266" s="6">
        <v>70403</v>
      </c>
      <c r="B266" s="7" t="s">
        <v>349</v>
      </c>
      <c r="C266" s="48"/>
      <c r="D266" s="48"/>
      <c r="G266" s="45"/>
    </row>
    <row r="267" spans="1:7" ht="15.75" customHeight="1">
      <c r="A267" s="6">
        <v>70404</v>
      </c>
      <c r="B267" s="7" t="s">
        <v>350</v>
      </c>
      <c r="C267" s="48"/>
      <c r="D267" s="48"/>
      <c r="G267" s="45"/>
    </row>
    <row r="268" spans="1:7" ht="15.75" customHeight="1">
      <c r="A268" s="6">
        <v>70501</v>
      </c>
      <c r="B268" s="7" t="s">
        <v>352</v>
      </c>
      <c r="C268" s="48"/>
      <c r="D268" s="48"/>
      <c r="G268" s="45"/>
    </row>
    <row r="269" spans="1:7" ht="15.75" customHeight="1">
      <c r="A269" s="6">
        <v>70502</v>
      </c>
      <c r="B269" s="7" t="s">
        <v>353</v>
      </c>
      <c r="C269" s="48"/>
      <c r="D269" s="48"/>
      <c r="G269" s="45"/>
    </row>
    <row r="270" spans="1:7" ht="15.75" customHeight="1">
      <c r="A270" s="6">
        <v>70503</v>
      </c>
      <c r="B270" s="7" t="s">
        <v>354</v>
      </c>
      <c r="C270" s="48"/>
      <c r="D270" s="48"/>
      <c r="G270" s="45"/>
    </row>
    <row r="271" spans="1:7" ht="15.75" customHeight="1">
      <c r="A271" s="6">
        <v>70601</v>
      </c>
      <c r="B271" s="7" t="s">
        <v>356</v>
      </c>
      <c r="C271" s="48"/>
      <c r="D271" s="48"/>
      <c r="G271" s="45"/>
    </row>
    <row r="272" spans="1:7" ht="15.75" customHeight="1">
      <c r="A272" s="6">
        <v>70602</v>
      </c>
      <c r="B272" s="7" t="s">
        <v>357</v>
      </c>
      <c r="C272" s="48"/>
      <c r="D272" s="48"/>
      <c r="G272" s="45"/>
    </row>
    <row r="273" spans="1:7" ht="15.75" customHeight="1">
      <c r="A273" s="6">
        <v>70603</v>
      </c>
      <c r="B273" s="7" t="s">
        <v>358</v>
      </c>
      <c r="C273" s="48"/>
      <c r="D273" s="48"/>
      <c r="G273" s="45"/>
    </row>
    <row r="274" spans="1:7" ht="15.75" customHeight="1">
      <c r="A274" s="6">
        <v>70701</v>
      </c>
      <c r="B274" s="7" t="s">
        <v>360</v>
      </c>
      <c r="C274" s="48"/>
      <c r="D274" s="48"/>
      <c r="G274" s="45"/>
    </row>
    <row r="275" spans="1:7" ht="15.75" customHeight="1">
      <c r="A275" s="6">
        <v>70702</v>
      </c>
      <c r="B275" s="7" t="s">
        <v>361</v>
      </c>
      <c r="C275" s="48"/>
      <c r="D275" s="48"/>
      <c r="G275" s="45"/>
    </row>
    <row r="276" spans="1:7" ht="15.75" customHeight="1">
      <c r="A276" s="6">
        <v>70703</v>
      </c>
      <c r="B276" s="7" t="s">
        <v>362</v>
      </c>
      <c r="C276" s="48"/>
      <c r="D276" s="48"/>
      <c r="G276" s="45"/>
    </row>
    <row r="277" spans="1:7" ht="15.75" customHeight="1">
      <c r="A277" s="6">
        <v>70704</v>
      </c>
      <c r="B277" s="7" t="s">
        <v>363</v>
      </c>
      <c r="C277" s="48"/>
      <c r="D277" s="48"/>
      <c r="G277" s="45"/>
    </row>
    <row r="278" spans="1:7" ht="15.75" customHeight="1">
      <c r="A278" s="6">
        <v>70705</v>
      </c>
      <c r="B278" s="7" t="s">
        <v>364</v>
      </c>
      <c r="C278" s="48"/>
      <c r="D278" s="48"/>
      <c r="G278" s="45"/>
    </row>
    <row r="279" spans="1:7" ht="15.75" customHeight="1">
      <c r="A279" s="6">
        <v>70706</v>
      </c>
      <c r="B279" s="7" t="s">
        <v>365</v>
      </c>
      <c r="C279" s="48"/>
      <c r="D279" s="48"/>
      <c r="G279" s="45"/>
    </row>
    <row r="280" spans="1:7" ht="15.75" customHeight="1">
      <c r="A280" s="6">
        <v>70707</v>
      </c>
      <c r="B280" s="7" t="s">
        <v>366</v>
      </c>
      <c r="C280" s="48"/>
      <c r="D280" s="48"/>
      <c r="G280" s="45"/>
    </row>
    <row r="281" spans="1:7" ht="15.75" customHeight="1">
      <c r="A281" s="6">
        <v>70801</v>
      </c>
      <c r="B281" s="7" t="s">
        <v>367</v>
      </c>
      <c r="C281" s="48"/>
      <c r="D281" s="48"/>
      <c r="G281" s="45"/>
    </row>
    <row r="282" spans="1:7" ht="15.75" customHeight="1">
      <c r="A282" s="6">
        <v>70802</v>
      </c>
      <c r="B282" s="7" t="s">
        <v>368</v>
      </c>
      <c r="C282" s="48"/>
      <c r="D282" s="48"/>
      <c r="G282" s="45"/>
    </row>
    <row r="283" spans="1:7" ht="15.75" customHeight="1">
      <c r="A283" s="6">
        <v>70803</v>
      </c>
      <c r="B283" s="7" t="s">
        <v>369</v>
      </c>
      <c r="C283" s="48"/>
      <c r="D283" s="48"/>
      <c r="G283" s="45"/>
    </row>
    <row r="284" spans="1:7" ht="15.75" customHeight="1">
      <c r="A284" s="6">
        <v>70804</v>
      </c>
      <c r="B284" s="7" t="s">
        <v>370</v>
      </c>
      <c r="C284" s="48"/>
      <c r="D284" s="48"/>
      <c r="G284" s="45"/>
    </row>
    <row r="285" spans="1:7" ht="15.75" customHeight="1">
      <c r="A285" s="6">
        <v>70805</v>
      </c>
      <c r="B285" s="7" t="s">
        <v>371</v>
      </c>
      <c r="C285" s="48"/>
      <c r="D285" s="48"/>
      <c r="G285" s="45"/>
    </row>
    <row r="286" spans="1:7" ht="15.75" customHeight="1">
      <c r="A286" s="6">
        <v>70901</v>
      </c>
      <c r="B286" s="7" t="s">
        <v>373</v>
      </c>
      <c r="C286" s="48"/>
      <c r="D286" s="48"/>
      <c r="G286" s="45"/>
    </row>
    <row r="287" spans="1:7" ht="15.75" customHeight="1">
      <c r="A287" s="6">
        <v>70902</v>
      </c>
      <c r="B287" s="7" t="s">
        <v>374</v>
      </c>
      <c r="C287" s="48"/>
      <c r="D287" s="48"/>
      <c r="G287" s="45"/>
    </row>
    <row r="288" spans="1:7" ht="15.75" customHeight="1">
      <c r="A288" s="6">
        <v>70903</v>
      </c>
      <c r="B288" s="7" t="s">
        <v>375</v>
      </c>
      <c r="C288" s="48"/>
      <c r="D288" s="48"/>
      <c r="G288" s="45"/>
    </row>
    <row r="289" spans="1:7" ht="15.75" customHeight="1">
      <c r="A289" s="6">
        <v>70904</v>
      </c>
      <c r="B289" s="7" t="s">
        <v>376</v>
      </c>
      <c r="C289" s="48"/>
      <c r="D289" s="48"/>
      <c r="G289" s="45"/>
    </row>
    <row r="290" spans="1:7" ht="15.75" customHeight="1">
      <c r="A290" s="6">
        <v>71001</v>
      </c>
      <c r="B290" s="7" t="s">
        <v>378</v>
      </c>
      <c r="C290" s="48"/>
      <c r="D290" s="48"/>
      <c r="G290" s="45"/>
    </row>
    <row r="291" spans="1:7" ht="15.75" customHeight="1">
      <c r="A291" s="6">
        <v>71002</v>
      </c>
      <c r="B291" s="7" t="s">
        <v>379</v>
      </c>
      <c r="C291" s="48"/>
      <c r="D291" s="48"/>
      <c r="G291" s="45"/>
    </row>
    <row r="292" spans="1:7" ht="15.75" customHeight="1">
      <c r="A292" s="6">
        <v>71003</v>
      </c>
      <c r="B292" s="7" t="s">
        <v>380</v>
      </c>
      <c r="C292" s="48"/>
      <c r="D292" s="48"/>
      <c r="G292" s="45"/>
    </row>
    <row r="293" spans="1:7" ht="15.75" customHeight="1">
      <c r="A293" s="6">
        <v>71004</v>
      </c>
      <c r="B293" s="7" t="s">
        <v>381</v>
      </c>
      <c r="C293" s="48"/>
      <c r="D293" s="48"/>
      <c r="G293" s="45"/>
    </row>
    <row r="294" spans="1:7" ht="15.75" customHeight="1">
      <c r="A294" s="6">
        <v>71005</v>
      </c>
      <c r="B294" s="7" t="s">
        <v>382</v>
      </c>
      <c r="C294" s="48"/>
      <c r="D294" s="48"/>
      <c r="G294" s="45"/>
    </row>
    <row r="295" spans="1:7" ht="15.75" customHeight="1">
      <c r="A295" s="6">
        <v>71101</v>
      </c>
      <c r="B295" s="7" t="s">
        <v>384</v>
      </c>
      <c r="C295" s="48"/>
      <c r="D295" s="48"/>
      <c r="G295" s="45"/>
    </row>
    <row r="296" spans="1:7" ht="15.75" customHeight="1">
      <c r="A296" s="6">
        <v>71102</v>
      </c>
      <c r="B296" s="7" t="s">
        <v>385</v>
      </c>
      <c r="C296" s="48"/>
      <c r="D296" s="48"/>
      <c r="G296" s="45"/>
    </row>
    <row r="297" spans="1:7" ht="15.75" customHeight="1">
      <c r="A297" s="6">
        <v>71103</v>
      </c>
      <c r="B297" s="7" t="s">
        <v>386</v>
      </c>
      <c r="C297" s="48"/>
      <c r="D297" s="48"/>
      <c r="G297" s="45"/>
    </row>
    <row r="298" spans="1:7" ht="15.75" customHeight="1">
      <c r="A298" s="6">
        <v>71104</v>
      </c>
      <c r="B298" s="7" t="s">
        <v>387</v>
      </c>
      <c r="C298" s="48"/>
      <c r="D298" s="48"/>
      <c r="G298" s="45"/>
    </row>
    <row r="299" spans="1:7" ht="15.75" customHeight="1">
      <c r="A299" s="6">
        <v>71105</v>
      </c>
      <c r="B299" s="7" t="s">
        <v>388</v>
      </c>
      <c r="C299" s="48"/>
      <c r="D299" s="48"/>
      <c r="G299" s="45"/>
    </row>
    <row r="300" spans="1:7" ht="15.75" customHeight="1">
      <c r="A300" s="6">
        <v>71106</v>
      </c>
      <c r="B300" s="7" t="s">
        <v>389</v>
      </c>
      <c r="C300" s="48"/>
      <c r="D300" s="48"/>
      <c r="G300" s="45"/>
    </row>
    <row r="301" spans="1:7" ht="15.75" customHeight="1">
      <c r="A301" s="6">
        <v>71201</v>
      </c>
      <c r="B301" s="7" t="s">
        <v>391</v>
      </c>
      <c r="C301" s="48"/>
      <c r="D301" s="48"/>
      <c r="G301" s="45"/>
    </row>
    <row r="302" spans="1:7" ht="15.75" customHeight="1">
      <c r="A302" s="6">
        <v>71301</v>
      </c>
      <c r="B302" s="7" t="s">
        <v>393</v>
      </c>
      <c r="C302" s="48"/>
      <c r="D302" s="48"/>
      <c r="G302" s="45"/>
    </row>
    <row r="303" spans="1:7" ht="15.75" customHeight="1">
      <c r="A303" s="6">
        <v>71302</v>
      </c>
      <c r="B303" s="7" t="s">
        <v>394</v>
      </c>
      <c r="C303" s="48"/>
      <c r="D303" s="48"/>
      <c r="G303" s="45"/>
    </row>
    <row r="304" spans="1:7" ht="15.75" customHeight="1">
      <c r="A304" s="6">
        <v>71401</v>
      </c>
      <c r="B304" s="7" t="s">
        <v>396</v>
      </c>
      <c r="C304" s="48"/>
      <c r="D304" s="48"/>
      <c r="G304" s="45"/>
    </row>
    <row r="305" spans="1:7" ht="15.75" customHeight="1">
      <c r="A305" s="6">
        <v>71402</v>
      </c>
      <c r="B305" s="7" t="s">
        <v>397</v>
      </c>
      <c r="C305" s="48"/>
      <c r="D305" s="48"/>
      <c r="G305" s="45"/>
    </row>
    <row r="306" spans="1:7" ht="15.75" customHeight="1">
      <c r="A306" s="6">
        <v>71403</v>
      </c>
      <c r="B306" s="7" t="s">
        <v>398</v>
      </c>
      <c r="C306" s="48"/>
      <c r="D306" s="48"/>
      <c r="G306" s="45"/>
    </row>
    <row r="307" spans="1:7" ht="15.75" customHeight="1">
      <c r="A307" s="6">
        <v>71501</v>
      </c>
      <c r="B307" s="7" t="s">
        <v>400</v>
      </c>
      <c r="C307" s="48"/>
      <c r="D307" s="48"/>
      <c r="G307" s="45"/>
    </row>
    <row r="308" spans="1:7" ht="15.75" customHeight="1">
      <c r="A308" s="6">
        <v>71502</v>
      </c>
      <c r="B308" s="7" t="s">
        <v>401</v>
      </c>
      <c r="C308" s="48"/>
      <c r="D308" s="48"/>
      <c r="G308" s="45"/>
    </row>
    <row r="309" spans="1:7" ht="15.75" customHeight="1">
      <c r="A309" s="6">
        <v>71503</v>
      </c>
      <c r="B309" s="7" t="s">
        <v>332</v>
      </c>
      <c r="C309" s="48"/>
      <c r="D309" s="48"/>
      <c r="G309" s="45"/>
    </row>
    <row r="310" spans="1:7" ht="15.75" customHeight="1">
      <c r="A310" s="6">
        <v>80101</v>
      </c>
      <c r="B310" s="7" t="s">
        <v>402</v>
      </c>
      <c r="C310" s="48"/>
      <c r="D310" s="48"/>
      <c r="G310" s="45"/>
    </row>
    <row r="311" spans="1:7" ht="15.75" customHeight="1">
      <c r="A311" s="6">
        <v>80102</v>
      </c>
      <c r="B311" s="7" t="s">
        <v>385</v>
      </c>
      <c r="C311" s="48"/>
      <c r="D311" s="48"/>
      <c r="G311" s="45"/>
    </row>
    <row r="312" spans="1:7" ht="15.75" customHeight="1">
      <c r="A312" s="6">
        <v>80201</v>
      </c>
      <c r="B312" s="7" t="s">
        <v>404</v>
      </c>
      <c r="C312" s="48"/>
      <c r="D312" s="48"/>
      <c r="G312" s="45"/>
    </row>
    <row r="313" spans="1:7" ht="15.75" customHeight="1">
      <c r="A313" s="6">
        <v>80202</v>
      </c>
      <c r="B313" s="7" t="s">
        <v>405</v>
      </c>
      <c r="C313" s="48"/>
      <c r="D313" s="48"/>
      <c r="G313" s="45"/>
    </row>
    <row r="314" spans="1:7" ht="15.75" customHeight="1">
      <c r="A314" s="6">
        <v>80301</v>
      </c>
      <c r="B314" s="7" t="s">
        <v>407</v>
      </c>
      <c r="C314" s="48"/>
      <c r="D314" s="48"/>
      <c r="G314" s="45"/>
    </row>
    <row r="315" spans="1:7" ht="15.75" customHeight="1">
      <c r="A315" s="6">
        <v>80302</v>
      </c>
      <c r="B315" s="7" t="s">
        <v>408</v>
      </c>
      <c r="C315" s="48"/>
      <c r="D315" s="48"/>
      <c r="G315" s="45"/>
    </row>
    <row r="316" spans="1:7" ht="15.75" customHeight="1">
      <c r="A316" s="6">
        <v>80303</v>
      </c>
      <c r="B316" s="7" t="s">
        <v>409</v>
      </c>
      <c r="C316" s="48"/>
      <c r="D316" s="48"/>
      <c r="G316" s="45"/>
    </row>
    <row r="317" spans="1:7" ht="15.75" customHeight="1">
      <c r="A317" s="6">
        <v>80304</v>
      </c>
      <c r="B317" s="7" t="s">
        <v>410</v>
      </c>
      <c r="C317" s="48"/>
      <c r="D317" s="48"/>
      <c r="G317" s="45"/>
    </row>
    <row r="318" spans="1:7" ht="15.75" customHeight="1">
      <c r="A318" s="6">
        <v>80401</v>
      </c>
      <c r="B318" s="7" t="s">
        <v>412</v>
      </c>
      <c r="C318" s="48"/>
      <c r="D318" s="48"/>
      <c r="G318" s="45"/>
    </row>
    <row r="319" spans="1:7" ht="15.75" customHeight="1">
      <c r="A319" s="6">
        <v>80402</v>
      </c>
      <c r="B319" s="7" t="s">
        <v>413</v>
      </c>
      <c r="C319" s="48"/>
      <c r="D319" s="48"/>
      <c r="G319" s="45"/>
    </row>
    <row r="320" spans="1:7" ht="15.75" customHeight="1">
      <c r="A320" s="6">
        <v>80501</v>
      </c>
      <c r="B320" s="7" t="s">
        <v>415</v>
      </c>
      <c r="C320" s="48"/>
      <c r="D320" s="48"/>
      <c r="G320" s="45"/>
    </row>
    <row r="321" spans="1:7" ht="15.75" customHeight="1">
      <c r="A321" s="6">
        <v>80601</v>
      </c>
      <c r="B321" s="7" t="s">
        <v>417</v>
      </c>
      <c r="C321" s="48"/>
      <c r="D321" s="48"/>
      <c r="G321" s="45"/>
    </row>
    <row r="322" spans="1:7" ht="15.75" customHeight="1">
      <c r="A322" s="6">
        <v>80602</v>
      </c>
      <c r="B322" s="7" t="s">
        <v>418</v>
      </c>
      <c r="C322" s="48"/>
      <c r="D322" s="48"/>
      <c r="G322" s="45"/>
    </row>
    <row r="323" spans="1:7" ht="15.75" customHeight="1">
      <c r="A323" s="6">
        <v>80701</v>
      </c>
      <c r="B323" s="7" t="s">
        <v>420</v>
      </c>
      <c r="C323" s="48"/>
      <c r="D323" s="48"/>
      <c r="G323" s="45"/>
    </row>
    <row r="324" spans="1:7" ht="15.75" customHeight="1">
      <c r="A324" s="6">
        <v>80702</v>
      </c>
      <c r="B324" s="7" t="s">
        <v>386</v>
      </c>
      <c r="C324" s="48"/>
      <c r="D324" s="48"/>
      <c r="G324" s="45"/>
    </row>
    <row r="325" spans="1:7" ht="15.75" customHeight="1">
      <c r="A325" s="6">
        <v>80703</v>
      </c>
      <c r="B325" s="7" t="s">
        <v>421</v>
      </c>
      <c r="C325" s="48"/>
      <c r="D325" s="48"/>
      <c r="G325" s="45"/>
    </row>
    <row r="326" spans="1:7" ht="15.75" customHeight="1">
      <c r="A326" s="6">
        <v>80801</v>
      </c>
      <c r="B326" s="7" t="s">
        <v>423</v>
      </c>
      <c r="C326" s="48"/>
      <c r="D326" s="48"/>
      <c r="G326" s="45"/>
    </row>
    <row r="327" spans="1:7" ht="15.75" customHeight="1">
      <c r="A327" s="6">
        <v>80802</v>
      </c>
      <c r="B327" s="7" t="s">
        <v>424</v>
      </c>
      <c r="C327" s="48"/>
      <c r="D327" s="48"/>
      <c r="G327" s="45"/>
    </row>
    <row r="328" spans="1:7" ht="15.75" customHeight="1">
      <c r="A328" s="6">
        <v>80803</v>
      </c>
      <c r="B328" s="7" t="s">
        <v>425</v>
      </c>
      <c r="C328" s="48"/>
      <c r="D328" s="48"/>
      <c r="G328" s="45"/>
    </row>
    <row r="329" spans="1:7" ht="15.75" customHeight="1">
      <c r="A329" s="6">
        <v>80901</v>
      </c>
      <c r="B329" s="46" t="s">
        <v>426</v>
      </c>
      <c r="C329" s="48"/>
      <c r="D329" s="48"/>
      <c r="G329" s="45"/>
    </row>
    <row r="330" spans="1:7" ht="15.75" customHeight="1">
      <c r="A330" s="6">
        <v>90101</v>
      </c>
      <c r="B330" s="7" t="s">
        <v>428</v>
      </c>
      <c r="C330" s="48"/>
      <c r="D330" s="48"/>
      <c r="G330" s="45"/>
    </row>
    <row r="331" spans="1:7" ht="15.75" customHeight="1">
      <c r="A331" s="6">
        <v>90102</v>
      </c>
      <c r="B331" s="7" t="s">
        <v>429</v>
      </c>
      <c r="C331" s="48"/>
      <c r="D331" s="48"/>
      <c r="G331" s="45"/>
    </row>
    <row r="332" spans="1:7" ht="15.75" customHeight="1">
      <c r="A332" s="6">
        <v>90103</v>
      </c>
      <c r="B332" s="7" t="s">
        <v>430</v>
      </c>
      <c r="C332" s="48"/>
      <c r="D332" s="48"/>
      <c r="G332" s="45"/>
    </row>
    <row r="333" spans="1:7" ht="15.75" customHeight="1">
      <c r="A333" s="6">
        <v>90104</v>
      </c>
      <c r="B333" s="7" t="s">
        <v>431</v>
      </c>
      <c r="C333" s="48"/>
      <c r="D333" s="48"/>
      <c r="G333" s="45"/>
    </row>
    <row r="334" spans="1:7" ht="15.75" customHeight="1">
      <c r="A334" s="6">
        <v>90201</v>
      </c>
      <c r="B334" s="7" t="s">
        <v>433</v>
      </c>
      <c r="C334" s="48"/>
      <c r="D334" s="48"/>
      <c r="G334" s="45"/>
    </row>
    <row r="335" spans="1:7" ht="15.75" customHeight="1">
      <c r="A335" s="6">
        <v>90202</v>
      </c>
      <c r="B335" s="7" t="s">
        <v>382</v>
      </c>
      <c r="C335" s="48"/>
      <c r="D335" s="48"/>
      <c r="G335" s="45"/>
    </row>
    <row r="336" spans="1:7" ht="15.75" customHeight="1">
      <c r="A336" s="6">
        <v>90203</v>
      </c>
      <c r="B336" s="7" t="s">
        <v>434</v>
      </c>
      <c r="C336" s="48"/>
      <c r="D336" s="48"/>
      <c r="G336" s="45"/>
    </row>
    <row r="337" spans="1:7" ht="15.75" customHeight="1">
      <c r="A337" s="6">
        <v>90301</v>
      </c>
      <c r="B337" s="7" t="s">
        <v>436</v>
      </c>
      <c r="C337" s="48"/>
      <c r="D337" s="48"/>
      <c r="G337" s="45"/>
    </row>
    <row r="338" spans="1:7" ht="15.75" customHeight="1">
      <c r="A338" s="6">
        <v>90302</v>
      </c>
      <c r="B338" s="7" t="s">
        <v>437</v>
      </c>
      <c r="C338" s="48"/>
      <c r="D338" s="48"/>
      <c r="G338" s="45"/>
    </row>
    <row r="339" spans="1:7" ht="15.75" customHeight="1">
      <c r="A339" s="6">
        <v>90303</v>
      </c>
      <c r="B339" s="7" t="s">
        <v>438</v>
      </c>
      <c r="C339" s="48"/>
      <c r="D339" s="48"/>
      <c r="G339" s="45"/>
    </row>
    <row r="340" spans="1:7" ht="15.75" customHeight="1">
      <c r="A340" s="6">
        <v>90401</v>
      </c>
      <c r="B340" s="7" t="s">
        <v>440</v>
      </c>
      <c r="C340" s="48"/>
      <c r="D340" s="48"/>
      <c r="G340" s="45"/>
    </row>
    <row r="341" spans="1:7" ht="15.75" customHeight="1">
      <c r="A341" s="6">
        <v>90402</v>
      </c>
      <c r="B341" s="7" t="s">
        <v>102</v>
      </c>
      <c r="C341" s="48"/>
      <c r="D341" s="48"/>
      <c r="G341" s="45"/>
    </row>
    <row r="342" spans="1:7" ht="15.75" customHeight="1">
      <c r="A342" s="6">
        <v>90501</v>
      </c>
      <c r="B342" s="7" t="s">
        <v>442</v>
      </c>
      <c r="C342" s="48"/>
      <c r="D342" s="48"/>
      <c r="G342" s="45"/>
    </row>
    <row r="343" spans="1:7" ht="15.75" customHeight="1">
      <c r="A343" s="6">
        <v>90502</v>
      </c>
      <c r="B343" s="7" t="s">
        <v>443</v>
      </c>
      <c r="C343" s="48"/>
      <c r="D343" s="48"/>
      <c r="G343" s="45"/>
    </row>
    <row r="344" spans="1:7" ht="15.75" customHeight="1">
      <c r="A344" s="6">
        <v>90503</v>
      </c>
      <c r="B344" s="7" t="s">
        <v>444</v>
      </c>
      <c r="C344" s="48"/>
      <c r="D344" s="48"/>
      <c r="G344" s="45"/>
    </row>
    <row r="345" spans="1:7" ht="15.75" customHeight="1">
      <c r="A345" s="23"/>
      <c r="B345" s="24"/>
      <c r="C345" s="49"/>
      <c r="D345" s="49"/>
    </row>
    <row r="346" spans="1:7" ht="15.75" customHeight="1">
      <c r="A346" s="23"/>
      <c r="B346" s="24"/>
      <c r="C346" s="34"/>
      <c r="D346" s="32"/>
    </row>
    <row r="347" spans="1:7" ht="15.75" customHeight="1">
      <c r="A347" s="23"/>
      <c r="B347" s="24"/>
      <c r="C347" s="34"/>
      <c r="D347" s="32"/>
    </row>
    <row r="348" spans="1:7" ht="15.75" customHeight="1">
      <c r="A348" s="23"/>
      <c r="B348" s="24"/>
      <c r="C348" s="34"/>
    </row>
    <row r="349" spans="1:7" ht="15.75" customHeight="1">
      <c r="A349" s="23"/>
      <c r="B349" s="24"/>
      <c r="C349" s="34"/>
    </row>
    <row r="350" spans="1:7" ht="15.75" customHeight="1">
      <c r="A350" s="23"/>
      <c r="B350" s="24"/>
      <c r="C350" s="34"/>
      <c r="D350" s="34"/>
    </row>
    <row r="351" spans="1:7" ht="15.75" customHeight="1">
      <c r="A351" s="23"/>
      <c r="B351" s="24"/>
      <c r="C351" s="34"/>
      <c r="D351" s="34"/>
    </row>
    <row r="352" spans="1:7" ht="15.75" customHeight="1">
      <c r="A352" s="23"/>
      <c r="B352" s="24"/>
      <c r="C352" s="34"/>
      <c r="D352" s="34"/>
    </row>
    <row r="353" spans="1:4" ht="15.75" customHeight="1">
      <c r="A353" s="23"/>
      <c r="B353" s="35"/>
      <c r="C353" s="34"/>
      <c r="D353" s="34"/>
    </row>
    <row r="354" spans="1:4" ht="15.75" customHeight="1">
      <c r="A354" s="23"/>
      <c r="B354" s="35"/>
      <c r="D354" s="32"/>
    </row>
    <row r="355" spans="1:4" ht="15.75" customHeight="1">
      <c r="A355" s="23"/>
      <c r="B355" s="35"/>
    </row>
    <row r="356" spans="1:4" ht="15.75" customHeight="1">
      <c r="A356" s="23"/>
      <c r="B356" s="35"/>
    </row>
    <row r="357" spans="1:4" ht="15.75" customHeight="1">
      <c r="A357" s="23"/>
      <c r="B357" s="35"/>
    </row>
    <row r="358" spans="1:4" ht="15.75" customHeight="1">
      <c r="A358" s="23"/>
      <c r="B358" s="35"/>
    </row>
    <row r="359" spans="1:4" ht="15.75" customHeight="1">
      <c r="A359" s="23"/>
      <c r="B359" s="35"/>
    </row>
    <row r="360" spans="1:4" ht="15.75" customHeight="1">
      <c r="A360" s="23"/>
      <c r="B360" s="35"/>
    </row>
    <row r="361" spans="1:4" ht="15.75" customHeight="1">
      <c r="A361" s="23"/>
      <c r="B361" s="35"/>
    </row>
    <row r="362" spans="1:4" ht="15.75" customHeight="1">
      <c r="A362" s="23"/>
      <c r="B362" s="35"/>
    </row>
    <row r="363" spans="1:4" ht="15.75" customHeight="1">
      <c r="A363" s="23"/>
      <c r="B363" s="35"/>
    </row>
    <row r="364" spans="1:4" ht="15.75" customHeight="1">
      <c r="A364" s="23"/>
      <c r="B364" s="35"/>
    </row>
    <row r="365" spans="1:4" ht="15.75" customHeight="1">
      <c r="A365" s="23"/>
      <c r="B365" s="35"/>
    </row>
    <row r="366" spans="1:4" ht="15.75" customHeight="1">
      <c r="A366" s="23"/>
      <c r="B366" s="35"/>
    </row>
    <row r="367" spans="1:4" ht="15.75" customHeight="1">
      <c r="A367" s="23"/>
      <c r="B367" s="35"/>
    </row>
    <row r="368" spans="1:4" ht="15.75" customHeight="1">
      <c r="A368" s="23"/>
      <c r="B368" s="35"/>
    </row>
    <row r="369" spans="1:2" ht="15.75" customHeight="1">
      <c r="A369" s="23"/>
      <c r="B369" s="35"/>
    </row>
    <row r="370" spans="1:2" ht="15.75" customHeight="1">
      <c r="A370" s="23"/>
      <c r="B370" s="35"/>
    </row>
    <row r="371" spans="1:2" ht="15.75" customHeight="1">
      <c r="A371" s="23"/>
      <c r="B371" s="35"/>
    </row>
    <row r="372" spans="1:2" ht="15.75" customHeight="1">
      <c r="A372" s="23"/>
      <c r="B372" s="35"/>
    </row>
    <row r="373" spans="1:2" ht="15.75" customHeight="1">
      <c r="A373" s="23"/>
      <c r="B373" s="35"/>
    </row>
    <row r="374" spans="1:2" ht="15.75" customHeight="1">
      <c r="A374" s="23"/>
      <c r="B374" s="35"/>
    </row>
    <row r="375" spans="1:2" ht="15.75" customHeight="1">
      <c r="A375" s="23"/>
      <c r="B375" s="35"/>
    </row>
    <row r="376" spans="1:2" ht="15.75" customHeight="1">
      <c r="A376" s="23"/>
      <c r="B376" s="35"/>
    </row>
    <row r="377" spans="1:2" ht="15.75" customHeight="1">
      <c r="A377" s="23"/>
      <c r="B377" s="35"/>
    </row>
    <row r="378" spans="1:2" ht="15.75" customHeight="1">
      <c r="A378" s="23"/>
      <c r="B378" s="35"/>
    </row>
    <row r="379" spans="1:2" ht="15.75" customHeight="1">
      <c r="A379" s="23"/>
      <c r="B379" s="35"/>
    </row>
    <row r="380" spans="1:2" ht="15.75" customHeight="1">
      <c r="A380" s="23"/>
      <c r="B380" s="35"/>
    </row>
    <row r="381" spans="1:2" ht="15.75" customHeight="1">
      <c r="A381" s="23"/>
      <c r="B381" s="35"/>
    </row>
    <row r="382" spans="1:2" ht="15.75" customHeight="1">
      <c r="A382" s="23"/>
      <c r="B382" s="35"/>
    </row>
    <row r="383" spans="1:2" ht="15.75" customHeight="1">
      <c r="A383" s="23"/>
      <c r="B383" s="35"/>
    </row>
    <row r="384" spans="1:2" ht="15.75" customHeight="1">
      <c r="A384" s="23"/>
      <c r="B384" s="35"/>
    </row>
    <row r="385" spans="1:2" ht="15.75" customHeight="1">
      <c r="A385" s="23"/>
      <c r="B385" s="35"/>
    </row>
    <row r="386" spans="1:2" ht="15.75" customHeight="1">
      <c r="A386" s="23"/>
      <c r="B386" s="35"/>
    </row>
    <row r="387" spans="1:2" ht="15.75" customHeight="1">
      <c r="A387" s="23"/>
      <c r="B387" s="35"/>
    </row>
    <row r="388" spans="1:2" ht="15.75" customHeight="1">
      <c r="A388" s="23"/>
      <c r="B388" s="35"/>
    </row>
    <row r="389" spans="1:2" ht="15.75" customHeight="1">
      <c r="A389" s="23"/>
      <c r="B389" s="35"/>
    </row>
    <row r="390" spans="1:2" ht="15.75" customHeight="1">
      <c r="A390" s="23"/>
      <c r="B390" s="35"/>
    </row>
    <row r="391" spans="1:2" ht="15.75" customHeight="1">
      <c r="A391" s="23"/>
      <c r="B391" s="35"/>
    </row>
    <row r="392" spans="1:2" ht="15.75" customHeight="1">
      <c r="A392" s="23"/>
      <c r="B392" s="35"/>
    </row>
    <row r="393" spans="1:2" ht="15.75" customHeight="1">
      <c r="A393" s="23"/>
      <c r="B393" s="35"/>
    </row>
    <row r="394" spans="1:2" ht="15.75" customHeight="1">
      <c r="A394" s="23"/>
      <c r="B394" s="35"/>
    </row>
    <row r="395" spans="1:2" ht="15.75" customHeight="1">
      <c r="A395" s="23"/>
      <c r="B395" s="35"/>
    </row>
    <row r="396" spans="1:2" ht="15.75" customHeight="1">
      <c r="A396" s="23"/>
      <c r="B396" s="35"/>
    </row>
    <row r="397" spans="1:2" ht="15.75" customHeight="1">
      <c r="A397" s="23"/>
      <c r="B397" s="35"/>
    </row>
    <row r="398" spans="1:2" ht="15.75" customHeight="1">
      <c r="A398" s="23"/>
      <c r="B398" s="35"/>
    </row>
    <row r="399" spans="1:2" ht="15.75" customHeight="1">
      <c r="A399" s="23"/>
      <c r="B399" s="35"/>
    </row>
    <row r="400" spans="1:2" ht="15.75" customHeight="1">
      <c r="A400" s="23"/>
      <c r="B400" s="35"/>
    </row>
    <row r="401" spans="1:2" ht="15.75" customHeight="1">
      <c r="A401" s="23"/>
      <c r="B401" s="35"/>
    </row>
    <row r="402" spans="1:2" ht="15.75" customHeight="1">
      <c r="A402" s="23"/>
      <c r="B402" s="35"/>
    </row>
    <row r="403" spans="1:2" ht="15.75" customHeight="1">
      <c r="A403" s="23"/>
      <c r="B403" s="35"/>
    </row>
    <row r="404" spans="1:2" ht="15.75" customHeight="1">
      <c r="A404" s="23"/>
      <c r="B404" s="35"/>
    </row>
    <row r="405" spans="1:2" ht="15.75" customHeight="1">
      <c r="A405" s="23"/>
      <c r="B405" s="35"/>
    </row>
    <row r="406" spans="1:2" ht="15.75" customHeight="1">
      <c r="A406" s="23"/>
      <c r="B406" s="35"/>
    </row>
    <row r="407" spans="1:2" ht="15.75" customHeight="1">
      <c r="A407" s="23"/>
      <c r="B407" s="35"/>
    </row>
    <row r="408" spans="1:2" ht="15.75" customHeight="1">
      <c r="A408" s="23"/>
      <c r="B408" s="35"/>
    </row>
    <row r="409" spans="1:2" ht="15.75" customHeight="1">
      <c r="A409" s="23"/>
      <c r="B409" s="35"/>
    </row>
    <row r="410" spans="1:2" ht="15.75" customHeight="1">
      <c r="A410" s="23"/>
      <c r="B410" s="35"/>
    </row>
    <row r="411" spans="1:2" ht="15.75" customHeight="1">
      <c r="A411" s="23"/>
      <c r="B411" s="35"/>
    </row>
    <row r="412" spans="1:2" ht="15.75" customHeight="1">
      <c r="A412" s="23"/>
      <c r="B412" s="35"/>
    </row>
    <row r="413" spans="1:2" ht="15.75" customHeight="1">
      <c r="A413" s="23"/>
      <c r="B413" s="35"/>
    </row>
    <row r="414" spans="1:2" ht="15.75" customHeight="1">
      <c r="A414" s="23"/>
      <c r="B414" s="35"/>
    </row>
    <row r="415" spans="1:2" ht="15.75" customHeight="1">
      <c r="A415" s="23"/>
      <c r="B415" s="35"/>
    </row>
    <row r="416" spans="1:2" ht="15.75" customHeight="1">
      <c r="A416" s="23"/>
      <c r="B416" s="35"/>
    </row>
    <row r="417" spans="1:2" ht="15.75" customHeight="1">
      <c r="A417" s="23"/>
      <c r="B417" s="35"/>
    </row>
    <row r="418" spans="1:2" ht="15.75" customHeight="1">
      <c r="A418" s="23"/>
      <c r="B418" s="35"/>
    </row>
    <row r="419" spans="1:2" ht="15.75" customHeight="1">
      <c r="A419" s="23"/>
      <c r="B419" s="35"/>
    </row>
    <row r="420" spans="1:2" ht="15.75" customHeight="1">
      <c r="A420" s="23"/>
      <c r="B420" s="35"/>
    </row>
    <row r="421" spans="1:2" ht="15.75" customHeight="1">
      <c r="A421" s="23"/>
      <c r="B421" s="35"/>
    </row>
    <row r="422" spans="1:2" ht="15.75" customHeight="1">
      <c r="A422" s="23"/>
      <c r="B422" s="35"/>
    </row>
    <row r="423" spans="1:2" ht="15.75" customHeight="1">
      <c r="A423" s="23"/>
      <c r="B423" s="35"/>
    </row>
    <row r="424" spans="1:2" ht="15.75" customHeight="1">
      <c r="A424" s="23"/>
      <c r="B424" s="35"/>
    </row>
    <row r="425" spans="1:2" ht="15.75" customHeight="1">
      <c r="A425" s="23"/>
      <c r="B425" s="35"/>
    </row>
    <row r="426" spans="1:2" ht="15.75" customHeight="1">
      <c r="A426" s="23"/>
      <c r="B426" s="35"/>
    </row>
    <row r="427" spans="1:2" ht="15.75" customHeight="1">
      <c r="A427" s="23"/>
      <c r="B427" s="35"/>
    </row>
    <row r="428" spans="1:2" ht="15.75" customHeight="1">
      <c r="A428" s="23"/>
      <c r="B428" s="35"/>
    </row>
    <row r="429" spans="1:2" ht="15.75" customHeight="1">
      <c r="A429" s="23"/>
      <c r="B429" s="35"/>
    </row>
    <row r="430" spans="1:2" ht="15.75" customHeight="1">
      <c r="A430" s="23"/>
      <c r="B430" s="35"/>
    </row>
    <row r="431" spans="1:2" ht="15.75" customHeight="1">
      <c r="A431" s="23"/>
      <c r="B431" s="35"/>
    </row>
    <row r="432" spans="1:2" ht="15.75" customHeight="1">
      <c r="A432" s="23"/>
      <c r="B432" s="35"/>
    </row>
    <row r="433" spans="1:2" ht="15.75" customHeight="1">
      <c r="A433" s="23"/>
      <c r="B433" s="35"/>
    </row>
    <row r="434" spans="1:2" ht="15.75" customHeight="1">
      <c r="A434" s="23"/>
      <c r="B434" s="35"/>
    </row>
    <row r="435" spans="1:2" ht="15.75" customHeight="1">
      <c r="A435" s="23"/>
      <c r="B435" s="35"/>
    </row>
    <row r="436" spans="1:2" ht="15.75" customHeight="1">
      <c r="A436" s="23"/>
      <c r="B436" s="35"/>
    </row>
    <row r="437" spans="1:2" ht="15.75" customHeight="1">
      <c r="A437" s="23"/>
      <c r="B437" s="35"/>
    </row>
    <row r="438" spans="1:2" ht="15.75" customHeight="1">
      <c r="A438" s="23"/>
      <c r="B438" s="35"/>
    </row>
    <row r="439" spans="1:2" ht="15.75" customHeight="1">
      <c r="A439" s="23"/>
      <c r="B439" s="35"/>
    </row>
    <row r="440" spans="1:2" ht="15.75" customHeight="1">
      <c r="A440" s="23"/>
      <c r="B440" s="35"/>
    </row>
    <row r="441" spans="1:2" ht="15.75" customHeight="1">
      <c r="A441" s="23"/>
      <c r="B441" s="35"/>
    </row>
    <row r="442" spans="1:2" ht="15.75" customHeight="1">
      <c r="A442" s="23"/>
      <c r="B442" s="35"/>
    </row>
    <row r="443" spans="1:2" ht="15.75" customHeight="1">
      <c r="A443" s="23"/>
      <c r="B443" s="35"/>
    </row>
    <row r="444" spans="1:2" ht="15.75" customHeight="1">
      <c r="A444" s="23"/>
      <c r="B444" s="35"/>
    </row>
    <row r="445" spans="1:2" ht="15.75" customHeight="1">
      <c r="A445" s="23"/>
      <c r="B445" s="35"/>
    </row>
    <row r="446" spans="1:2" ht="15.75" customHeight="1">
      <c r="A446" s="23"/>
      <c r="B446" s="35"/>
    </row>
    <row r="447" spans="1:2" ht="15.75" customHeight="1">
      <c r="A447" s="23"/>
      <c r="B447" s="35"/>
    </row>
    <row r="448" spans="1:2" ht="15.75" customHeight="1">
      <c r="A448" s="23"/>
      <c r="B448" s="35"/>
    </row>
    <row r="449" spans="1:2" ht="15.75" customHeight="1">
      <c r="A449" s="23"/>
      <c r="B449" s="35"/>
    </row>
    <row r="450" spans="1:2" ht="15.75" customHeight="1">
      <c r="A450" s="23"/>
      <c r="B450" s="35"/>
    </row>
    <row r="451" spans="1:2" ht="15.75" customHeight="1">
      <c r="A451" s="23"/>
      <c r="B451" s="35"/>
    </row>
    <row r="452" spans="1:2" ht="15.75" customHeight="1">
      <c r="A452" s="23"/>
      <c r="B452" s="35"/>
    </row>
    <row r="453" spans="1:2" ht="15.75" customHeight="1">
      <c r="A453" s="23"/>
      <c r="B453" s="35"/>
    </row>
    <row r="454" spans="1:2" ht="15.75" customHeight="1">
      <c r="A454" s="23"/>
      <c r="B454" s="35"/>
    </row>
    <row r="455" spans="1:2" ht="15.75" customHeight="1">
      <c r="A455" s="23"/>
      <c r="B455" s="35"/>
    </row>
    <row r="456" spans="1:2" ht="15.75" customHeight="1">
      <c r="A456" s="23"/>
      <c r="B456" s="35"/>
    </row>
    <row r="457" spans="1:2" ht="15.75" customHeight="1">
      <c r="A457" s="23"/>
      <c r="B457" s="35"/>
    </row>
    <row r="458" spans="1:2" ht="15.75" customHeight="1">
      <c r="A458" s="23"/>
      <c r="B458" s="35"/>
    </row>
    <row r="459" spans="1:2" ht="15.75" customHeight="1">
      <c r="A459" s="23"/>
      <c r="B459" s="35"/>
    </row>
    <row r="460" spans="1:2" ht="15.75" customHeight="1">
      <c r="A460" s="23"/>
      <c r="B460" s="35"/>
    </row>
    <row r="461" spans="1:2" ht="15.75" customHeight="1">
      <c r="A461" s="23"/>
      <c r="B461" s="35"/>
    </row>
    <row r="462" spans="1:2" ht="15.75" customHeight="1">
      <c r="A462" s="23"/>
      <c r="B462" s="35"/>
    </row>
    <row r="463" spans="1:2" ht="15.75" customHeight="1">
      <c r="A463" s="23"/>
      <c r="B463" s="35"/>
    </row>
    <row r="464" spans="1:2" ht="15.75" customHeight="1">
      <c r="A464" s="23"/>
      <c r="B464" s="35"/>
    </row>
    <row r="465" spans="1:2" ht="15.75" customHeight="1">
      <c r="A465" s="23"/>
      <c r="B465" s="35"/>
    </row>
    <row r="466" spans="1:2" ht="15.75" customHeight="1">
      <c r="A466" s="23"/>
      <c r="B466" s="35"/>
    </row>
    <row r="467" spans="1:2" ht="15.75" customHeight="1">
      <c r="A467" s="23"/>
      <c r="B467" s="35"/>
    </row>
    <row r="468" spans="1:2" ht="15.75" customHeight="1">
      <c r="A468" s="23"/>
      <c r="B468" s="35"/>
    </row>
    <row r="469" spans="1:2" ht="15.75" customHeight="1">
      <c r="A469" s="23"/>
      <c r="B469" s="35"/>
    </row>
    <row r="470" spans="1:2" ht="15.75" customHeight="1">
      <c r="A470" s="23"/>
      <c r="B470" s="35"/>
    </row>
    <row r="471" spans="1:2" ht="15.75" customHeight="1">
      <c r="A471" s="23"/>
      <c r="B471" s="35"/>
    </row>
    <row r="472" spans="1:2" ht="15.75" customHeight="1">
      <c r="A472" s="23"/>
      <c r="B472" s="35"/>
    </row>
    <row r="473" spans="1:2" ht="15.75" customHeight="1">
      <c r="A473" s="23"/>
      <c r="B473" s="35"/>
    </row>
    <row r="474" spans="1:2" ht="15.75" customHeight="1">
      <c r="A474" s="23"/>
      <c r="B474" s="35"/>
    </row>
    <row r="475" spans="1:2" ht="15.75" customHeight="1">
      <c r="A475" s="23"/>
      <c r="B475" s="35"/>
    </row>
    <row r="476" spans="1:2" ht="15.75" customHeight="1">
      <c r="A476" s="23"/>
      <c r="B476" s="35"/>
    </row>
    <row r="477" spans="1:2" ht="15.75" customHeight="1">
      <c r="A477" s="23"/>
      <c r="B477" s="35"/>
    </row>
    <row r="478" spans="1:2" ht="15.75" customHeight="1">
      <c r="A478" s="23"/>
      <c r="B478" s="35"/>
    </row>
    <row r="479" spans="1:2" ht="15.75" customHeight="1">
      <c r="A479" s="23"/>
      <c r="B479" s="35"/>
    </row>
    <row r="480" spans="1:2" ht="15.75" customHeight="1">
      <c r="A480" s="23"/>
      <c r="B480" s="35"/>
    </row>
    <row r="481" spans="1:2" ht="15.75" customHeight="1">
      <c r="A481" s="23"/>
      <c r="B481" s="35"/>
    </row>
    <row r="482" spans="1:2" ht="15.75" customHeight="1">
      <c r="A482" s="23"/>
      <c r="B482" s="35"/>
    </row>
    <row r="483" spans="1:2" ht="15.75" customHeight="1">
      <c r="A483" s="23"/>
      <c r="B483" s="35"/>
    </row>
    <row r="484" spans="1:2" ht="15.75" customHeight="1">
      <c r="A484" s="23"/>
      <c r="B484" s="35"/>
    </row>
    <row r="485" spans="1:2" ht="15.75" customHeight="1">
      <c r="A485" s="23"/>
      <c r="B485" s="35"/>
    </row>
    <row r="486" spans="1:2" ht="15.75" customHeight="1">
      <c r="A486" s="23"/>
      <c r="B486" s="35"/>
    </row>
    <row r="487" spans="1:2" ht="15.75" customHeight="1">
      <c r="A487" s="23"/>
      <c r="B487" s="35"/>
    </row>
    <row r="488" spans="1:2" ht="15.75" customHeight="1">
      <c r="A488" s="23"/>
      <c r="B488" s="35"/>
    </row>
    <row r="489" spans="1:2" ht="15.75" customHeight="1">
      <c r="A489" s="23"/>
      <c r="B489" s="35"/>
    </row>
    <row r="490" spans="1:2" ht="15.75" customHeight="1">
      <c r="A490" s="23"/>
      <c r="B490" s="35"/>
    </row>
    <row r="491" spans="1:2" ht="15.75" customHeight="1">
      <c r="A491" s="23"/>
      <c r="B491" s="35"/>
    </row>
    <row r="492" spans="1:2" ht="15.75" customHeight="1">
      <c r="A492" s="23"/>
      <c r="B492" s="35"/>
    </row>
    <row r="493" spans="1:2" ht="15.75" customHeight="1">
      <c r="A493" s="23"/>
      <c r="B493" s="35"/>
    </row>
    <row r="494" spans="1:2" ht="15.75" customHeight="1">
      <c r="A494" s="23"/>
      <c r="B494" s="35"/>
    </row>
    <row r="495" spans="1:2" ht="15.75" customHeight="1">
      <c r="A495" s="23"/>
      <c r="B495" s="35"/>
    </row>
    <row r="496" spans="1:2" ht="15.75" customHeight="1">
      <c r="A496" s="23"/>
      <c r="B496" s="35"/>
    </row>
    <row r="497" spans="1:2" ht="15.75" customHeight="1">
      <c r="A497" s="23"/>
      <c r="B497" s="35"/>
    </row>
    <row r="498" spans="1:2" ht="15.75" customHeight="1">
      <c r="A498" s="23"/>
      <c r="B498" s="35"/>
    </row>
    <row r="499" spans="1:2" ht="15.75" customHeight="1">
      <c r="A499" s="23"/>
      <c r="B499" s="35"/>
    </row>
    <row r="500" spans="1:2" ht="15.75" customHeight="1">
      <c r="A500" s="23"/>
      <c r="B500" s="35"/>
    </row>
    <row r="501" spans="1:2" ht="15.75" customHeight="1">
      <c r="A501" s="23"/>
      <c r="B501" s="35"/>
    </row>
    <row r="502" spans="1:2" ht="15.75" customHeight="1">
      <c r="A502" s="23"/>
      <c r="B502" s="35"/>
    </row>
    <row r="503" spans="1:2" ht="15.75" customHeight="1">
      <c r="A503" s="23"/>
      <c r="B503" s="35"/>
    </row>
    <row r="504" spans="1:2" ht="15.75" customHeight="1">
      <c r="A504" s="23"/>
      <c r="B504" s="35"/>
    </row>
    <row r="505" spans="1:2" ht="15.75" customHeight="1">
      <c r="A505" s="23"/>
      <c r="B505" s="35"/>
    </row>
    <row r="506" spans="1:2" ht="15.75" customHeight="1">
      <c r="A506" s="23"/>
      <c r="B506" s="35"/>
    </row>
    <row r="507" spans="1:2" ht="15.75" customHeight="1">
      <c r="A507" s="23"/>
      <c r="B507" s="35"/>
    </row>
    <row r="508" spans="1:2" ht="15.75" customHeight="1">
      <c r="A508" s="23"/>
      <c r="B508" s="35"/>
    </row>
    <row r="509" spans="1:2" ht="15.75" customHeight="1">
      <c r="A509" s="23"/>
      <c r="B509" s="35"/>
    </row>
    <row r="510" spans="1:2" ht="15.75" customHeight="1">
      <c r="A510" s="23"/>
      <c r="B510" s="35"/>
    </row>
    <row r="511" spans="1:2" ht="15.75" customHeight="1">
      <c r="A511" s="23"/>
      <c r="B511" s="35"/>
    </row>
    <row r="512" spans="1:2" ht="15.75" customHeight="1">
      <c r="A512" s="23"/>
      <c r="B512" s="35"/>
    </row>
    <row r="513" spans="1:2" ht="15.75" customHeight="1">
      <c r="A513" s="23"/>
      <c r="B513" s="35"/>
    </row>
    <row r="514" spans="1:2" ht="15.75" customHeight="1">
      <c r="A514" s="23"/>
      <c r="B514" s="35"/>
    </row>
    <row r="515" spans="1:2" ht="15.75" customHeight="1">
      <c r="A515" s="23"/>
      <c r="B515" s="35"/>
    </row>
    <row r="516" spans="1:2" ht="15.75" customHeight="1">
      <c r="A516" s="23"/>
      <c r="B516" s="35"/>
    </row>
    <row r="517" spans="1:2" ht="15.75" customHeight="1">
      <c r="A517" s="23"/>
      <c r="B517" s="35"/>
    </row>
    <row r="518" spans="1:2" ht="15.75" customHeight="1">
      <c r="A518" s="23"/>
      <c r="B518" s="35"/>
    </row>
    <row r="519" spans="1:2" ht="15.75" customHeight="1">
      <c r="A519" s="23"/>
      <c r="B519" s="35"/>
    </row>
    <row r="520" spans="1:2" ht="15.75" customHeight="1">
      <c r="A520" s="23"/>
      <c r="B520" s="35"/>
    </row>
    <row r="521" spans="1:2" ht="15.75" customHeight="1">
      <c r="A521" s="23"/>
      <c r="B521" s="35"/>
    </row>
    <row r="522" spans="1:2" ht="15.75" customHeight="1">
      <c r="A522" s="23"/>
      <c r="B522" s="35"/>
    </row>
    <row r="523" spans="1:2" ht="15.75" customHeight="1">
      <c r="A523" s="23"/>
      <c r="B523" s="35"/>
    </row>
    <row r="524" spans="1:2" ht="15.75" customHeight="1">
      <c r="A524" s="23"/>
      <c r="B524" s="35"/>
    </row>
    <row r="525" spans="1:2" ht="15.75" customHeight="1">
      <c r="A525" s="23"/>
      <c r="B525" s="35"/>
    </row>
    <row r="526" spans="1:2" ht="15.75" customHeight="1">
      <c r="A526" s="23"/>
      <c r="B526" s="35"/>
    </row>
    <row r="527" spans="1:2" ht="15.75" customHeight="1">
      <c r="A527" s="23"/>
      <c r="B527" s="35"/>
    </row>
    <row r="528" spans="1:2" ht="15.75" customHeight="1">
      <c r="A528" s="23"/>
      <c r="B528" s="35"/>
    </row>
    <row r="529" spans="1:2" ht="15.75" customHeight="1">
      <c r="A529" s="23"/>
      <c r="B529" s="35"/>
    </row>
    <row r="530" spans="1:2" ht="15.75" customHeight="1">
      <c r="A530" s="23"/>
      <c r="B530" s="35"/>
    </row>
    <row r="531" spans="1:2" ht="15.75" customHeight="1">
      <c r="A531" s="23"/>
      <c r="B531" s="35"/>
    </row>
    <row r="532" spans="1:2" ht="15.75" customHeight="1">
      <c r="A532" s="23"/>
      <c r="B532" s="35"/>
    </row>
    <row r="533" spans="1:2" ht="15.75" customHeight="1">
      <c r="A533" s="23"/>
      <c r="B533" s="35"/>
    </row>
    <row r="534" spans="1:2" ht="15.75" customHeight="1">
      <c r="A534" s="23"/>
      <c r="B534" s="35"/>
    </row>
    <row r="535" spans="1:2" ht="15.75" customHeight="1">
      <c r="A535" s="23"/>
      <c r="B535" s="35"/>
    </row>
    <row r="536" spans="1:2" ht="15.75" customHeight="1">
      <c r="A536" s="23"/>
      <c r="B536" s="35"/>
    </row>
    <row r="537" spans="1:2" ht="15.75" customHeight="1">
      <c r="A537" s="23"/>
      <c r="B537" s="35"/>
    </row>
    <row r="538" spans="1:2" ht="15.75" customHeight="1">
      <c r="A538" s="23"/>
      <c r="B538" s="35"/>
    </row>
    <row r="539" spans="1:2" ht="15.75" customHeight="1">
      <c r="A539" s="23"/>
      <c r="B539" s="35"/>
    </row>
    <row r="540" spans="1:2" ht="15.75" customHeight="1">
      <c r="A540" s="23"/>
      <c r="B540" s="35"/>
    </row>
    <row r="541" spans="1:2" ht="15.75" customHeight="1">
      <c r="A541" s="23"/>
      <c r="B541" s="35"/>
    </row>
    <row r="542" spans="1:2" ht="15.75" customHeight="1">
      <c r="A542" s="23"/>
      <c r="B542" s="35"/>
    </row>
    <row r="543" spans="1:2" ht="15.75" customHeight="1">
      <c r="A543" s="23"/>
      <c r="B543" s="35"/>
    </row>
    <row r="544" spans="1:2" ht="15.75" customHeight="1">
      <c r="A544" s="23"/>
      <c r="B544" s="35"/>
    </row>
    <row r="545" spans="1:1" ht="15.75" customHeight="1">
      <c r="A545" s="23"/>
    </row>
    <row r="546" spans="1:1" ht="15.75" customHeight="1">
      <c r="A546" s="23"/>
    </row>
    <row r="547" spans="1:1" ht="15.75" customHeight="1">
      <c r="A547" s="23"/>
    </row>
    <row r="548" spans="1:1" ht="15.75" customHeight="1">
      <c r="A548" s="23"/>
    </row>
    <row r="549" spans="1:1" ht="15.75" customHeight="1">
      <c r="A549" s="23"/>
    </row>
    <row r="550" spans="1:1" ht="15.75" customHeight="1">
      <c r="A550" s="23"/>
    </row>
    <row r="551" spans="1:1" ht="15.75" customHeight="1">
      <c r="A551" s="23"/>
    </row>
    <row r="552" spans="1:1" ht="15.75" customHeight="1">
      <c r="A552" s="23"/>
    </row>
    <row r="553" spans="1:1" ht="15.75" customHeight="1">
      <c r="A553" s="23"/>
    </row>
    <row r="554" spans="1:1" ht="15.75" customHeight="1">
      <c r="A554" s="23"/>
    </row>
    <row r="555" spans="1:1" ht="15.75" customHeight="1">
      <c r="A555" s="23"/>
    </row>
    <row r="556" spans="1:1" ht="15.75" customHeight="1">
      <c r="A556" s="23"/>
    </row>
    <row r="557" spans="1:1" ht="15.75" customHeight="1">
      <c r="A557" s="23"/>
    </row>
    <row r="558" spans="1:1" ht="15.75" customHeight="1">
      <c r="A558" s="23"/>
    </row>
    <row r="559" spans="1:1" ht="15.75" customHeight="1">
      <c r="A559" s="23"/>
    </row>
    <row r="560" spans="1:1" ht="15.75" customHeight="1">
      <c r="A560" s="23"/>
    </row>
    <row r="561" spans="1:1" ht="15.75" customHeight="1">
      <c r="A561" s="23"/>
    </row>
    <row r="562" spans="1:1" ht="15.75" customHeight="1">
      <c r="A562" s="23"/>
    </row>
    <row r="563" spans="1:1" ht="15.75" customHeight="1">
      <c r="A563" s="23"/>
    </row>
    <row r="564" spans="1:1" ht="15.75" customHeight="1">
      <c r="A564" s="23"/>
    </row>
    <row r="565" spans="1:1" ht="15.75" customHeight="1">
      <c r="A565" s="23"/>
    </row>
    <row r="566" spans="1:1" ht="15.75" customHeight="1">
      <c r="A566" s="23"/>
    </row>
    <row r="567" spans="1:1" ht="15.75" customHeight="1">
      <c r="A567" s="23"/>
    </row>
    <row r="568" spans="1:1" ht="15.75" customHeight="1">
      <c r="A568" s="23"/>
    </row>
    <row r="569" spans="1:1" ht="15.75" customHeight="1">
      <c r="A569" s="23"/>
    </row>
    <row r="570" spans="1:1" ht="15.75" customHeight="1">
      <c r="A570" s="23"/>
    </row>
    <row r="571" spans="1:1" ht="15.75" customHeight="1">
      <c r="A571" s="23"/>
    </row>
    <row r="572" spans="1:1" ht="15.75" customHeight="1">
      <c r="A572" s="23"/>
    </row>
    <row r="573" spans="1:1" ht="15.75" customHeight="1">
      <c r="A573" s="23"/>
    </row>
    <row r="574" spans="1:1" ht="15.75" customHeight="1">
      <c r="A574" s="23"/>
    </row>
    <row r="575" spans="1:1" ht="15.75" customHeight="1">
      <c r="A575" s="23"/>
    </row>
    <row r="576" spans="1:1" ht="15.75" customHeight="1">
      <c r="A576" s="23"/>
    </row>
    <row r="577" spans="1:1" ht="15.75" customHeight="1">
      <c r="A577" s="23"/>
    </row>
    <row r="578" spans="1:1" ht="15.75" customHeight="1">
      <c r="A578" s="23"/>
    </row>
    <row r="579" spans="1:1" ht="15.75" customHeight="1">
      <c r="A579" s="23"/>
    </row>
    <row r="580" spans="1:1" ht="15.75" customHeight="1">
      <c r="A580" s="23"/>
    </row>
    <row r="581" spans="1:1" ht="15.75" customHeight="1">
      <c r="A581" s="23"/>
    </row>
    <row r="582" spans="1:1" ht="15.75" customHeight="1">
      <c r="A582" s="23"/>
    </row>
    <row r="583" spans="1:1" ht="15.75" customHeight="1">
      <c r="A583" s="23"/>
    </row>
    <row r="584" spans="1:1" ht="15.75" customHeight="1">
      <c r="A584" s="23"/>
    </row>
    <row r="585" spans="1:1" ht="15.75" customHeight="1">
      <c r="A585" s="23"/>
    </row>
    <row r="586" spans="1:1" ht="15.75" customHeight="1">
      <c r="A586" s="23"/>
    </row>
    <row r="587" spans="1:1" ht="15.75" customHeight="1">
      <c r="A587" s="23"/>
    </row>
    <row r="588" spans="1:1" ht="15.75" customHeight="1">
      <c r="A588" s="23"/>
    </row>
    <row r="589" spans="1:1" ht="15.75" customHeight="1">
      <c r="A589" s="23"/>
    </row>
    <row r="590" spans="1:1" ht="15.75" customHeight="1">
      <c r="A590" s="23"/>
    </row>
    <row r="591" spans="1:1" ht="15.75" customHeight="1">
      <c r="A591" s="23"/>
    </row>
    <row r="592" spans="1:1" ht="15.75" customHeight="1">
      <c r="A592" s="23"/>
    </row>
    <row r="593" spans="1:1" ht="15.75" customHeight="1">
      <c r="A593" s="23"/>
    </row>
    <row r="594" spans="1:1" ht="15.75" customHeight="1">
      <c r="A594" s="23"/>
    </row>
    <row r="595" spans="1:1" ht="15.75" customHeight="1">
      <c r="A595" s="23"/>
    </row>
    <row r="596" spans="1:1" ht="15.75" customHeight="1">
      <c r="A596" s="23"/>
    </row>
    <row r="597" spans="1:1" ht="15.75" customHeight="1">
      <c r="A597" s="23"/>
    </row>
    <row r="598" spans="1:1" ht="15.75" customHeight="1">
      <c r="A598" s="23"/>
    </row>
    <row r="599" spans="1:1" ht="15.75" customHeight="1">
      <c r="A599" s="23"/>
    </row>
    <row r="600" spans="1:1" ht="15.75" customHeight="1">
      <c r="A600" s="23"/>
    </row>
    <row r="601" spans="1:1" ht="15.75" customHeight="1">
      <c r="A601" s="23"/>
    </row>
    <row r="602" spans="1:1" ht="15.75" customHeight="1">
      <c r="A602" s="23"/>
    </row>
    <row r="603" spans="1:1" ht="15.75" customHeight="1">
      <c r="A603" s="23"/>
    </row>
    <row r="604" spans="1:1" ht="15.75" customHeight="1">
      <c r="A604" s="23"/>
    </row>
    <row r="605" spans="1:1" ht="15.75" customHeight="1">
      <c r="A605" s="23"/>
    </row>
    <row r="606" spans="1:1" ht="15.75" customHeight="1">
      <c r="A606" s="23"/>
    </row>
    <row r="607" spans="1:1" ht="15.75" customHeight="1">
      <c r="A607" s="23"/>
    </row>
    <row r="608" spans="1:1" ht="15.75" customHeight="1">
      <c r="A608" s="23"/>
    </row>
    <row r="609" spans="1:1" ht="15.75" customHeight="1">
      <c r="A609" s="23"/>
    </row>
    <row r="610" spans="1:1" ht="15.75" customHeight="1">
      <c r="A610" s="23"/>
    </row>
    <row r="611" spans="1:1" ht="15.75" customHeight="1">
      <c r="A611" s="23"/>
    </row>
    <row r="612" spans="1:1" ht="15.75" customHeight="1">
      <c r="A612" s="23"/>
    </row>
    <row r="613" spans="1:1" ht="15.75" customHeight="1">
      <c r="A613" s="23"/>
    </row>
    <row r="614" spans="1:1" ht="15.75" customHeight="1">
      <c r="A614" s="23"/>
    </row>
    <row r="615" spans="1:1" ht="15.75" customHeight="1">
      <c r="A615" s="23"/>
    </row>
    <row r="616" spans="1:1" ht="15.75" customHeight="1">
      <c r="A616" s="23"/>
    </row>
    <row r="617" spans="1:1" ht="15.75" customHeight="1">
      <c r="A617" s="23"/>
    </row>
    <row r="618" spans="1:1" ht="15.75" customHeight="1">
      <c r="A618" s="23"/>
    </row>
    <row r="619" spans="1:1" ht="15.75" customHeight="1">
      <c r="A619" s="23"/>
    </row>
    <row r="620" spans="1:1" ht="15.75" customHeight="1">
      <c r="A620" s="23"/>
    </row>
    <row r="621" spans="1:1" ht="15.75" customHeight="1">
      <c r="A621" s="23"/>
    </row>
    <row r="622" spans="1:1" ht="15.75" customHeight="1">
      <c r="A622" s="23"/>
    </row>
    <row r="623" spans="1:1" ht="15.75" customHeight="1">
      <c r="A623" s="23"/>
    </row>
    <row r="624" spans="1:1" ht="15.75" customHeight="1">
      <c r="A624" s="23"/>
    </row>
    <row r="625" spans="1:1" ht="15.75" customHeight="1">
      <c r="A625" s="23"/>
    </row>
    <row r="626" spans="1:1" ht="15.75" customHeight="1">
      <c r="A626" s="23"/>
    </row>
    <row r="627" spans="1:1" ht="15.75" customHeight="1">
      <c r="A627" s="23"/>
    </row>
    <row r="628" spans="1:1" ht="15.75" customHeight="1">
      <c r="A628" s="23"/>
    </row>
    <row r="629" spans="1:1" ht="15.75" customHeight="1">
      <c r="A629" s="23"/>
    </row>
    <row r="630" spans="1:1" ht="15.75" customHeight="1">
      <c r="A630" s="23"/>
    </row>
    <row r="631" spans="1:1" ht="15.75" customHeight="1">
      <c r="A631" s="23"/>
    </row>
    <row r="632" spans="1:1" ht="15.75" customHeight="1">
      <c r="A632" s="23"/>
    </row>
    <row r="633" spans="1:1" ht="15.75" customHeight="1">
      <c r="A633" s="23"/>
    </row>
    <row r="634" spans="1:1" ht="15.75" customHeight="1">
      <c r="A634" s="23"/>
    </row>
    <row r="635" spans="1:1" ht="15.75" customHeight="1">
      <c r="A635" s="23"/>
    </row>
    <row r="636" spans="1:1" ht="15.75" customHeight="1">
      <c r="A636" s="23"/>
    </row>
    <row r="637" spans="1:1" ht="15.75" customHeight="1">
      <c r="A637" s="23"/>
    </row>
    <row r="638" spans="1:1" ht="15.75" customHeight="1">
      <c r="A638" s="23"/>
    </row>
    <row r="639" spans="1:1" ht="15.75" customHeight="1">
      <c r="A639" s="23"/>
    </row>
    <row r="640" spans="1:1" ht="15.75" customHeight="1">
      <c r="A640" s="23"/>
    </row>
    <row r="641" spans="1:1" ht="15.75" customHeight="1">
      <c r="A641" s="23"/>
    </row>
    <row r="642" spans="1:1" ht="15.75" customHeight="1">
      <c r="A642" s="23"/>
    </row>
    <row r="643" spans="1:1" ht="15.75" customHeight="1">
      <c r="A643" s="23"/>
    </row>
    <row r="644" spans="1:1" ht="15.75" customHeight="1">
      <c r="A644" s="23"/>
    </row>
    <row r="645" spans="1:1" ht="15.75" customHeight="1">
      <c r="A645" s="23"/>
    </row>
    <row r="646" spans="1:1" ht="15.75" customHeight="1">
      <c r="A646" s="23"/>
    </row>
    <row r="647" spans="1:1" ht="15.75" customHeight="1">
      <c r="A647" s="23"/>
    </row>
    <row r="648" spans="1:1" ht="15.75" customHeight="1">
      <c r="A648" s="23"/>
    </row>
    <row r="649" spans="1:1" ht="15.75" customHeight="1">
      <c r="A649" s="23"/>
    </row>
    <row r="650" spans="1:1" ht="15.75" customHeight="1">
      <c r="A650" s="23"/>
    </row>
    <row r="651" spans="1:1" ht="15.75" customHeight="1">
      <c r="A651" s="23"/>
    </row>
    <row r="652" spans="1:1" ht="15.75" customHeight="1">
      <c r="A652" s="23"/>
    </row>
    <row r="653" spans="1:1" ht="15.75" customHeight="1">
      <c r="A653" s="23"/>
    </row>
    <row r="654" spans="1:1" ht="15.75" customHeight="1">
      <c r="A654" s="23"/>
    </row>
    <row r="655" spans="1:1" ht="15.75" customHeight="1">
      <c r="A655" s="23"/>
    </row>
    <row r="656" spans="1:1" ht="15.75" customHeight="1">
      <c r="A656" s="23"/>
    </row>
    <row r="657" spans="1:1" ht="15.75" customHeight="1">
      <c r="A657" s="23"/>
    </row>
    <row r="658" spans="1:1" ht="15.75" customHeight="1">
      <c r="A658" s="23"/>
    </row>
    <row r="659" spans="1:1" ht="15.75" customHeight="1">
      <c r="A659" s="23"/>
    </row>
    <row r="660" spans="1:1" ht="15.75" customHeight="1">
      <c r="A660" s="23"/>
    </row>
    <row r="661" spans="1:1" ht="15.75" customHeight="1">
      <c r="A661" s="23"/>
    </row>
    <row r="662" spans="1:1" ht="15.75" customHeight="1">
      <c r="A662" s="23"/>
    </row>
    <row r="663" spans="1:1" ht="15.75" customHeight="1">
      <c r="A663" s="23"/>
    </row>
    <row r="664" spans="1:1" ht="15.75" customHeight="1">
      <c r="A664" s="23"/>
    </row>
    <row r="665" spans="1:1" ht="15.75" customHeight="1">
      <c r="A665" s="23"/>
    </row>
    <row r="666" spans="1:1" ht="15.75" customHeight="1">
      <c r="A666" s="23"/>
    </row>
    <row r="667" spans="1:1" ht="15.75" customHeight="1">
      <c r="A667" s="23"/>
    </row>
    <row r="668" spans="1:1" ht="15.75" customHeight="1">
      <c r="A668" s="23"/>
    </row>
    <row r="669" spans="1:1" ht="15.75" customHeight="1">
      <c r="A669" s="23"/>
    </row>
    <row r="670" spans="1:1" ht="15.75" customHeight="1">
      <c r="A670" s="23"/>
    </row>
    <row r="671" spans="1:1" ht="15.75" customHeight="1">
      <c r="A671" s="23"/>
    </row>
    <row r="672" spans="1:1" ht="15.75" customHeight="1">
      <c r="A672" s="23"/>
    </row>
    <row r="673" spans="1:1" ht="15.75" customHeight="1">
      <c r="A673" s="23"/>
    </row>
    <row r="674" spans="1:1" ht="15.75" customHeight="1">
      <c r="A674" s="23"/>
    </row>
    <row r="675" spans="1:1" ht="15.75" customHeight="1">
      <c r="A675" s="23"/>
    </row>
    <row r="676" spans="1:1" ht="15.75" customHeight="1">
      <c r="A676" s="23"/>
    </row>
    <row r="677" spans="1:1" ht="15.75" customHeight="1">
      <c r="A677" s="23"/>
    </row>
    <row r="678" spans="1:1" ht="15.75" customHeight="1">
      <c r="A678" s="23"/>
    </row>
    <row r="679" spans="1:1" ht="15.75" customHeight="1">
      <c r="A679" s="23"/>
    </row>
    <row r="680" spans="1:1" ht="15.75" customHeight="1">
      <c r="A680" s="23"/>
    </row>
    <row r="681" spans="1:1" ht="15.75" customHeight="1">
      <c r="A681" s="23"/>
    </row>
    <row r="682" spans="1:1" ht="15.75" customHeight="1">
      <c r="A682" s="23"/>
    </row>
    <row r="683" spans="1:1" ht="15.75" customHeight="1">
      <c r="A683" s="23"/>
    </row>
    <row r="684" spans="1:1" ht="15.75" customHeight="1">
      <c r="A684" s="23"/>
    </row>
    <row r="685" spans="1:1" ht="15.75" customHeight="1">
      <c r="A685" s="23"/>
    </row>
    <row r="686" spans="1:1" ht="15.75" customHeight="1">
      <c r="A686" s="23"/>
    </row>
    <row r="687" spans="1:1" ht="15.75" customHeight="1">
      <c r="A687" s="23"/>
    </row>
    <row r="688" spans="1:1" ht="15.75" customHeight="1">
      <c r="A688" s="23"/>
    </row>
    <row r="689" spans="1:1" ht="15.75" customHeight="1">
      <c r="A689" s="23"/>
    </row>
    <row r="690" spans="1:1" ht="15.75" customHeight="1">
      <c r="A690" s="23"/>
    </row>
    <row r="691" spans="1:1" ht="15.75" customHeight="1">
      <c r="A691" s="23"/>
    </row>
    <row r="692" spans="1:1" ht="15.75" customHeight="1">
      <c r="A692" s="23"/>
    </row>
    <row r="693" spans="1:1" ht="15.75" customHeight="1">
      <c r="A693" s="23"/>
    </row>
    <row r="694" spans="1:1" ht="15.75" customHeight="1">
      <c r="A694" s="23"/>
    </row>
    <row r="695" spans="1:1" ht="15.75" customHeight="1">
      <c r="A695" s="23"/>
    </row>
    <row r="696" spans="1:1" ht="15.75" customHeight="1">
      <c r="A696" s="23"/>
    </row>
    <row r="697" spans="1:1" ht="15.75" customHeight="1">
      <c r="A697" s="23"/>
    </row>
    <row r="698" spans="1:1" ht="15.75" customHeight="1">
      <c r="A698" s="23"/>
    </row>
    <row r="699" spans="1:1" ht="15.75" customHeight="1">
      <c r="A699" s="23"/>
    </row>
    <row r="700" spans="1:1" ht="15.75" customHeight="1">
      <c r="A700" s="23"/>
    </row>
    <row r="701" spans="1:1" ht="15.75" customHeight="1">
      <c r="A701" s="23"/>
    </row>
    <row r="702" spans="1:1" ht="15.75" customHeight="1">
      <c r="A702" s="23"/>
    </row>
    <row r="703" spans="1:1" ht="15.75" customHeight="1">
      <c r="A703" s="23"/>
    </row>
    <row r="704" spans="1:1" ht="15.75" customHeight="1">
      <c r="A704" s="23"/>
    </row>
    <row r="705" spans="1:1" ht="15.75" customHeight="1">
      <c r="A705" s="23"/>
    </row>
    <row r="706" spans="1:1" ht="15.75" customHeight="1">
      <c r="A706" s="23"/>
    </row>
    <row r="707" spans="1:1" ht="15.75" customHeight="1">
      <c r="A707" s="23"/>
    </row>
    <row r="708" spans="1:1" ht="15.75" customHeight="1">
      <c r="A708" s="23"/>
    </row>
    <row r="709" spans="1:1" ht="15.75" customHeight="1">
      <c r="A709" s="23"/>
    </row>
    <row r="710" spans="1:1" ht="15.75" customHeight="1">
      <c r="A710" s="23"/>
    </row>
    <row r="711" spans="1:1" ht="15.75" customHeight="1">
      <c r="A711" s="23"/>
    </row>
    <row r="712" spans="1:1" ht="15.75" customHeight="1">
      <c r="A712" s="23"/>
    </row>
    <row r="713" spans="1:1" ht="15.75" customHeight="1">
      <c r="A713" s="23"/>
    </row>
    <row r="714" spans="1:1" ht="15.75" customHeight="1">
      <c r="A714" s="23"/>
    </row>
    <row r="715" spans="1:1" ht="15.75" customHeight="1">
      <c r="A715" s="23"/>
    </row>
    <row r="716" spans="1:1" ht="15.75" customHeight="1">
      <c r="A716" s="23"/>
    </row>
    <row r="717" spans="1:1" ht="15.75" customHeight="1">
      <c r="A717" s="23"/>
    </row>
    <row r="718" spans="1:1" ht="15.75" customHeight="1">
      <c r="A718" s="23"/>
    </row>
    <row r="719" spans="1:1" ht="15.75" customHeight="1">
      <c r="A719" s="23"/>
    </row>
    <row r="720" spans="1:1" ht="15.75" customHeight="1">
      <c r="A720" s="23"/>
    </row>
    <row r="721" spans="1:1" ht="15.75" customHeight="1">
      <c r="A721" s="23"/>
    </row>
    <row r="722" spans="1:1" ht="15.75" customHeight="1">
      <c r="A722" s="23"/>
    </row>
    <row r="723" spans="1:1" ht="15.75" customHeight="1">
      <c r="A723" s="23"/>
    </row>
    <row r="724" spans="1:1" ht="15.75" customHeight="1">
      <c r="A724" s="23"/>
    </row>
    <row r="725" spans="1:1" ht="15.75" customHeight="1">
      <c r="A725" s="23"/>
    </row>
    <row r="726" spans="1:1" ht="15.75" customHeight="1">
      <c r="A726" s="23"/>
    </row>
    <row r="727" spans="1:1" ht="15.75" customHeight="1">
      <c r="A727" s="23"/>
    </row>
    <row r="728" spans="1:1" ht="15.75" customHeight="1">
      <c r="A728" s="23"/>
    </row>
    <row r="729" spans="1:1" ht="15.75" customHeight="1">
      <c r="A729" s="23"/>
    </row>
    <row r="730" spans="1:1" ht="15.75" customHeight="1">
      <c r="A730" s="23"/>
    </row>
    <row r="731" spans="1:1" ht="15.75" customHeight="1">
      <c r="A731" s="23"/>
    </row>
    <row r="732" spans="1:1" ht="15.75" customHeight="1">
      <c r="A732" s="23"/>
    </row>
    <row r="733" spans="1:1" ht="15.75" customHeight="1">
      <c r="A733" s="23"/>
    </row>
    <row r="734" spans="1:1" ht="15.75" customHeight="1">
      <c r="A734" s="23"/>
    </row>
    <row r="735" spans="1:1" ht="15.75" customHeight="1">
      <c r="A735" s="23"/>
    </row>
    <row r="736" spans="1:1" ht="15.75" customHeight="1">
      <c r="A736" s="23"/>
    </row>
    <row r="737" spans="1:1" ht="15.75" customHeight="1">
      <c r="A737" s="23"/>
    </row>
    <row r="738" spans="1:1" ht="15.75" customHeight="1">
      <c r="A738" s="23"/>
    </row>
    <row r="739" spans="1:1" ht="15.75" customHeight="1">
      <c r="A739" s="23"/>
    </row>
    <row r="740" spans="1:1" ht="15.75" customHeight="1">
      <c r="A740" s="23"/>
    </row>
    <row r="741" spans="1:1" ht="15.75" customHeight="1">
      <c r="A741" s="23"/>
    </row>
    <row r="742" spans="1:1" ht="15.75" customHeight="1">
      <c r="A742" s="23"/>
    </row>
    <row r="743" spans="1:1" ht="15.75" customHeight="1">
      <c r="A743" s="23"/>
    </row>
    <row r="744" spans="1:1" ht="15.75" customHeight="1">
      <c r="A744" s="23"/>
    </row>
    <row r="745" spans="1:1" ht="15.75" customHeight="1">
      <c r="A745" s="23"/>
    </row>
    <row r="746" spans="1:1" ht="15.75" customHeight="1">
      <c r="A746" s="23"/>
    </row>
    <row r="747" spans="1:1" ht="15.75" customHeight="1">
      <c r="A747" s="23"/>
    </row>
    <row r="748" spans="1:1" ht="15.75" customHeight="1">
      <c r="A748" s="23"/>
    </row>
    <row r="749" spans="1:1" ht="15.75" customHeight="1">
      <c r="A749" s="23"/>
    </row>
    <row r="750" spans="1:1" ht="15.75" customHeight="1">
      <c r="A750" s="23"/>
    </row>
    <row r="751" spans="1:1" ht="15.75" customHeight="1">
      <c r="A751" s="23"/>
    </row>
    <row r="752" spans="1:1" ht="15.75" customHeight="1">
      <c r="A752" s="23"/>
    </row>
    <row r="753" spans="1:1" ht="15.75" customHeight="1">
      <c r="A753" s="23"/>
    </row>
    <row r="754" spans="1:1" ht="15.75" customHeight="1">
      <c r="A754" s="23"/>
    </row>
    <row r="755" spans="1:1" ht="15.75" customHeight="1">
      <c r="A755" s="23"/>
    </row>
    <row r="756" spans="1:1" ht="15.75" customHeight="1">
      <c r="A756" s="23"/>
    </row>
    <row r="757" spans="1:1" ht="15.75" customHeight="1">
      <c r="A757" s="23"/>
    </row>
    <row r="758" spans="1:1" ht="15.75" customHeight="1">
      <c r="A758" s="23"/>
    </row>
    <row r="759" spans="1:1" ht="15.75" customHeight="1">
      <c r="A759" s="23"/>
    </row>
    <row r="760" spans="1:1" ht="15.75" customHeight="1">
      <c r="A760" s="23"/>
    </row>
    <row r="761" spans="1:1" ht="15.75" customHeight="1">
      <c r="A761" s="23"/>
    </row>
    <row r="762" spans="1:1" ht="15.75" customHeight="1">
      <c r="A762" s="23"/>
    </row>
    <row r="763" spans="1:1" ht="15.75" customHeight="1">
      <c r="A763" s="23"/>
    </row>
    <row r="764" spans="1:1" ht="15.75" customHeight="1">
      <c r="A764" s="23"/>
    </row>
    <row r="765" spans="1:1" ht="15.75" customHeight="1">
      <c r="A765" s="23"/>
    </row>
    <row r="766" spans="1:1" ht="15.75" customHeight="1">
      <c r="A766" s="23"/>
    </row>
    <row r="767" spans="1:1" ht="15.75" customHeight="1">
      <c r="A767" s="23"/>
    </row>
    <row r="768" spans="1:1" ht="15.75" customHeight="1">
      <c r="A768" s="23"/>
    </row>
    <row r="769" spans="1:1" ht="15.75" customHeight="1">
      <c r="A769" s="23"/>
    </row>
    <row r="770" spans="1:1" ht="15.75" customHeight="1">
      <c r="A770" s="23"/>
    </row>
    <row r="771" spans="1:1" ht="15.75" customHeight="1">
      <c r="A771" s="23"/>
    </row>
    <row r="772" spans="1:1" ht="15.75" customHeight="1">
      <c r="A772" s="23"/>
    </row>
    <row r="773" spans="1:1" ht="15.75" customHeight="1">
      <c r="A773" s="23"/>
    </row>
    <row r="774" spans="1:1" ht="15.75" customHeight="1">
      <c r="A774" s="23"/>
    </row>
    <row r="775" spans="1:1" ht="15.75" customHeight="1">
      <c r="A775" s="23"/>
    </row>
    <row r="776" spans="1:1" ht="15.75" customHeight="1">
      <c r="A776" s="23"/>
    </row>
    <row r="777" spans="1:1" ht="15.75" customHeight="1">
      <c r="A777" s="23"/>
    </row>
    <row r="778" spans="1:1" ht="15.75" customHeight="1">
      <c r="A778" s="23"/>
    </row>
    <row r="779" spans="1:1" ht="15.75" customHeight="1">
      <c r="A779" s="23"/>
    </row>
    <row r="780" spans="1:1" ht="15.75" customHeight="1">
      <c r="A780" s="23"/>
    </row>
    <row r="781" spans="1:1" ht="15.75" customHeight="1">
      <c r="A781" s="23"/>
    </row>
    <row r="782" spans="1:1" ht="15.75" customHeight="1">
      <c r="A782" s="23"/>
    </row>
    <row r="783" spans="1:1" ht="15.75" customHeight="1">
      <c r="A783" s="23"/>
    </row>
    <row r="784" spans="1:1" ht="15.75" customHeight="1">
      <c r="A784" s="23"/>
    </row>
    <row r="785" spans="1:1" ht="15.75" customHeight="1">
      <c r="A785" s="23"/>
    </row>
    <row r="786" spans="1:1" ht="15.75" customHeight="1">
      <c r="A786" s="23"/>
    </row>
    <row r="787" spans="1:1" ht="15.75" customHeight="1">
      <c r="A787" s="23"/>
    </row>
    <row r="788" spans="1:1" ht="15.75" customHeight="1">
      <c r="A788" s="23"/>
    </row>
    <row r="789" spans="1:1" ht="15.75" customHeight="1">
      <c r="A789" s="23"/>
    </row>
    <row r="790" spans="1:1" ht="15.75" customHeight="1">
      <c r="A790" s="23"/>
    </row>
    <row r="791" spans="1:1" ht="15.75" customHeight="1">
      <c r="A791" s="23"/>
    </row>
    <row r="792" spans="1:1" ht="15.75" customHeight="1">
      <c r="A792" s="23"/>
    </row>
    <row r="793" spans="1:1" ht="15.75" customHeight="1">
      <c r="A793" s="23"/>
    </row>
    <row r="794" spans="1:1" ht="15.75" customHeight="1">
      <c r="A794" s="23"/>
    </row>
    <row r="795" spans="1:1" ht="15.75" customHeight="1">
      <c r="A795" s="23"/>
    </row>
    <row r="796" spans="1:1" ht="15.75" customHeight="1">
      <c r="A796" s="23"/>
    </row>
    <row r="797" spans="1:1" ht="15.75" customHeight="1">
      <c r="A797" s="23"/>
    </row>
    <row r="798" spans="1:1" ht="15.75" customHeight="1">
      <c r="A798" s="23"/>
    </row>
    <row r="799" spans="1:1" ht="15.75" customHeight="1">
      <c r="A799" s="23"/>
    </row>
    <row r="800" spans="1:1" ht="15.75" customHeight="1">
      <c r="A800" s="23"/>
    </row>
    <row r="801" spans="1:1" ht="15.75" customHeight="1">
      <c r="A801" s="23"/>
    </row>
    <row r="802" spans="1:1" ht="15.75" customHeight="1">
      <c r="A802" s="23"/>
    </row>
    <row r="803" spans="1:1" ht="15.75" customHeight="1">
      <c r="A803" s="23"/>
    </row>
    <row r="804" spans="1:1" ht="15.75" customHeight="1">
      <c r="A804" s="23"/>
    </row>
    <row r="805" spans="1:1" ht="15.75" customHeight="1">
      <c r="A805" s="23"/>
    </row>
    <row r="806" spans="1:1" ht="15.75" customHeight="1">
      <c r="A806" s="23"/>
    </row>
    <row r="807" spans="1:1" ht="15.75" customHeight="1">
      <c r="A807" s="23"/>
    </row>
    <row r="808" spans="1:1" ht="15.75" customHeight="1">
      <c r="A808" s="23"/>
    </row>
    <row r="809" spans="1:1" ht="15.75" customHeight="1">
      <c r="A809" s="23"/>
    </row>
    <row r="810" spans="1:1" ht="15.75" customHeight="1">
      <c r="A810" s="23"/>
    </row>
    <row r="811" spans="1:1" ht="15.75" customHeight="1">
      <c r="A811" s="23"/>
    </row>
    <row r="812" spans="1:1" ht="15.75" customHeight="1">
      <c r="A812" s="23"/>
    </row>
    <row r="813" spans="1:1" ht="15.75" customHeight="1">
      <c r="A813" s="23"/>
    </row>
    <row r="814" spans="1:1" ht="15.75" customHeight="1">
      <c r="A814" s="23"/>
    </row>
    <row r="815" spans="1:1" ht="15.75" customHeight="1">
      <c r="A815" s="23"/>
    </row>
    <row r="816" spans="1:1" ht="15.75" customHeight="1">
      <c r="A816" s="23"/>
    </row>
    <row r="817" spans="1:1" ht="15.75" customHeight="1">
      <c r="A817" s="23"/>
    </row>
    <row r="818" spans="1:1" ht="15.75" customHeight="1">
      <c r="A818" s="23"/>
    </row>
    <row r="819" spans="1:1" ht="15.75" customHeight="1">
      <c r="A819" s="23"/>
    </row>
    <row r="820" spans="1:1" ht="15.75" customHeight="1">
      <c r="A820" s="23"/>
    </row>
    <row r="821" spans="1:1" ht="15.75" customHeight="1">
      <c r="A821" s="23"/>
    </row>
    <row r="822" spans="1:1" ht="15.75" customHeight="1">
      <c r="A822" s="23"/>
    </row>
    <row r="823" spans="1:1" ht="15.75" customHeight="1">
      <c r="A823" s="23"/>
    </row>
    <row r="824" spans="1:1" ht="15.75" customHeight="1">
      <c r="A824" s="23"/>
    </row>
    <row r="825" spans="1:1" ht="15.75" customHeight="1">
      <c r="A825" s="23"/>
    </row>
    <row r="826" spans="1:1" ht="15.75" customHeight="1">
      <c r="A826" s="23"/>
    </row>
    <row r="827" spans="1:1" ht="15.75" customHeight="1">
      <c r="A827" s="23"/>
    </row>
    <row r="828" spans="1:1" ht="15.75" customHeight="1">
      <c r="A828" s="23"/>
    </row>
    <row r="829" spans="1:1" ht="15.75" customHeight="1">
      <c r="A829" s="23"/>
    </row>
    <row r="830" spans="1:1" ht="15.75" customHeight="1">
      <c r="A830" s="23"/>
    </row>
    <row r="831" spans="1:1" ht="15.75" customHeight="1">
      <c r="A831" s="23"/>
    </row>
    <row r="832" spans="1:1" ht="15.75" customHeight="1">
      <c r="A832" s="23"/>
    </row>
    <row r="833" spans="1:1" ht="15.75" customHeight="1">
      <c r="A833" s="23"/>
    </row>
    <row r="834" spans="1:1" ht="15.75" customHeight="1">
      <c r="A834" s="23"/>
    </row>
    <row r="835" spans="1:1" ht="15.75" customHeight="1">
      <c r="A835" s="23"/>
    </row>
    <row r="836" spans="1:1" ht="15.75" customHeight="1">
      <c r="A836" s="23"/>
    </row>
    <row r="837" spans="1:1" ht="15.75" customHeight="1">
      <c r="A837" s="23"/>
    </row>
    <row r="838" spans="1:1" ht="15.75" customHeight="1">
      <c r="A838" s="23"/>
    </row>
    <row r="839" spans="1:1" ht="15.75" customHeight="1">
      <c r="A839" s="23"/>
    </row>
    <row r="840" spans="1:1" ht="15.75" customHeight="1">
      <c r="A840" s="23"/>
    </row>
    <row r="841" spans="1:1" ht="15.75" customHeight="1">
      <c r="A841" s="23"/>
    </row>
    <row r="842" spans="1:1" ht="15.75" customHeight="1">
      <c r="A842" s="23"/>
    </row>
    <row r="843" spans="1:1" ht="15.75" customHeight="1">
      <c r="A843" s="23"/>
    </row>
    <row r="844" spans="1:1" ht="15.75" customHeight="1">
      <c r="A844" s="23"/>
    </row>
    <row r="845" spans="1:1" ht="15.75" customHeight="1">
      <c r="A845" s="23"/>
    </row>
    <row r="846" spans="1:1" ht="15.75" customHeight="1">
      <c r="A846" s="23"/>
    </row>
    <row r="847" spans="1:1" ht="15.75" customHeight="1">
      <c r="A847" s="23"/>
    </row>
    <row r="848" spans="1:1" ht="15.75" customHeight="1">
      <c r="A848" s="23"/>
    </row>
    <row r="849" spans="1:1" ht="15.75" customHeight="1">
      <c r="A849" s="23"/>
    </row>
    <row r="850" spans="1:1" ht="15.75" customHeight="1">
      <c r="A850" s="23"/>
    </row>
    <row r="851" spans="1:1" ht="15.75" customHeight="1">
      <c r="A851" s="23"/>
    </row>
    <row r="852" spans="1:1" ht="15.75" customHeight="1">
      <c r="A852" s="23"/>
    </row>
    <row r="853" spans="1:1" ht="15.75" customHeight="1">
      <c r="A853" s="23"/>
    </row>
    <row r="854" spans="1:1" ht="15.75" customHeight="1">
      <c r="A854" s="23"/>
    </row>
    <row r="855" spans="1:1" ht="15.75" customHeight="1">
      <c r="A855" s="23"/>
    </row>
    <row r="856" spans="1:1" ht="15.75" customHeight="1">
      <c r="A856" s="23"/>
    </row>
    <row r="857" spans="1:1" ht="15.75" customHeight="1">
      <c r="A857" s="23"/>
    </row>
    <row r="858" spans="1:1" ht="15.75" customHeight="1">
      <c r="A858" s="23"/>
    </row>
    <row r="859" spans="1:1" ht="15.75" customHeight="1">
      <c r="A859" s="23"/>
    </row>
    <row r="860" spans="1:1" ht="15.75" customHeight="1">
      <c r="A860" s="23"/>
    </row>
    <row r="861" spans="1:1" ht="15.75" customHeight="1">
      <c r="A861" s="23"/>
    </row>
    <row r="862" spans="1:1" ht="15.75" customHeight="1">
      <c r="A862" s="23"/>
    </row>
    <row r="863" spans="1:1" ht="15.75" customHeight="1">
      <c r="A863" s="23"/>
    </row>
    <row r="864" spans="1:1" ht="15.75" customHeight="1">
      <c r="A864" s="23"/>
    </row>
    <row r="865" spans="1:1" ht="15.75" customHeight="1">
      <c r="A865" s="23"/>
    </row>
    <row r="866" spans="1:1" ht="15.75" customHeight="1">
      <c r="A866" s="23"/>
    </row>
    <row r="867" spans="1:1" ht="15.75" customHeight="1">
      <c r="A867" s="23"/>
    </row>
    <row r="868" spans="1:1" ht="15.75" customHeight="1">
      <c r="A868" s="23"/>
    </row>
    <row r="869" spans="1:1" ht="15.75" customHeight="1">
      <c r="A869" s="23"/>
    </row>
    <row r="870" spans="1:1" ht="15.75" customHeight="1">
      <c r="A870" s="23"/>
    </row>
    <row r="871" spans="1:1" ht="15.75" customHeight="1">
      <c r="A871" s="23"/>
    </row>
    <row r="872" spans="1:1" ht="15.75" customHeight="1">
      <c r="A872" s="23"/>
    </row>
    <row r="873" spans="1:1" ht="15.75" customHeight="1">
      <c r="A873" s="23"/>
    </row>
    <row r="874" spans="1:1" ht="15.75" customHeight="1">
      <c r="A874" s="23"/>
    </row>
    <row r="875" spans="1:1" ht="15.75" customHeight="1">
      <c r="A875" s="23"/>
    </row>
    <row r="876" spans="1:1" ht="15.75" customHeight="1">
      <c r="A876" s="23"/>
    </row>
    <row r="877" spans="1:1" ht="15.75" customHeight="1">
      <c r="A877" s="23"/>
    </row>
    <row r="878" spans="1:1" ht="15.75" customHeight="1">
      <c r="A878" s="23"/>
    </row>
    <row r="879" spans="1:1" ht="15.75" customHeight="1">
      <c r="A879" s="23"/>
    </row>
    <row r="880" spans="1:1" ht="15.75" customHeight="1">
      <c r="A880" s="23"/>
    </row>
    <row r="881" spans="1:1" ht="15.75" customHeight="1">
      <c r="A881" s="23"/>
    </row>
    <row r="882" spans="1:1" ht="15.75" customHeight="1">
      <c r="A882" s="23"/>
    </row>
    <row r="883" spans="1:1" ht="15.75" customHeight="1">
      <c r="A883" s="23"/>
    </row>
    <row r="884" spans="1:1" ht="15.75" customHeight="1">
      <c r="A884" s="23"/>
    </row>
    <row r="885" spans="1:1" ht="15.75" customHeight="1">
      <c r="A885" s="23"/>
    </row>
    <row r="886" spans="1:1" ht="15.75" customHeight="1">
      <c r="A886" s="23"/>
    </row>
    <row r="887" spans="1:1" ht="15.75" customHeight="1">
      <c r="A887" s="23"/>
    </row>
    <row r="888" spans="1:1" ht="15.75" customHeight="1">
      <c r="A888" s="23"/>
    </row>
    <row r="889" spans="1:1" ht="15.75" customHeight="1">
      <c r="A889" s="23"/>
    </row>
    <row r="890" spans="1:1" ht="15.75" customHeight="1">
      <c r="A890" s="23"/>
    </row>
    <row r="891" spans="1:1" ht="15.75" customHeight="1">
      <c r="A891" s="23"/>
    </row>
    <row r="892" spans="1:1" ht="15.75" customHeight="1">
      <c r="A892" s="23"/>
    </row>
    <row r="893" spans="1:1" ht="15.75" customHeight="1">
      <c r="A893" s="23"/>
    </row>
    <row r="894" spans="1:1" ht="15.75" customHeight="1">
      <c r="A894" s="23"/>
    </row>
    <row r="895" spans="1:1" ht="15.75" customHeight="1">
      <c r="A895" s="23"/>
    </row>
    <row r="896" spans="1:1" ht="15.75" customHeight="1">
      <c r="A896" s="23"/>
    </row>
    <row r="897" spans="1:1" ht="15.75" customHeight="1">
      <c r="A897" s="23"/>
    </row>
    <row r="898" spans="1:1" ht="15.75" customHeight="1">
      <c r="A898" s="23"/>
    </row>
    <row r="899" spans="1:1" ht="15.75" customHeight="1">
      <c r="A899" s="23"/>
    </row>
    <row r="900" spans="1:1" ht="15.75" customHeight="1">
      <c r="A900" s="23"/>
    </row>
    <row r="901" spans="1:1" ht="15.75" customHeight="1">
      <c r="A901" s="23"/>
    </row>
    <row r="902" spans="1:1" ht="15.75" customHeight="1">
      <c r="A902" s="23"/>
    </row>
    <row r="903" spans="1:1" ht="15.75" customHeight="1">
      <c r="A903" s="23"/>
    </row>
    <row r="904" spans="1:1" ht="15.75" customHeight="1">
      <c r="A904" s="23"/>
    </row>
    <row r="905" spans="1:1" ht="15.75" customHeight="1">
      <c r="A905" s="23"/>
    </row>
    <row r="906" spans="1:1" ht="15.75" customHeight="1">
      <c r="A906" s="23"/>
    </row>
    <row r="907" spans="1:1" ht="15.75" customHeight="1">
      <c r="A907" s="23"/>
    </row>
    <row r="908" spans="1:1" ht="15.75" customHeight="1">
      <c r="A908" s="23"/>
    </row>
    <row r="909" spans="1:1" ht="15.75" customHeight="1">
      <c r="A909" s="23"/>
    </row>
    <row r="910" spans="1:1" ht="15.75" customHeight="1">
      <c r="A910" s="23"/>
    </row>
    <row r="911" spans="1:1" ht="15.75" customHeight="1">
      <c r="A911" s="23"/>
    </row>
    <row r="912" spans="1:1" ht="15.75" customHeight="1">
      <c r="A912" s="23"/>
    </row>
    <row r="913" spans="1:1" ht="15.75" customHeight="1">
      <c r="A913" s="23"/>
    </row>
    <row r="914" spans="1:1" ht="15.75" customHeight="1">
      <c r="A914" s="23"/>
    </row>
    <row r="915" spans="1:1" ht="15.75" customHeight="1">
      <c r="A915" s="23"/>
    </row>
    <row r="916" spans="1:1" ht="15.75" customHeight="1">
      <c r="A916" s="23"/>
    </row>
    <row r="917" spans="1:1" ht="15.75" customHeight="1">
      <c r="A917" s="23"/>
    </row>
    <row r="918" spans="1:1" ht="15.75" customHeight="1">
      <c r="A918" s="23"/>
    </row>
    <row r="919" spans="1:1" ht="15.75" customHeight="1">
      <c r="A919" s="23"/>
    </row>
    <row r="920" spans="1:1" ht="15.75" customHeight="1">
      <c r="A920" s="23"/>
    </row>
    <row r="921" spans="1:1" ht="15.75" customHeight="1">
      <c r="A921" s="23"/>
    </row>
    <row r="922" spans="1:1" ht="15.75" customHeight="1">
      <c r="A922" s="23"/>
    </row>
    <row r="923" spans="1:1" ht="15.75" customHeight="1">
      <c r="A923" s="23"/>
    </row>
    <row r="924" spans="1:1" ht="15.75" customHeight="1">
      <c r="A924" s="23"/>
    </row>
    <row r="925" spans="1:1" ht="15.75" customHeight="1">
      <c r="A925" s="23"/>
    </row>
    <row r="926" spans="1:1" ht="15.75" customHeight="1">
      <c r="A926" s="23"/>
    </row>
    <row r="927" spans="1:1" ht="15.75" customHeight="1">
      <c r="A927" s="23"/>
    </row>
    <row r="928" spans="1:1" ht="15.75" customHeight="1">
      <c r="A928" s="23"/>
    </row>
    <row r="929" spans="1:1" ht="15.75" customHeight="1">
      <c r="A929" s="23"/>
    </row>
    <row r="930" spans="1:1" ht="15.75" customHeight="1">
      <c r="A930" s="23"/>
    </row>
    <row r="931" spans="1:1" ht="15.75" customHeight="1">
      <c r="A931" s="23"/>
    </row>
    <row r="932" spans="1:1" ht="15.75" customHeight="1">
      <c r="A932" s="23"/>
    </row>
    <row r="933" spans="1:1" ht="15.75" customHeight="1">
      <c r="A933" s="23"/>
    </row>
    <row r="934" spans="1:1" ht="15.75" customHeight="1">
      <c r="A934" s="23"/>
    </row>
    <row r="935" spans="1:1" ht="15.75" customHeight="1">
      <c r="A935" s="23"/>
    </row>
    <row r="936" spans="1:1" ht="15.75" customHeight="1">
      <c r="A936" s="23"/>
    </row>
    <row r="937" spans="1:1" ht="15.75" customHeight="1">
      <c r="A937" s="23"/>
    </row>
    <row r="938" spans="1:1" ht="15.75" customHeight="1">
      <c r="A938" s="23"/>
    </row>
    <row r="939" spans="1:1" ht="15.75" customHeight="1">
      <c r="A939" s="23"/>
    </row>
    <row r="940" spans="1:1" ht="15.75" customHeight="1">
      <c r="A940" s="23"/>
    </row>
    <row r="941" spans="1:1" ht="15.75" customHeight="1">
      <c r="A941" s="23"/>
    </row>
    <row r="942" spans="1:1" ht="15.75" customHeight="1">
      <c r="A942" s="23"/>
    </row>
    <row r="943" spans="1:1" ht="15.75" customHeight="1">
      <c r="A943" s="23"/>
    </row>
    <row r="944" spans="1:1" ht="15.75" customHeight="1">
      <c r="A944" s="23"/>
    </row>
    <row r="945" spans="1:1" ht="15.75" customHeight="1">
      <c r="A945" s="23"/>
    </row>
    <row r="946" spans="1:1" ht="15.75" customHeight="1">
      <c r="A946" s="23"/>
    </row>
    <row r="947" spans="1:1" ht="15.75" customHeight="1">
      <c r="A947" s="23"/>
    </row>
    <row r="948" spans="1:1" ht="15.75" customHeight="1">
      <c r="A948" s="23"/>
    </row>
    <row r="949" spans="1:1" ht="15.75" customHeight="1">
      <c r="A949" s="23"/>
    </row>
    <row r="950" spans="1:1" ht="15.75" customHeight="1">
      <c r="A950" s="23"/>
    </row>
    <row r="951" spans="1:1" ht="15.75" customHeight="1">
      <c r="A951" s="23"/>
    </row>
    <row r="952" spans="1:1" ht="15.75" customHeight="1">
      <c r="A952" s="23"/>
    </row>
    <row r="953" spans="1:1" ht="15.75" customHeight="1">
      <c r="A953" s="23"/>
    </row>
    <row r="954" spans="1:1" ht="15.75" customHeight="1">
      <c r="A954" s="23"/>
    </row>
    <row r="955" spans="1:1" ht="15.75" customHeight="1">
      <c r="A955" s="23"/>
    </row>
    <row r="956" spans="1:1" ht="15.75" customHeight="1">
      <c r="A956" s="23"/>
    </row>
    <row r="957" spans="1:1" ht="15.75" customHeight="1">
      <c r="A957" s="23"/>
    </row>
    <row r="958" spans="1:1" ht="15.75" customHeight="1">
      <c r="A958" s="23"/>
    </row>
    <row r="959" spans="1:1" ht="15.75" customHeight="1">
      <c r="A959" s="23"/>
    </row>
    <row r="960" spans="1:1" ht="15.75" customHeight="1">
      <c r="A960" s="23"/>
    </row>
    <row r="961" spans="1:1" ht="15.75" customHeight="1">
      <c r="A961" s="23"/>
    </row>
    <row r="962" spans="1:1" ht="15.75" customHeight="1">
      <c r="A962" s="23"/>
    </row>
    <row r="963" spans="1:1" ht="15.75" customHeight="1">
      <c r="A963" s="23"/>
    </row>
    <row r="964" spans="1:1" ht="15.75" customHeight="1">
      <c r="A964" s="23"/>
    </row>
    <row r="965" spans="1:1" ht="15.75" customHeight="1">
      <c r="A965" s="23"/>
    </row>
    <row r="966" spans="1:1" ht="15.75" customHeight="1">
      <c r="A966" s="23"/>
    </row>
    <row r="967" spans="1:1" ht="15.75" customHeight="1">
      <c r="A967" s="23"/>
    </row>
    <row r="968" spans="1:1" ht="15.75" customHeight="1">
      <c r="A968" s="23"/>
    </row>
    <row r="969" spans="1:1" ht="15.75" customHeight="1">
      <c r="A969" s="23"/>
    </row>
    <row r="970" spans="1:1" ht="15.75" customHeight="1">
      <c r="A970" s="23"/>
    </row>
    <row r="971" spans="1:1" ht="15.75" customHeight="1">
      <c r="A971" s="23"/>
    </row>
    <row r="972" spans="1:1" ht="15.75" customHeight="1">
      <c r="A972" s="23"/>
    </row>
    <row r="973" spans="1:1" ht="15.75" customHeight="1">
      <c r="A973" s="23"/>
    </row>
    <row r="974" spans="1:1" ht="15.75" customHeight="1">
      <c r="A974" s="23"/>
    </row>
    <row r="975" spans="1:1" ht="15.75" customHeight="1">
      <c r="A975" s="23"/>
    </row>
    <row r="976" spans="1:1" ht="15.75" customHeight="1">
      <c r="A976" s="23"/>
    </row>
    <row r="977" spans="1:1" ht="15.75" customHeight="1">
      <c r="A977" s="23"/>
    </row>
    <row r="978" spans="1:1" ht="15.75" customHeight="1">
      <c r="A978" s="23"/>
    </row>
    <row r="979" spans="1:1" ht="15.75" customHeight="1">
      <c r="A979" s="23"/>
    </row>
    <row r="980" spans="1:1" ht="15.75" customHeight="1">
      <c r="A980" s="23"/>
    </row>
    <row r="981" spans="1:1" ht="15.75" customHeight="1">
      <c r="A981" s="23"/>
    </row>
    <row r="982" spans="1:1" ht="15.75" customHeight="1">
      <c r="A982" s="23"/>
    </row>
    <row r="983" spans="1:1" ht="15.75" customHeight="1">
      <c r="A983" s="23"/>
    </row>
    <row r="984" spans="1:1" ht="15.75" customHeight="1">
      <c r="A984" s="23"/>
    </row>
    <row r="985" spans="1:1" ht="15.75" customHeight="1">
      <c r="A985" s="23"/>
    </row>
    <row r="986" spans="1:1" ht="15.75" customHeight="1">
      <c r="A986" s="23"/>
    </row>
    <row r="987" spans="1:1" ht="15.75" customHeight="1">
      <c r="A987" s="23"/>
    </row>
    <row r="988" spans="1:1" ht="15.75" customHeight="1">
      <c r="A988" s="23"/>
    </row>
    <row r="989" spans="1:1" ht="15.75" customHeight="1">
      <c r="A989" s="23"/>
    </row>
    <row r="990" spans="1:1" ht="15.75" customHeight="1">
      <c r="A990" s="23"/>
    </row>
    <row r="991" spans="1:1" ht="15.75" customHeight="1">
      <c r="A991" s="23"/>
    </row>
    <row r="992" spans="1:1" ht="15.75" customHeight="1">
      <c r="A992" s="23"/>
    </row>
    <row r="993" spans="1:1" ht="15.75" customHeight="1">
      <c r="A993" s="23"/>
    </row>
    <row r="994" spans="1:1" ht="15.75" customHeight="1">
      <c r="A994" s="23"/>
    </row>
    <row r="995" spans="1:1" ht="15.75" customHeight="1">
      <c r="A995" s="23"/>
    </row>
    <row r="996" spans="1:1" ht="15.75" customHeight="1">
      <c r="A996" s="23"/>
    </row>
    <row r="997" spans="1:1" ht="15.75" customHeight="1">
      <c r="A997" s="23"/>
    </row>
    <row r="998" spans="1:1" ht="15.75" customHeight="1">
      <c r="A998" s="23"/>
    </row>
    <row r="999" spans="1:1" ht="15.75" customHeight="1">
      <c r="A999" s="23"/>
    </row>
    <row r="1000" spans="1:1" ht="15.75" customHeight="1">
      <c r="A1000" s="23"/>
    </row>
  </sheetData>
  <autoFilter ref="A1:D1" xr:uid="{00000000-0009-0000-0000-000005000000}"/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00000"/>
  </sheetPr>
  <dimension ref="A1:P1000"/>
  <sheetViews>
    <sheetView workbookViewId="0">
      <selection activeCell="D2" sqref="D2"/>
    </sheetView>
  </sheetViews>
  <sheetFormatPr baseColWidth="10" defaultColWidth="12.59765625" defaultRowHeight="15" customHeight="1"/>
  <cols>
    <col min="1" max="1" width="17.19921875" customWidth="1"/>
    <col min="2" max="2" width="13.19921875" customWidth="1"/>
    <col min="3" max="3" width="17.59765625" customWidth="1"/>
    <col min="4" max="4" width="19.19921875" customWidth="1"/>
    <col min="5" max="16" width="11" customWidth="1"/>
  </cols>
  <sheetData>
    <row r="1" spans="1:16" ht="48.75" customHeight="1">
      <c r="A1" s="2" t="s">
        <v>464</v>
      </c>
      <c r="B1" s="2" t="s">
        <v>7</v>
      </c>
      <c r="C1" s="2" t="s">
        <v>498</v>
      </c>
      <c r="D1" s="2" t="s">
        <v>499</v>
      </c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</row>
    <row r="2" spans="1:16" ht="14.25" customHeight="1">
      <c r="A2" s="50">
        <v>1</v>
      </c>
      <c r="B2" s="7" t="s">
        <v>11</v>
      </c>
      <c r="C2" s="8">
        <v>22</v>
      </c>
      <c r="D2" s="8">
        <v>8</v>
      </c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</row>
    <row r="3" spans="1:16" ht="14.25" customHeight="1">
      <c r="A3" s="50">
        <v>2</v>
      </c>
      <c r="B3" s="7" t="s">
        <v>15</v>
      </c>
      <c r="C3" s="8">
        <v>59</v>
      </c>
      <c r="D3" s="8">
        <v>17</v>
      </c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</row>
    <row r="4" spans="1:16" ht="14.25" customHeight="1">
      <c r="A4" s="50">
        <v>3</v>
      </c>
      <c r="B4" s="7" t="s">
        <v>17</v>
      </c>
      <c r="C4" s="8">
        <v>57</v>
      </c>
      <c r="D4" s="8">
        <v>11</v>
      </c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</row>
    <row r="5" spans="1:16" ht="14.25" customHeight="1">
      <c r="A5" s="50">
        <v>4</v>
      </c>
      <c r="B5" s="7" t="s">
        <v>20</v>
      </c>
      <c r="C5" s="8">
        <v>51</v>
      </c>
      <c r="D5" s="8">
        <v>31</v>
      </c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</row>
    <row r="6" spans="1:16" ht="14.25" customHeight="1">
      <c r="A6" s="50">
        <v>5</v>
      </c>
      <c r="B6" s="7" t="s">
        <v>263</v>
      </c>
      <c r="C6" s="8">
        <v>91</v>
      </c>
      <c r="D6" s="8">
        <v>42</v>
      </c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</row>
    <row r="7" spans="1:16" ht="14.25" customHeight="1">
      <c r="A7" s="50">
        <v>6</v>
      </c>
      <c r="B7" s="7" t="s">
        <v>25</v>
      </c>
      <c r="C7" s="8">
        <v>33</v>
      </c>
      <c r="D7" s="8">
        <v>25</v>
      </c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</row>
    <row r="8" spans="1:16" ht="14.25" customHeight="1">
      <c r="A8" s="50">
        <v>7</v>
      </c>
      <c r="B8" s="7" t="s">
        <v>27</v>
      </c>
      <c r="C8" s="8">
        <v>21</v>
      </c>
      <c r="D8" s="8">
        <v>8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</row>
    <row r="9" spans="1:16" ht="14.25" customHeight="1">
      <c r="A9" s="50">
        <v>8</v>
      </c>
      <c r="B9" s="7" t="s">
        <v>29</v>
      </c>
      <c r="C9" s="8">
        <v>34</v>
      </c>
      <c r="D9" s="8">
        <v>24</v>
      </c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</row>
    <row r="10" spans="1:16" ht="14.25" customHeight="1">
      <c r="A10" s="50">
        <v>9</v>
      </c>
      <c r="B10" s="7" t="s">
        <v>31</v>
      </c>
      <c r="C10" s="8">
        <v>43</v>
      </c>
      <c r="D10" s="8">
        <v>10</v>
      </c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</row>
    <row r="11" spans="1:16" ht="14.25" customHeight="1">
      <c r="A11" s="50">
        <v>10</v>
      </c>
      <c r="B11" s="7" t="s">
        <v>323</v>
      </c>
      <c r="C11" s="8">
        <v>44.493630573248403</v>
      </c>
      <c r="D11" s="8">
        <v>27.123264016831325</v>
      </c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</row>
    <row r="12" spans="1:16" ht="14.25" customHeight="1">
      <c r="A12" s="50">
        <v>11</v>
      </c>
      <c r="B12" s="7" t="s">
        <v>34</v>
      </c>
      <c r="C12" s="8">
        <v>50</v>
      </c>
      <c r="D12" s="8">
        <v>16</v>
      </c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</row>
    <row r="13" spans="1:16" ht="14.25" customHeight="1">
      <c r="A13" s="32"/>
      <c r="B13" s="32"/>
      <c r="C13" s="25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</row>
    <row r="14" spans="1:16" ht="14.25" customHeight="1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</row>
    <row r="15" spans="1:16" ht="14.25" customHeight="1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</row>
    <row r="16" spans="1:16" ht="14.25" customHeight="1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</row>
    <row r="17" spans="1:16" ht="14.25" customHeigh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</row>
    <row r="18" spans="1:16" ht="14.25" customHeigh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</row>
    <row r="19" spans="1:16" ht="14.25" customHeigh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</row>
    <row r="20" spans="1:16" ht="14.25" customHeigh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</row>
    <row r="21" spans="1:16" ht="14.25" customHeigh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</row>
    <row r="22" spans="1:16" ht="14.25" customHeigh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</row>
    <row r="23" spans="1:16" ht="14.25" customHeigh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</row>
    <row r="24" spans="1:16" ht="14.25" customHeigh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</row>
    <row r="25" spans="1:16" ht="14.25" customHeigh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</row>
    <row r="26" spans="1:16" ht="14.25" customHeigh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</row>
    <row r="27" spans="1:16" ht="14.25" customHeigh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</row>
    <row r="28" spans="1:16" ht="14.25" customHeight="1">
      <c r="A28" s="32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</row>
    <row r="29" spans="1:16" ht="14.25" customHeight="1">
      <c r="A29" s="32"/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</row>
    <row r="30" spans="1:16" ht="14.25" customHeight="1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</row>
    <row r="31" spans="1:16" ht="14.25" customHeight="1">
      <c r="A31" s="32"/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</row>
    <row r="32" spans="1:16" ht="14.25" customHeight="1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</row>
    <row r="33" spans="1:16" ht="14.25" customHeight="1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</row>
    <row r="34" spans="1:16" ht="14.25" customHeigh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</row>
    <row r="35" spans="1:16" ht="14.25" customHeigh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</row>
    <row r="36" spans="1:16" ht="14.25" customHeigh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</row>
    <row r="37" spans="1:16" ht="14.25" customHeigh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</row>
    <row r="38" spans="1:16" ht="14.25" customHeigh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</row>
    <row r="39" spans="1:16" ht="14.25" customHeight="1">
      <c r="A39" s="32"/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</row>
    <row r="40" spans="1:16" ht="14.25" customHeight="1">
      <c r="A40" s="32"/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</row>
    <row r="41" spans="1:16" ht="14.25" customHeight="1">
      <c r="A41" s="32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</row>
    <row r="42" spans="1:16" ht="14.25" customHeight="1">
      <c r="A42" s="32"/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</row>
    <row r="43" spans="1:16" ht="14.25" customHeight="1">
      <c r="A43" s="32"/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</row>
    <row r="44" spans="1:16" ht="14.25" customHeight="1">
      <c r="A44" s="32"/>
      <c r="B44" s="32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</row>
    <row r="45" spans="1:16" ht="14.25" customHeight="1">
      <c r="A45" s="32"/>
      <c r="B45" s="32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</row>
    <row r="46" spans="1:16" ht="14.25" customHeight="1">
      <c r="A46" s="32"/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</row>
    <row r="47" spans="1:16" ht="14.25" customHeight="1">
      <c r="A47" s="32"/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</row>
    <row r="48" spans="1:16" ht="14.25" customHeight="1">
      <c r="A48" s="32"/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</row>
    <row r="49" spans="1:16" ht="14.25" customHeight="1">
      <c r="A49" s="32"/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</row>
    <row r="50" spans="1:16" ht="14.25" customHeight="1">
      <c r="A50" s="32"/>
      <c r="B50" s="32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</row>
    <row r="51" spans="1:16" ht="14.25" customHeight="1">
      <c r="A51" s="32"/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</row>
    <row r="52" spans="1:16" ht="14.25" customHeight="1">
      <c r="A52" s="32"/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</row>
    <row r="53" spans="1:16" ht="14.25" customHeight="1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</row>
    <row r="54" spans="1:16" ht="14.25" customHeight="1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</row>
    <row r="55" spans="1:16" ht="14.25" customHeight="1">
      <c r="A55" s="32"/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</row>
    <row r="56" spans="1:16" ht="14.25" customHeight="1">
      <c r="A56" s="32"/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</row>
    <row r="57" spans="1:16" ht="14.25" customHeight="1">
      <c r="A57" s="32"/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</row>
    <row r="58" spans="1:16" ht="14.25" customHeight="1">
      <c r="A58" s="32"/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</row>
    <row r="59" spans="1:16" ht="14.25" customHeight="1">
      <c r="A59" s="32"/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</row>
    <row r="60" spans="1:16" ht="14.25" customHeight="1">
      <c r="A60" s="32"/>
      <c r="B60" s="32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</row>
    <row r="61" spans="1:16" ht="14.25" customHeight="1">
      <c r="A61" s="32"/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</row>
    <row r="62" spans="1:16" ht="14.25" customHeight="1">
      <c r="A62" s="32"/>
      <c r="B62" s="32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</row>
    <row r="63" spans="1:16" ht="14.25" customHeight="1">
      <c r="A63" s="32"/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</row>
    <row r="64" spans="1:16" ht="14.25" customHeight="1">
      <c r="A64" s="32"/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</row>
    <row r="65" spans="1:16" ht="14.25" customHeight="1">
      <c r="A65" s="32"/>
      <c r="B65" s="32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</row>
    <row r="66" spans="1:16" ht="14.25" customHeight="1">
      <c r="A66" s="32"/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</row>
    <row r="67" spans="1:16" ht="14.25" customHeight="1">
      <c r="A67" s="32"/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</row>
    <row r="68" spans="1:16" ht="14.25" customHeight="1">
      <c r="A68" s="32"/>
      <c r="B68" s="32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</row>
    <row r="69" spans="1:16" ht="14.25" customHeight="1">
      <c r="A69" s="32"/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</row>
    <row r="70" spans="1:16" ht="14.25" customHeight="1">
      <c r="A70" s="32"/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</row>
    <row r="71" spans="1:16" ht="14.25" customHeight="1">
      <c r="A71" s="32"/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</row>
    <row r="72" spans="1:16" ht="14.25" customHeight="1">
      <c r="A72" s="32"/>
      <c r="B72" s="32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</row>
    <row r="73" spans="1:16" ht="14.25" customHeight="1">
      <c r="A73" s="32"/>
      <c r="B73" s="32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</row>
    <row r="74" spans="1:16" ht="14.25" customHeight="1">
      <c r="A74" s="32"/>
      <c r="B74" s="32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</row>
    <row r="75" spans="1:16" ht="14.25" customHeight="1">
      <c r="A75" s="32"/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</row>
    <row r="76" spans="1:16" ht="14.25" customHeight="1">
      <c r="A76" s="32"/>
      <c r="B76" s="32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</row>
    <row r="77" spans="1:16" ht="14.25" customHeight="1">
      <c r="A77" s="32"/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</row>
    <row r="78" spans="1:16" ht="14.25" customHeight="1">
      <c r="A78" s="32"/>
      <c r="B78" s="32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</row>
    <row r="79" spans="1:16" ht="14.25" customHeight="1">
      <c r="A79" s="32"/>
      <c r="B79" s="32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</row>
    <row r="80" spans="1:16" ht="14.25" customHeight="1">
      <c r="A80" s="32"/>
      <c r="B80" s="32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</row>
    <row r="81" spans="1:16" ht="14.25" customHeight="1">
      <c r="A81" s="32"/>
      <c r="B81" s="32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</row>
    <row r="82" spans="1:16" ht="14.25" customHeight="1">
      <c r="A82" s="32"/>
      <c r="B82" s="32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</row>
    <row r="83" spans="1:16" ht="14.25" customHeight="1">
      <c r="A83" s="32"/>
      <c r="B83" s="32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</row>
    <row r="84" spans="1:16" ht="14.25" customHeight="1">
      <c r="A84" s="32"/>
      <c r="B84" s="32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</row>
    <row r="85" spans="1:16" ht="14.25" customHeight="1">
      <c r="A85" s="32"/>
      <c r="B85" s="32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</row>
    <row r="86" spans="1:16" ht="14.25" customHeight="1">
      <c r="A86" s="32"/>
      <c r="B86" s="32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</row>
    <row r="87" spans="1:16" ht="14.25" customHeight="1">
      <c r="A87" s="32"/>
      <c r="B87" s="32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</row>
    <row r="88" spans="1:16" ht="14.25" customHeight="1">
      <c r="A88" s="32"/>
      <c r="B88" s="32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</row>
    <row r="89" spans="1:16" ht="14.25" customHeight="1">
      <c r="A89" s="32"/>
      <c r="B89" s="32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</row>
    <row r="90" spans="1:16" ht="14.25" customHeight="1">
      <c r="A90" s="32"/>
      <c r="B90" s="32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</row>
    <row r="91" spans="1:16" ht="14.25" customHeight="1">
      <c r="A91" s="32"/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</row>
    <row r="92" spans="1:16" ht="14.25" customHeight="1">
      <c r="A92" s="32"/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</row>
    <row r="93" spans="1:16" ht="14.25" customHeight="1">
      <c r="A93" s="32"/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</row>
    <row r="94" spans="1:16" ht="14.25" customHeight="1">
      <c r="A94" s="32"/>
      <c r="B94" s="32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</row>
    <row r="95" spans="1:16" ht="14.25" customHeight="1">
      <c r="A95" s="32"/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</row>
    <row r="96" spans="1:16" ht="14.25" customHeight="1">
      <c r="A96" s="32"/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</row>
    <row r="97" spans="1:16" ht="14.25" customHeight="1">
      <c r="A97" s="32"/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</row>
    <row r="98" spans="1:16" ht="14.25" customHeight="1">
      <c r="A98" s="32"/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</row>
    <row r="99" spans="1:16" ht="14.25" customHeight="1">
      <c r="A99" s="32"/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</row>
    <row r="100" spans="1:16" ht="14.25" customHeight="1">
      <c r="A100" s="32"/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</row>
    <row r="101" spans="1:16" ht="14.25" customHeight="1">
      <c r="A101" s="32"/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</row>
    <row r="102" spans="1:16" ht="14.25" customHeight="1">
      <c r="A102" s="32"/>
      <c r="B102" s="32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</row>
    <row r="103" spans="1:16" ht="14.25" customHeight="1">
      <c r="A103" s="32"/>
      <c r="B103" s="32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</row>
    <row r="104" spans="1:16" ht="14.25" customHeight="1">
      <c r="A104" s="32"/>
      <c r="B104" s="32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</row>
    <row r="105" spans="1:16" ht="14.25" customHeight="1">
      <c r="A105" s="32"/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</row>
    <row r="106" spans="1:16" ht="14.25" customHeight="1">
      <c r="A106" s="32"/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</row>
    <row r="107" spans="1:16" ht="14.25" customHeight="1">
      <c r="A107" s="32"/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</row>
    <row r="108" spans="1:16" ht="14.25" customHeight="1">
      <c r="A108" s="32"/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</row>
    <row r="109" spans="1:16" ht="14.25" customHeight="1">
      <c r="A109" s="32"/>
      <c r="B109" s="32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</row>
    <row r="110" spans="1:16" ht="14.25" customHeight="1">
      <c r="A110" s="32"/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</row>
    <row r="111" spans="1:16" ht="14.25" customHeight="1">
      <c r="A111" s="32"/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</row>
    <row r="112" spans="1:16" ht="14.25" customHeight="1">
      <c r="A112" s="32"/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</row>
    <row r="113" spans="1:16" ht="14.25" customHeight="1">
      <c r="A113" s="32"/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</row>
    <row r="114" spans="1:16" ht="14.25" customHeight="1">
      <c r="A114" s="32"/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</row>
    <row r="115" spans="1:16" ht="14.25" customHeight="1">
      <c r="A115" s="32"/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</row>
    <row r="116" spans="1:16" ht="14.25" customHeight="1">
      <c r="A116" s="32"/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</row>
    <row r="117" spans="1:16" ht="14.25" customHeight="1">
      <c r="A117" s="32"/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</row>
    <row r="118" spans="1:16" ht="14.25" customHeight="1">
      <c r="A118" s="32"/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</row>
    <row r="119" spans="1:16" ht="14.25" customHeight="1">
      <c r="A119" s="32"/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</row>
    <row r="120" spans="1:16" ht="14.25" customHeight="1">
      <c r="A120" s="32"/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</row>
    <row r="121" spans="1:16" ht="14.25" customHeight="1">
      <c r="A121" s="32"/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</row>
    <row r="122" spans="1:16" ht="14.25" customHeight="1">
      <c r="A122" s="32"/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</row>
    <row r="123" spans="1:16" ht="14.25" customHeight="1">
      <c r="A123" s="32"/>
      <c r="B123" s="32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</row>
    <row r="124" spans="1:16" ht="14.25" customHeight="1">
      <c r="A124" s="32"/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</row>
    <row r="125" spans="1:16" ht="14.25" customHeight="1">
      <c r="A125" s="32"/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</row>
    <row r="126" spans="1:16" ht="14.25" customHeight="1">
      <c r="A126" s="32"/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</row>
    <row r="127" spans="1:16" ht="14.25" customHeight="1">
      <c r="A127" s="32"/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</row>
    <row r="128" spans="1:16" ht="14.25" customHeight="1">
      <c r="A128" s="32"/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</row>
    <row r="129" spans="1:16" ht="14.25" customHeight="1">
      <c r="A129" s="32"/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</row>
    <row r="130" spans="1:16" ht="14.25" customHeight="1">
      <c r="A130" s="32"/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</row>
    <row r="131" spans="1:16" ht="14.25" customHeight="1">
      <c r="A131" s="32"/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</row>
    <row r="132" spans="1:16" ht="14.25" customHeight="1">
      <c r="A132" s="32"/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</row>
    <row r="133" spans="1:16" ht="14.25" customHeight="1">
      <c r="A133" s="32"/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</row>
    <row r="134" spans="1:16" ht="14.25" customHeight="1">
      <c r="A134" s="32"/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</row>
    <row r="135" spans="1:16" ht="14.25" customHeight="1">
      <c r="A135" s="32"/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</row>
    <row r="136" spans="1:16" ht="14.25" customHeight="1">
      <c r="A136" s="32"/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</row>
    <row r="137" spans="1:16" ht="14.25" customHeight="1">
      <c r="A137" s="32"/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</row>
    <row r="138" spans="1:16" ht="14.25" customHeight="1">
      <c r="A138" s="32"/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</row>
    <row r="139" spans="1:16" ht="14.25" customHeight="1">
      <c r="A139" s="32"/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</row>
    <row r="140" spans="1:16" ht="14.25" customHeight="1">
      <c r="A140" s="32"/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</row>
    <row r="141" spans="1:16" ht="14.25" customHeight="1">
      <c r="A141" s="32"/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</row>
    <row r="142" spans="1:16" ht="14.25" customHeight="1">
      <c r="A142" s="32"/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</row>
    <row r="143" spans="1:16" ht="14.25" customHeight="1">
      <c r="A143" s="32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</row>
    <row r="144" spans="1:16" ht="14.25" customHeight="1">
      <c r="A144" s="32"/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</row>
    <row r="145" spans="1:16" ht="14.25" customHeight="1">
      <c r="A145" s="32"/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</row>
    <row r="146" spans="1:16" ht="14.25" customHeight="1">
      <c r="A146" s="32"/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</row>
    <row r="147" spans="1:16" ht="14.25" customHeight="1">
      <c r="A147" s="32"/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</row>
    <row r="148" spans="1:16" ht="14.25" customHeight="1">
      <c r="A148" s="32"/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</row>
    <row r="149" spans="1:16" ht="14.25" customHeight="1">
      <c r="A149" s="32"/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</row>
    <row r="150" spans="1:16" ht="14.25" customHeight="1">
      <c r="A150" s="32"/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</row>
    <row r="151" spans="1:16" ht="14.25" customHeight="1">
      <c r="A151" s="32"/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</row>
    <row r="152" spans="1:16" ht="14.25" customHeight="1">
      <c r="A152" s="32"/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</row>
    <row r="153" spans="1:16" ht="14.25" customHeight="1">
      <c r="A153" s="32"/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</row>
    <row r="154" spans="1:16" ht="14.25" customHeight="1">
      <c r="A154" s="32"/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</row>
    <row r="155" spans="1:16" ht="14.25" customHeight="1">
      <c r="A155" s="32"/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</row>
    <row r="156" spans="1:16" ht="14.25" customHeight="1">
      <c r="A156" s="32"/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</row>
    <row r="157" spans="1:16" ht="14.25" customHeight="1">
      <c r="A157" s="32"/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</row>
    <row r="158" spans="1:16" ht="14.25" customHeight="1">
      <c r="A158" s="32"/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</row>
    <row r="159" spans="1:16" ht="14.25" customHeight="1">
      <c r="A159" s="32"/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</row>
    <row r="160" spans="1:16" ht="14.25" customHeight="1">
      <c r="A160" s="32"/>
      <c r="B160" s="32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</row>
    <row r="161" spans="1:16" ht="14.25" customHeight="1">
      <c r="A161" s="32"/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</row>
    <row r="162" spans="1:16" ht="14.25" customHeight="1">
      <c r="A162" s="32"/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</row>
    <row r="163" spans="1:16" ht="14.25" customHeight="1">
      <c r="A163" s="32"/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</row>
    <row r="164" spans="1:16" ht="14.25" customHeight="1">
      <c r="A164" s="32"/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</row>
    <row r="165" spans="1:16" ht="14.25" customHeight="1">
      <c r="A165" s="32"/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</row>
    <row r="166" spans="1:16" ht="14.25" customHeight="1">
      <c r="A166" s="32"/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</row>
    <row r="167" spans="1:16" ht="14.25" customHeight="1">
      <c r="A167" s="32"/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</row>
    <row r="168" spans="1:16" ht="14.25" customHeight="1">
      <c r="A168" s="32"/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</row>
    <row r="169" spans="1:16" ht="14.25" customHeight="1">
      <c r="A169" s="32"/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</row>
    <row r="170" spans="1:16" ht="14.25" customHeight="1">
      <c r="A170" s="32"/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</row>
    <row r="171" spans="1:16" ht="14.25" customHeight="1">
      <c r="A171" s="32"/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</row>
    <row r="172" spans="1:16" ht="14.25" customHeight="1">
      <c r="A172" s="32"/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</row>
    <row r="173" spans="1:16" ht="14.25" customHeight="1">
      <c r="A173" s="32"/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</row>
    <row r="174" spans="1:16" ht="14.25" customHeight="1">
      <c r="A174" s="32"/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</row>
    <row r="175" spans="1:16" ht="14.25" customHeight="1">
      <c r="A175" s="32"/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</row>
    <row r="176" spans="1:16" ht="14.25" customHeight="1">
      <c r="A176" s="32"/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</row>
    <row r="177" spans="1:16" ht="14.25" customHeight="1">
      <c r="A177" s="32"/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</row>
    <row r="178" spans="1:16" ht="14.25" customHeight="1">
      <c r="A178" s="32"/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</row>
    <row r="179" spans="1:16" ht="14.25" customHeight="1">
      <c r="A179" s="32"/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</row>
    <row r="180" spans="1:16" ht="14.25" customHeight="1">
      <c r="A180" s="32"/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</row>
    <row r="181" spans="1:16" ht="14.25" customHeight="1">
      <c r="A181" s="32"/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</row>
    <row r="182" spans="1:16" ht="14.25" customHeight="1">
      <c r="A182" s="32"/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</row>
    <row r="183" spans="1:16" ht="14.25" customHeight="1">
      <c r="A183" s="32"/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</row>
    <row r="184" spans="1:16" ht="14.25" customHeight="1">
      <c r="A184" s="32"/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</row>
    <row r="185" spans="1:16" ht="14.25" customHeight="1">
      <c r="A185" s="32"/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</row>
    <row r="186" spans="1:16" ht="14.25" customHeight="1">
      <c r="A186" s="32"/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</row>
    <row r="187" spans="1:16" ht="14.25" customHeight="1">
      <c r="A187" s="32"/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</row>
    <row r="188" spans="1:16" ht="14.25" customHeight="1">
      <c r="A188" s="32"/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</row>
    <row r="189" spans="1:16" ht="14.25" customHeight="1">
      <c r="A189" s="32"/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</row>
    <row r="190" spans="1:16" ht="14.25" customHeight="1">
      <c r="A190" s="32"/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</row>
    <row r="191" spans="1:16" ht="14.25" customHeight="1">
      <c r="A191" s="32"/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</row>
    <row r="192" spans="1:16" ht="14.25" customHeight="1">
      <c r="A192" s="32"/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</row>
    <row r="193" spans="1:16" ht="14.25" customHeight="1">
      <c r="A193" s="32"/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</row>
    <row r="194" spans="1:16" ht="14.25" customHeight="1">
      <c r="A194" s="32"/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</row>
    <row r="195" spans="1:16" ht="14.25" customHeight="1">
      <c r="A195" s="32"/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</row>
    <row r="196" spans="1:16" ht="14.25" customHeight="1">
      <c r="A196" s="32"/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</row>
    <row r="197" spans="1:16" ht="14.25" customHeight="1">
      <c r="A197" s="32"/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</row>
    <row r="198" spans="1:16" ht="14.25" customHeight="1">
      <c r="A198" s="32"/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</row>
    <row r="199" spans="1:16" ht="14.25" customHeight="1">
      <c r="A199" s="32"/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</row>
    <row r="200" spans="1:16" ht="14.25" customHeight="1">
      <c r="A200" s="32"/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</row>
    <row r="201" spans="1:16" ht="14.25" customHeight="1">
      <c r="A201" s="32"/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</row>
    <row r="202" spans="1:16" ht="14.25" customHeight="1">
      <c r="A202" s="32"/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</row>
    <row r="203" spans="1:16" ht="14.25" customHeight="1">
      <c r="A203" s="32"/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</row>
    <row r="204" spans="1:16" ht="14.25" customHeight="1">
      <c r="A204" s="32"/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</row>
    <row r="205" spans="1:16" ht="14.25" customHeight="1">
      <c r="A205" s="32"/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</row>
    <row r="206" spans="1:16" ht="14.25" customHeight="1">
      <c r="A206" s="32"/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</row>
    <row r="207" spans="1:16" ht="14.25" customHeight="1">
      <c r="A207" s="32"/>
      <c r="B207" s="32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</row>
    <row r="208" spans="1:16" ht="14.25" customHeight="1">
      <c r="A208" s="32"/>
      <c r="B208" s="32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</row>
    <row r="209" spans="1:16" ht="14.25" customHeight="1">
      <c r="A209" s="32"/>
      <c r="B209" s="32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</row>
    <row r="210" spans="1:16" ht="14.25" customHeight="1">
      <c r="A210" s="32"/>
      <c r="B210" s="32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</row>
    <row r="211" spans="1:16" ht="14.25" customHeight="1">
      <c r="A211" s="32"/>
      <c r="B211" s="32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</row>
    <row r="212" spans="1:16" ht="14.25" customHeight="1">
      <c r="A212" s="32"/>
      <c r="B212" s="32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</row>
    <row r="213" spans="1:16" ht="14.25" customHeight="1">
      <c r="A213" s="32"/>
      <c r="B213" s="32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</row>
    <row r="214" spans="1:16" ht="14.25" customHeight="1">
      <c r="A214" s="32"/>
      <c r="B214" s="32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</row>
    <row r="215" spans="1:16" ht="14.25" customHeight="1">
      <c r="A215" s="32"/>
      <c r="B215" s="32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</row>
    <row r="216" spans="1:16" ht="14.25" customHeight="1">
      <c r="A216" s="32"/>
      <c r="B216" s="32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</row>
    <row r="217" spans="1:16" ht="14.25" customHeight="1">
      <c r="A217" s="32"/>
      <c r="B217" s="32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</row>
    <row r="218" spans="1:16" ht="14.25" customHeight="1">
      <c r="A218" s="32"/>
      <c r="B218" s="32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</row>
    <row r="219" spans="1:16" ht="14.25" customHeight="1">
      <c r="A219" s="32"/>
      <c r="B219" s="32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</row>
    <row r="220" spans="1:16" ht="14.25" customHeight="1">
      <c r="A220" s="32"/>
      <c r="B220" s="32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</row>
    <row r="221" spans="1:16" ht="14.25" customHeight="1">
      <c r="A221" s="32"/>
      <c r="B221" s="32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</row>
    <row r="222" spans="1:16" ht="14.25" customHeight="1">
      <c r="A222" s="32"/>
      <c r="B222" s="32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</row>
    <row r="223" spans="1:16" ht="14.25" customHeight="1">
      <c r="A223" s="32"/>
      <c r="B223" s="32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</row>
    <row r="224" spans="1:16" ht="14.25" customHeight="1">
      <c r="A224" s="32"/>
      <c r="B224" s="32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</row>
    <row r="225" spans="1:16" ht="14.25" customHeight="1">
      <c r="A225" s="32"/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</row>
    <row r="226" spans="1:16" ht="14.25" customHeight="1">
      <c r="A226" s="32"/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</row>
    <row r="227" spans="1:16" ht="14.25" customHeight="1">
      <c r="A227" s="32"/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</row>
    <row r="228" spans="1:16" ht="14.25" customHeight="1">
      <c r="A228" s="32"/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</row>
    <row r="229" spans="1:16" ht="14.25" customHeight="1">
      <c r="A229" s="32"/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</row>
    <row r="230" spans="1:16" ht="14.25" customHeight="1">
      <c r="A230" s="32"/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</row>
    <row r="231" spans="1:16" ht="14.25" customHeight="1">
      <c r="A231" s="32"/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</row>
    <row r="232" spans="1:16" ht="14.25" customHeight="1">
      <c r="A232" s="32"/>
      <c r="B232" s="32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</row>
    <row r="233" spans="1:16" ht="14.25" customHeight="1">
      <c r="A233" s="32"/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</row>
    <row r="234" spans="1:16" ht="14.25" customHeight="1">
      <c r="A234" s="32"/>
      <c r="B234" s="32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</row>
    <row r="235" spans="1:16" ht="14.25" customHeight="1">
      <c r="A235" s="32"/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</row>
    <row r="236" spans="1:16" ht="14.25" customHeight="1">
      <c r="A236" s="32"/>
      <c r="B236" s="32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</row>
    <row r="237" spans="1:16" ht="14.25" customHeight="1">
      <c r="A237" s="32"/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</row>
    <row r="238" spans="1:16" ht="14.25" customHeight="1">
      <c r="A238" s="32"/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</row>
    <row r="239" spans="1:16" ht="14.25" customHeight="1">
      <c r="A239" s="32"/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</row>
    <row r="240" spans="1:16" ht="14.25" customHeight="1">
      <c r="A240" s="32"/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</row>
    <row r="241" spans="1:16" ht="14.25" customHeight="1">
      <c r="A241" s="32"/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</row>
    <row r="242" spans="1:16" ht="14.25" customHeight="1">
      <c r="A242" s="32"/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</row>
    <row r="243" spans="1:16" ht="14.25" customHeight="1">
      <c r="A243" s="32"/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</row>
    <row r="244" spans="1:16" ht="14.25" customHeight="1">
      <c r="A244" s="32"/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</row>
    <row r="245" spans="1:16" ht="14.25" customHeight="1">
      <c r="A245" s="32"/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</row>
    <row r="246" spans="1:16" ht="14.25" customHeight="1">
      <c r="A246" s="32"/>
      <c r="B246" s="32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</row>
    <row r="247" spans="1:16" ht="14.25" customHeight="1">
      <c r="A247" s="32"/>
      <c r="B247" s="32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</row>
    <row r="248" spans="1:16" ht="14.25" customHeight="1">
      <c r="A248" s="32"/>
      <c r="B248" s="32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</row>
    <row r="249" spans="1:16" ht="14.25" customHeight="1">
      <c r="A249" s="32"/>
      <c r="B249" s="32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</row>
    <row r="250" spans="1:16" ht="14.25" customHeight="1">
      <c r="A250" s="32"/>
      <c r="B250" s="32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</row>
    <row r="251" spans="1:16" ht="14.25" customHeight="1">
      <c r="A251" s="32"/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</row>
    <row r="252" spans="1:16" ht="14.25" customHeight="1">
      <c r="A252" s="32"/>
      <c r="B252" s="32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</row>
    <row r="253" spans="1:16" ht="14.25" customHeight="1">
      <c r="A253" s="32"/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</row>
    <row r="254" spans="1:16" ht="14.25" customHeight="1">
      <c r="A254" s="32"/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</row>
    <row r="255" spans="1:16" ht="14.25" customHeight="1">
      <c r="A255" s="32"/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</row>
    <row r="256" spans="1:16" ht="14.25" customHeight="1">
      <c r="A256" s="32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</row>
    <row r="257" spans="1:16" ht="14.25" customHeight="1">
      <c r="A257" s="32"/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</row>
    <row r="258" spans="1:16" ht="14.25" customHeight="1">
      <c r="A258" s="32"/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</row>
    <row r="259" spans="1:16" ht="14.25" customHeight="1">
      <c r="A259" s="32"/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</row>
    <row r="260" spans="1:16" ht="14.25" customHeight="1">
      <c r="A260" s="32"/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</row>
    <row r="261" spans="1:16" ht="14.25" customHeight="1">
      <c r="A261" s="32"/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</row>
    <row r="262" spans="1:16" ht="14.25" customHeight="1">
      <c r="A262" s="32"/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</row>
    <row r="263" spans="1:16" ht="14.25" customHeight="1">
      <c r="A263" s="32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</row>
    <row r="264" spans="1:16" ht="14.25" customHeight="1">
      <c r="A264" s="32"/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</row>
    <row r="265" spans="1:16" ht="14.25" customHeight="1">
      <c r="A265" s="32"/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</row>
    <row r="266" spans="1:16" ht="14.25" customHeight="1">
      <c r="A266" s="32"/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</row>
    <row r="267" spans="1:16" ht="14.25" customHeight="1">
      <c r="A267" s="32"/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</row>
    <row r="268" spans="1:16" ht="14.25" customHeight="1">
      <c r="A268" s="32"/>
      <c r="B268" s="32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</row>
    <row r="269" spans="1:16" ht="14.25" customHeight="1">
      <c r="A269" s="32"/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</row>
    <row r="270" spans="1:16" ht="14.25" customHeight="1">
      <c r="A270" s="32"/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</row>
    <row r="271" spans="1:16" ht="14.25" customHeight="1">
      <c r="A271" s="32"/>
      <c r="B271" s="32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</row>
    <row r="272" spans="1:16" ht="14.25" customHeight="1">
      <c r="A272" s="32"/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</row>
    <row r="273" spans="1:16" ht="14.25" customHeight="1">
      <c r="A273" s="32"/>
      <c r="B273" s="32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</row>
    <row r="274" spans="1:16" ht="14.25" customHeight="1">
      <c r="A274" s="32"/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</row>
    <row r="275" spans="1:16" ht="14.25" customHeight="1">
      <c r="A275" s="32"/>
      <c r="B275" s="32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</row>
    <row r="276" spans="1:16" ht="14.25" customHeight="1">
      <c r="A276" s="32"/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</row>
    <row r="277" spans="1:16" ht="14.25" customHeight="1">
      <c r="A277" s="32"/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</row>
    <row r="278" spans="1:16" ht="14.25" customHeight="1">
      <c r="A278" s="32"/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</row>
    <row r="279" spans="1:16" ht="14.25" customHeight="1">
      <c r="A279" s="32"/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</row>
    <row r="280" spans="1:16" ht="14.25" customHeight="1">
      <c r="A280" s="32"/>
      <c r="B280" s="32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</row>
    <row r="281" spans="1:16" ht="14.25" customHeight="1">
      <c r="A281" s="32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</row>
    <row r="282" spans="1:16" ht="14.25" customHeight="1">
      <c r="A282" s="32"/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</row>
    <row r="283" spans="1:16" ht="14.25" customHeight="1">
      <c r="A283" s="32"/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</row>
    <row r="284" spans="1:16" ht="14.25" customHeight="1">
      <c r="A284" s="32"/>
      <c r="B284" s="32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</row>
    <row r="285" spans="1:16" ht="14.25" customHeight="1">
      <c r="A285" s="32"/>
      <c r="B285" s="32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</row>
    <row r="286" spans="1:16" ht="14.25" customHeight="1">
      <c r="A286" s="32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</row>
    <row r="287" spans="1:16" ht="14.25" customHeight="1">
      <c r="A287" s="32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</row>
    <row r="288" spans="1:16" ht="14.25" customHeight="1">
      <c r="A288" s="32"/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</row>
    <row r="289" spans="1:16" ht="14.25" customHeight="1">
      <c r="A289" s="32"/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</row>
    <row r="290" spans="1:16" ht="14.25" customHeight="1">
      <c r="A290" s="32"/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</row>
    <row r="291" spans="1:16" ht="14.25" customHeight="1">
      <c r="A291" s="32"/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</row>
    <row r="292" spans="1:16" ht="14.25" customHeight="1">
      <c r="A292" s="32"/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</row>
    <row r="293" spans="1:16" ht="14.25" customHeight="1">
      <c r="A293" s="32"/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</row>
    <row r="294" spans="1:16" ht="14.25" customHeight="1">
      <c r="A294" s="32"/>
      <c r="B294" s="32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</row>
    <row r="295" spans="1:16" ht="14.25" customHeight="1">
      <c r="A295" s="32"/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</row>
    <row r="296" spans="1:16" ht="14.25" customHeight="1">
      <c r="A296" s="32"/>
      <c r="B296" s="32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</row>
    <row r="297" spans="1:16" ht="14.25" customHeight="1">
      <c r="A297" s="32"/>
      <c r="B297" s="32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</row>
    <row r="298" spans="1:16" ht="14.25" customHeight="1">
      <c r="A298" s="32"/>
      <c r="B298" s="32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</row>
    <row r="299" spans="1:16" ht="14.25" customHeight="1">
      <c r="A299" s="32"/>
      <c r="B299" s="32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</row>
    <row r="300" spans="1:16" ht="14.25" customHeight="1">
      <c r="A300" s="32"/>
      <c r="B300" s="32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</row>
    <row r="301" spans="1:16" ht="14.25" customHeight="1">
      <c r="A301" s="32"/>
      <c r="B301" s="32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</row>
    <row r="302" spans="1:16" ht="14.25" customHeight="1">
      <c r="A302" s="32"/>
      <c r="B302" s="32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</row>
    <row r="303" spans="1:16" ht="14.25" customHeight="1">
      <c r="A303" s="32"/>
      <c r="B303" s="32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</row>
    <row r="304" spans="1:16" ht="14.25" customHeight="1">
      <c r="A304" s="32"/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</row>
    <row r="305" spans="1:16" ht="14.25" customHeight="1">
      <c r="A305" s="32"/>
      <c r="B305" s="32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</row>
    <row r="306" spans="1:16" ht="14.25" customHeight="1">
      <c r="A306" s="32"/>
      <c r="B306" s="32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</row>
    <row r="307" spans="1:16" ht="14.25" customHeight="1">
      <c r="A307" s="32"/>
      <c r="B307" s="32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</row>
    <row r="308" spans="1:16" ht="14.25" customHeight="1">
      <c r="A308" s="32"/>
      <c r="B308" s="32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</row>
    <row r="309" spans="1:16" ht="14.25" customHeight="1">
      <c r="A309" s="32"/>
      <c r="B309" s="32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</row>
    <row r="310" spans="1:16" ht="14.25" customHeight="1">
      <c r="A310" s="32"/>
      <c r="B310" s="32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</row>
    <row r="311" spans="1:16" ht="14.25" customHeight="1">
      <c r="A311" s="32"/>
      <c r="B311" s="32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</row>
    <row r="312" spans="1:16" ht="14.25" customHeight="1">
      <c r="A312" s="32"/>
      <c r="B312" s="32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</row>
    <row r="313" spans="1:16" ht="14.25" customHeight="1">
      <c r="A313" s="32"/>
      <c r="B313" s="32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</row>
    <row r="314" spans="1:16" ht="14.25" customHeight="1">
      <c r="A314" s="32"/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</row>
    <row r="315" spans="1:16" ht="14.25" customHeight="1">
      <c r="A315" s="32"/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</row>
    <row r="316" spans="1:16" ht="14.25" customHeight="1">
      <c r="A316" s="32"/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</row>
    <row r="317" spans="1:16" ht="14.25" customHeight="1">
      <c r="A317" s="32"/>
      <c r="B317" s="32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</row>
    <row r="318" spans="1:16" ht="14.25" customHeight="1">
      <c r="A318" s="32"/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</row>
    <row r="319" spans="1:16" ht="14.25" customHeight="1">
      <c r="A319" s="32"/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</row>
    <row r="320" spans="1:16" ht="14.25" customHeight="1">
      <c r="A320" s="32"/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</row>
    <row r="321" spans="1:16" ht="14.25" customHeight="1">
      <c r="A321" s="32"/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</row>
    <row r="322" spans="1:16" ht="14.25" customHeight="1">
      <c r="A322" s="32"/>
      <c r="B322" s="32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</row>
    <row r="323" spans="1:16" ht="14.25" customHeight="1">
      <c r="A323" s="32"/>
      <c r="B323" s="32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</row>
    <row r="324" spans="1:16" ht="14.25" customHeight="1">
      <c r="A324" s="32"/>
      <c r="B324" s="32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</row>
    <row r="325" spans="1:16" ht="14.25" customHeight="1">
      <c r="A325" s="32"/>
      <c r="B325" s="32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</row>
    <row r="326" spans="1:16" ht="14.25" customHeight="1">
      <c r="A326" s="32"/>
      <c r="B326" s="32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</row>
    <row r="327" spans="1:16" ht="14.25" customHeight="1">
      <c r="A327" s="32"/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</row>
    <row r="328" spans="1:16" ht="14.25" customHeight="1">
      <c r="A328" s="32"/>
      <c r="B328" s="32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</row>
    <row r="329" spans="1:16" ht="14.25" customHeight="1">
      <c r="A329" s="32"/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</row>
    <row r="330" spans="1:16" ht="14.25" customHeight="1">
      <c r="A330" s="32"/>
      <c r="B330" s="32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</row>
    <row r="331" spans="1:16" ht="14.25" customHeight="1">
      <c r="A331" s="32"/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</row>
    <row r="332" spans="1:16" ht="14.25" customHeight="1">
      <c r="A332" s="32"/>
      <c r="B332" s="32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</row>
    <row r="333" spans="1:16" ht="14.25" customHeight="1">
      <c r="A333" s="32"/>
      <c r="B333" s="32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</row>
    <row r="334" spans="1:16" ht="14.25" customHeight="1">
      <c r="A334" s="32"/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</row>
    <row r="335" spans="1:16" ht="14.25" customHeight="1">
      <c r="A335" s="32"/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</row>
    <row r="336" spans="1:16" ht="14.25" customHeight="1">
      <c r="A336" s="32"/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</row>
    <row r="337" spans="1:16" ht="14.25" customHeight="1">
      <c r="A337" s="32"/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</row>
    <row r="338" spans="1:16" ht="14.25" customHeight="1">
      <c r="A338" s="32"/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</row>
    <row r="339" spans="1:16" ht="14.25" customHeight="1">
      <c r="A339" s="32"/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</row>
    <row r="340" spans="1:16" ht="14.25" customHeight="1">
      <c r="A340" s="32"/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</row>
    <row r="341" spans="1:16" ht="14.25" customHeight="1">
      <c r="A341" s="32"/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</row>
    <row r="342" spans="1:16" ht="14.25" customHeight="1">
      <c r="A342" s="32"/>
      <c r="B342" s="32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</row>
    <row r="343" spans="1:16" ht="14.25" customHeight="1">
      <c r="A343" s="32"/>
      <c r="B343" s="32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</row>
    <row r="344" spans="1:16" ht="14.25" customHeight="1">
      <c r="A344" s="32"/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</row>
    <row r="345" spans="1:16" ht="14.25" customHeight="1">
      <c r="A345" s="32"/>
      <c r="B345" s="32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</row>
    <row r="346" spans="1:16" ht="14.25" customHeight="1">
      <c r="A346" s="32"/>
      <c r="B346" s="32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</row>
    <row r="347" spans="1:16" ht="14.25" customHeight="1">
      <c r="A347" s="32"/>
      <c r="B347" s="32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</row>
    <row r="348" spans="1:16" ht="14.25" customHeight="1">
      <c r="A348" s="32"/>
      <c r="B348" s="32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</row>
    <row r="349" spans="1:16" ht="14.25" customHeight="1">
      <c r="A349" s="32"/>
      <c r="B349" s="32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</row>
    <row r="350" spans="1:16" ht="14.25" customHeight="1">
      <c r="A350" s="32"/>
      <c r="B350" s="32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</row>
    <row r="351" spans="1:16" ht="14.25" customHeight="1">
      <c r="A351" s="32"/>
      <c r="B351" s="32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</row>
    <row r="352" spans="1:16" ht="14.25" customHeight="1">
      <c r="A352" s="32"/>
      <c r="B352" s="32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</row>
    <row r="353" spans="1:16" ht="14.25" customHeight="1">
      <c r="A353" s="32"/>
      <c r="B353" s="32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</row>
    <row r="354" spans="1:16" ht="14.25" customHeight="1">
      <c r="A354" s="32"/>
      <c r="B354" s="32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</row>
    <row r="355" spans="1:16" ht="14.25" customHeight="1">
      <c r="A355" s="32"/>
      <c r="B355" s="32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</row>
    <row r="356" spans="1:16" ht="14.25" customHeight="1">
      <c r="A356" s="32"/>
      <c r="B356" s="32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</row>
    <row r="357" spans="1:16" ht="14.25" customHeight="1">
      <c r="A357" s="32"/>
      <c r="B357" s="32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</row>
    <row r="358" spans="1:16" ht="14.25" customHeight="1">
      <c r="A358" s="32"/>
      <c r="B358" s="32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</row>
    <row r="359" spans="1:16" ht="14.25" customHeight="1">
      <c r="A359" s="32"/>
      <c r="B359" s="32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</row>
    <row r="360" spans="1:16" ht="14.25" customHeight="1">
      <c r="A360" s="32"/>
      <c r="B360" s="32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</row>
    <row r="361" spans="1:16" ht="14.25" customHeight="1">
      <c r="A361" s="32"/>
      <c r="B361" s="32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</row>
    <row r="362" spans="1:16" ht="14.25" customHeight="1">
      <c r="A362" s="32"/>
      <c r="B362" s="32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</row>
    <row r="363" spans="1:16" ht="14.25" customHeight="1">
      <c r="A363" s="32"/>
      <c r="B363" s="32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</row>
    <row r="364" spans="1:16" ht="14.25" customHeight="1">
      <c r="A364" s="32"/>
      <c r="B364" s="32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</row>
    <row r="365" spans="1:16" ht="14.25" customHeight="1">
      <c r="A365" s="32"/>
      <c r="B365" s="32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</row>
    <row r="366" spans="1:16" ht="14.25" customHeight="1">
      <c r="A366" s="32"/>
      <c r="B366" s="32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</row>
    <row r="367" spans="1:16" ht="14.25" customHeight="1">
      <c r="A367" s="32"/>
      <c r="B367" s="32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</row>
    <row r="368" spans="1:16" ht="14.25" customHeight="1">
      <c r="A368" s="32"/>
      <c r="B368" s="32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</row>
    <row r="369" spans="1:16" ht="14.25" customHeight="1">
      <c r="A369" s="32"/>
      <c r="B369" s="32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</row>
    <row r="370" spans="1:16" ht="14.25" customHeight="1">
      <c r="A370" s="32"/>
      <c r="B370" s="32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</row>
    <row r="371" spans="1:16" ht="14.25" customHeight="1">
      <c r="A371" s="32"/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</row>
    <row r="372" spans="1:16" ht="14.25" customHeight="1">
      <c r="A372" s="32"/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</row>
    <row r="373" spans="1:16" ht="14.25" customHeight="1">
      <c r="A373" s="32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</row>
    <row r="374" spans="1:16" ht="14.25" customHeight="1">
      <c r="A374" s="32"/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</row>
    <row r="375" spans="1:16" ht="14.25" customHeight="1">
      <c r="A375" s="32"/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</row>
    <row r="376" spans="1:16" ht="14.25" customHeight="1">
      <c r="A376" s="32"/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</row>
    <row r="377" spans="1:16" ht="14.25" customHeight="1">
      <c r="A377" s="32"/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</row>
    <row r="378" spans="1:16" ht="14.25" customHeight="1">
      <c r="A378" s="32"/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</row>
    <row r="379" spans="1:16" ht="14.25" customHeight="1">
      <c r="A379" s="32"/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</row>
    <row r="380" spans="1:16" ht="14.25" customHeight="1">
      <c r="A380" s="32"/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</row>
    <row r="381" spans="1:16" ht="14.25" customHeight="1">
      <c r="A381" s="32"/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</row>
    <row r="382" spans="1:16" ht="14.25" customHeight="1">
      <c r="A382" s="32"/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</row>
    <row r="383" spans="1:16" ht="14.25" customHeight="1">
      <c r="A383" s="32"/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</row>
    <row r="384" spans="1:16" ht="14.25" customHeight="1">
      <c r="A384" s="32"/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</row>
    <row r="385" spans="1:16" ht="14.25" customHeight="1">
      <c r="A385" s="32"/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</row>
    <row r="386" spans="1:16" ht="14.25" customHeight="1">
      <c r="A386" s="32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</row>
    <row r="387" spans="1:16" ht="14.25" customHeight="1">
      <c r="A387" s="32"/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</row>
    <row r="388" spans="1:16" ht="14.25" customHeight="1">
      <c r="A388" s="32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</row>
    <row r="389" spans="1:16" ht="14.25" customHeight="1">
      <c r="A389" s="32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</row>
    <row r="390" spans="1:16" ht="14.25" customHeight="1">
      <c r="A390" s="32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</row>
    <row r="391" spans="1:16" ht="14.25" customHeight="1">
      <c r="A391" s="32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</row>
    <row r="392" spans="1:16" ht="14.25" customHeight="1">
      <c r="A392" s="32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</row>
    <row r="393" spans="1:16" ht="14.25" customHeight="1">
      <c r="A393" s="32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</row>
    <row r="394" spans="1:16" ht="14.25" customHeight="1">
      <c r="A394" s="32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</row>
    <row r="395" spans="1:16" ht="14.25" customHeight="1">
      <c r="A395" s="32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</row>
    <row r="396" spans="1:16" ht="14.25" customHeight="1">
      <c r="A396" s="32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</row>
    <row r="397" spans="1:16" ht="14.25" customHeight="1">
      <c r="A397" s="32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</row>
    <row r="398" spans="1:16" ht="14.25" customHeight="1">
      <c r="A398" s="32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</row>
    <row r="399" spans="1:16" ht="14.25" customHeight="1">
      <c r="A399" s="32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</row>
    <row r="400" spans="1:16" ht="14.25" customHeight="1">
      <c r="A400" s="32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</row>
    <row r="401" spans="1:16" ht="14.25" customHeight="1">
      <c r="A401" s="32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</row>
    <row r="402" spans="1:16" ht="14.25" customHeight="1">
      <c r="A402" s="32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</row>
    <row r="403" spans="1:16" ht="14.25" customHeight="1">
      <c r="A403" s="32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</row>
    <row r="404" spans="1:16" ht="14.25" customHeight="1">
      <c r="A404" s="32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</row>
    <row r="405" spans="1:16" ht="14.25" customHeight="1">
      <c r="A405" s="32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</row>
    <row r="406" spans="1:16" ht="14.25" customHeight="1">
      <c r="A406" s="32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</row>
    <row r="407" spans="1:16" ht="14.25" customHeight="1">
      <c r="A407" s="32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</row>
    <row r="408" spans="1:16" ht="14.25" customHeight="1">
      <c r="A408" s="32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</row>
    <row r="409" spans="1:16" ht="14.25" customHeight="1">
      <c r="A409" s="32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</row>
    <row r="410" spans="1:16" ht="14.25" customHeight="1">
      <c r="A410" s="32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</row>
    <row r="411" spans="1:16" ht="14.25" customHeight="1">
      <c r="A411" s="32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</row>
    <row r="412" spans="1:16" ht="14.25" customHeight="1">
      <c r="A412" s="32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</row>
    <row r="413" spans="1:16" ht="14.25" customHeight="1">
      <c r="A413" s="32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</row>
    <row r="414" spans="1:16" ht="14.25" customHeight="1">
      <c r="A414" s="32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</row>
    <row r="415" spans="1:16" ht="14.25" customHeight="1">
      <c r="A415" s="32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</row>
    <row r="416" spans="1:16" ht="14.25" customHeight="1">
      <c r="A416" s="32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</row>
    <row r="417" spans="1:16" ht="14.25" customHeight="1">
      <c r="A417" s="32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</row>
    <row r="418" spans="1:16" ht="14.25" customHeight="1">
      <c r="A418" s="32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</row>
    <row r="419" spans="1:16" ht="14.25" customHeight="1">
      <c r="A419" s="32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</row>
    <row r="420" spans="1:16" ht="14.25" customHeight="1">
      <c r="A420" s="32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</row>
    <row r="421" spans="1:16" ht="14.25" customHeight="1">
      <c r="A421" s="32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</row>
    <row r="422" spans="1:16" ht="14.25" customHeight="1">
      <c r="A422" s="32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</row>
    <row r="423" spans="1:16" ht="14.25" customHeight="1">
      <c r="A423" s="32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</row>
    <row r="424" spans="1:16" ht="14.25" customHeight="1">
      <c r="A424" s="32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</row>
    <row r="425" spans="1:16" ht="14.25" customHeight="1">
      <c r="A425" s="32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</row>
    <row r="426" spans="1:16" ht="14.25" customHeight="1">
      <c r="A426" s="32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</row>
    <row r="427" spans="1:16" ht="14.25" customHeight="1">
      <c r="A427" s="32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</row>
    <row r="428" spans="1:16" ht="14.25" customHeight="1">
      <c r="A428" s="32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</row>
    <row r="429" spans="1:16" ht="14.25" customHeight="1">
      <c r="A429" s="32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</row>
    <row r="430" spans="1:16" ht="14.25" customHeight="1">
      <c r="A430" s="32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</row>
    <row r="431" spans="1:16" ht="14.25" customHeight="1">
      <c r="A431" s="32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</row>
    <row r="432" spans="1:16" ht="14.25" customHeight="1">
      <c r="A432" s="32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</row>
    <row r="433" spans="1:16" ht="14.25" customHeight="1">
      <c r="A433" s="32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</row>
    <row r="434" spans="1:16" ht="14.25" customHeight="1">
      <c r="A434" s="32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</row>
    <row r="435" spans="1:16" ht="14.25" customHeight="1">
      <c r="A435" s="32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</row>
    <row r="436" spans="1:16" ht="14.25" customHeight="1">
      <c r="A436" s="32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</row>
    <row r="437" spans="1:16" ht="14.25" customHeight="1">
      <c r="A437" s="32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</row>
    <row r="438" spans="1:16" ht="14.25" customHeight="1">
      <c r="A438" s="32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</row>
    <row r="439" spans="1:16" ht="14.25" customHeight="1">
      <c r="A439" s="32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</row>
    <row r="440" spans="1:16" ht="14.25" customHeight="1">
      <c r="A440" s="32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</row>
    <row r="441" spans="1:16" ht="14.25" customHeight="1">
      <c r="A441" s="32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</row>
    <row r="442" spans="1:16" ht="14.25" customHeight="1">
      <c r="A442" s="32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</row>
    <row r="443" spans="1:16" ht="14.25" customHeight="1">
      <c r="A443" s="32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</row>
    <row r="444" spans="1:16" ht="14.25" customHeight="1">
      <c r="A444" s="32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</row>
    <row r="445" spans="1:16" ht="14.25" customHeight="1">
      <c r="A445" s="32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</row>
    <row r="446" spans="1:16" ht="14.25" customHeight="1">
      <c r="A446" s="32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</row>
    <row r="447" spans="1:16" ht="14.25" customHeight="1">
      <c r="A447" s="32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</row>
    <row r="448" spans="1:16" ht="14.25" customHeight="1">
      <c r="A448" s="32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</row>
    <row r="449" spans="1:16" ht="14.25" customHeight="1">
      <c r="A449" s="32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</row>
    <row r="450" spans="1:16" ht="14.25" customHeight="1">
      <c r="A450" s="32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</row>
    <row r="451" spans="1:16" ht="14.25" customHeight="1">
      <c r="A451" s="32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</row>
    <row r="452" spans="1:16" ht="14.25" customHeight="1">
      <c r="A452" s="32"/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</row>
    <row r="453" spans="1:16" ht="14.25" customHeight="1">
      <c r="A453" s="32"/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</row>
    <row r="454" spans="1:16" ht="14.25" customHeight="1">
      <c r="A454" s="32"/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</row>
    <row r="455" spans="1:16" ht="14.25" customHeight="1">
      <c r="A455" s="32"/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</row>
    <row r="456" spans="1:16" ht="14.25" customHeight="1">
      <c r="A456" s="32"/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</row>
    <row r="457" spans="1:16" ht="14.25" customHeight="1">
      <c r="A457" s="32"/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</row>
    <row r="458" spans="1:16" ht="14.25" customHeight="1">
      <c r="A458" s="32"/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</row>
    <row r="459" spans="1:16" ht="14.25" customHeight="1">
      <c r="A459" s="32"/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</row>
    <row r="460" spans="1:16" ht="14.25" customHeight="1">
      <c r="A460" s="32"/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</row>
    <row r="461" spans="1:16" ht="14.25" customHeight="1">
      <c r="A461" s="32"/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</row>
    <row r="462" spans="1:16" ht="14.25" customHeight="1">
      <c r="A462" s="32"/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</row>
    <row r="463" spans="1:16" ht="14.25" customHeight="1">
      <c r="A463" s="32"/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</row>
    <row r="464" spans="1:16" ht="14.25" customHeight="1">
      <c r="A464" s="32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</row>
    <row r="465" spans="1:16" ht="14.25" customHeight="1">
      <c r="A465" s="32"/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</row>
    <row r="466" spans="1:16" ht="14.25" customHeight="1">
      <c r="A466" s="32"/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</row>
    <row r="467" spans="1:16" ht="14.25" customHeight="1">
      <c r="A467" s="32"/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</row>
    <row r="468" spans="1:16" ht="14.25" customHeight="1">
      <c r="A468" s="32"/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</row>
    <row r="469" spans="1:16" ht="14.25" customHeight="1">
      <c r="A469" s="32"/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</row>
    <row r="470" spans="1:16" ht="14.25" customHeight="1">
      <c r="A470" s="32"/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</row>
    <row r="471" spans="1:16" ht="14.25" customHeight="1">
      <c r="A471" s="32"/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</row>
    <row r="472" spans="1:16" ht="14.25" customHeight="1">
      <c r="A472" s="32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</row>
    <row r="473" spans="1:16" ht="14.25" customHeight="1">
      <c r="A473" s="32"/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</row>
    <row r="474" spans="1:16" ht="14.25" customHeight="1">
      <c r="A474" s="32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</row>
    <row r="475" spans="1:16" ht="14.25" customHeight="1">
      <c r="A475" s="32"/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</row>
    <row r="476" spans="1:16" ht="14.25" customHeight="1">
      <c r="A476" s="32"/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</row>
    <row r="477" spans="1:16" ht="14.25" customHeight="1">
      <c r="A477" s="32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</row>
    <row r="478" spans="1:16" ht="14.25" customHeight="1">
      <c r="A478" s="32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</row>
    <row r="479" spans="1:16" ht="14.25" customHeight="1">
      <c r="A479" s="32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</row>
    <row r="480" spans="1:16" ht="14.25" customHeight="1">
      <c r="A480" s="32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</row>
    <row r="481" spans="1:16" ht="14.25" customHeight="1">
      <c r="A481" s="32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</row>
    <row r="482" spans="1:16" ht="14.25" customHeight="1">
      <c r="A482" s="32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</row>
    <row r="483" spans="1:16" ht="14.25" customHeight="1">
      <c r="A483" s="32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</row>
    <row r="484" spans="1:16" ht="14.25" customHeight="1">
      <c r="A484" s="32"/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</row>
    <row r="485" spans="1:16" ht="14.25" customHeight="1">
      <c r="A485" s="32"/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</row>
    <row r="486" spans="1:16" ht="14.25" customHeight="1">
      <c r="A486" s="32"/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</row>
    <row r="487" spans="1:16" ht="14.25" customHeight="1">
      <c r="A487" s="32"/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</row>
    <row r="488" spans="1:16" ht="14.25" customHeight="1">
      <c r="A488" s="32"/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</row>
    <row r="489" spans="1:16" ht="14.25" customHeight="1">
      <c r="A489" s="32"/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</row>
    <row r="490" spans="1:16" ht="14.25" customHeight="1">
      <c r="A490" s="32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</row>
    <row r="491" spans="1:16" ht="14.25" customHeight="1">
      <c r="A491" s="32"/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</row>
    <row r="492" spans="1:16" ht="14.25" customHeight="1">
      <c r="A492" s="32"/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</row>
    <row r="493" spans="1:16" ht="14.25" customHeight="1">
      <c r="A493" s="32"/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</row>
    <row r="494" spans="1:16" ht="14.25" customHeight="1">
      <c r="A494" s="32"/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</row>
    <row r="495" spans="1:16" ht="14.25" customHeight="1">
      <c r="A495" s="32"/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</row>
    <row r="496" spans="1:16" ht="14.25" customHeight="1">
      <c r="A496" s="32"/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</row>
    <row r="497" spans="1:16" ht="14.25" customHeight="1">
      <c r="A497" s="32"/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</row>
    <row r="498" spans="1:16" ht="14.25" customHeight="1">
      <c r="A498" s="32"/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</row>
    <row r="499" spans="1:16" ht="14.25" customHeight="1">
      <c r="A499" s="32"/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</row>
    <row r="500" spans="1:16" ht="14.25" customHeight="1">
      <c r="A500" s="32"/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</row>
    <row r="501" spans="1:16" ht="14.25" customHeight="1">
      <c r="A501" s="32"/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</row>
    <row r="502" spans="1:16" ht="14.25" customHeight="1">
      <c r="A502" s="32"/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</row>
    <row r="503" spans="1:16" ht="14.25" customHeight="1">
      <c r="A503" s="32"/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</row>
    <row r="504" spans="1:16" ht="14.25" customHeight="1">
      <c r="A504" s="32"/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</row>
    <row r="505" spans="1:16" ht="14.25" customHeight="1">
      <c r="A505" s="32"/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</row>
    <row r="506" spans="1:16" ht="14.25" customHeight="1">
      <c r="A506" s="32"/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</row>
    <row r="507" spans="1:16" ht="14.25" customHeight="1">
      <c r="A507" s="32"/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</row>
    <row r="508" spans="1:16" ht="14.25" customHeight="1">
      <c r="A508" s="32"/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</row>
    <row r="509" spans="1:16" ht="14.25" customHeight="1">
      <c r="A509" s="32"/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</row>
    <row r="510" spans="1:16" ht="14.25" customHeight="1">
      <c r="A510" s="32"/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</row>
    <row r="511" spans="1:16" ht="14.25" customHeight="1">
      <c r="A511" s="32"/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</row>
    <row r="512" spans="1:16" ht="14.25" customHeight="1">
      <c r="A512" s="32"/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</row>
    <row r="513" spans="1:16" ht="14.25" customHeight="1">
      <c r="A513" s="32"/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</row>
    <row r="514" spans="1:16" ht="14.25" customHeight="1">
      <c r="A514" s="32"/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</row>
    <row r="515" spans="1:16" ht="14.25" customHeight="1">
      <c r="A515" s="32"/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</row>
    <row r="516" spans="1:16" ht="14.25" customHeight="1">
      <c r="A516" s="32"/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</row>
    <row r="517" spans="1:16" ht="14.25" customHeight="1">
      <c r="A517" s="32"/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</row>
    <row r="518" spans="1:16" ht="14.25" customHeight="1">
      <c r="A518" s="32"/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</row>
    <row r="519" spans="1:16" ht="14.25" customHeight="1">
      <c r="A519" s="32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</row>
    <row r="520" spans="1:16" ht="14.25" customHeight="1">
      <c r="A520" s="32"/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</row>
    <row r="521" spans="1:16" ht="14.25" customHeight="1">
      <c r="A521" s="32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</row>
    <row r="522" spans="1:16" ht="14.25" customHeight="1">
      <c r="A522" s="32"/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</row>
    <row r="523" spans="1:16" ht="14.25" customHeight="1">
      <c r="A523" s="32"/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</row>
    <row r="524" spans="1:16" ht="14.25" customHeight="1">
      <c r="A524" s="32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</row>
    <row r="525" spans="1:16" ht="14.25" customHeight="1">
      <c r="A525" s="32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</row>
    <row r="526" spans="1:16" ht="14.25" customHeight="1">
      <c r="A526" s="32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</row>
    <row r="527" spans="1:16" ht="14.25" customHeight="1">
      <c r="A527" s="32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</row>
    <row r="528" spans="1:16" ht="14.25" customHeight="1">
      <c r="A528" s="32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</row>
    <row r="529" spans="1:16" ht="14.25" customHeight="1">
      <c r="A529" s="32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</row>
    <row r="530" spans="1:16" ht="14.25" customHeight="1">
      <c r="A530" s="32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</row>
    <row r="531" spans="1:16" ht="14.25" customHeight="1">
      <c r="A531" s="32"/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</row>
    <row r="532" spans="1:16" ht="14.25" customHeight="1">
      <c r="A532" s="32"/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</row>
    <row r="533" spans="1:16" ht="14.25" customHeight="1">
      <c r="A533" s="32"/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</row>
    <row r="534" spans="1:16" ht="14.25" customHeight="1">
      <c r="A534" s="32"/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</row>
    <row r="535" spans="1:16" ht="14.25" customHeight="1">
      <c r="A535" s="32"/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</row>
    <row r="536" spans="1:16" ht="14.25" customHeight="1">
      <c r="A536" s="32"/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</row>
    <row r="537" spans="1:16" ht="14.25" customHeight="1">
      <c r="A537" s="32"/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</row>
    <row r="538" spans="1:16" ht="14.25" customHeight="1">
      <c r="A538" s="32"/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</row>
    <row r="539" spans="1:16" ht="14.25" customHeight="1">
      <c r="A539" s="32"/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</row>
    <row r="540" spans="1:16" ht="14.25" customHeight="1">
      <c r="A540" s="32"/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</row>
    <row r="541" spans="1:16" ht="14.25" customHeight="1">
      <c r="A541" s="32"/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</row>
    <row r="542" spans="1:16" ht="14.25" customHeight="1">
      <c r="A542" s="32"/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</row>
    <row r="543" spans="1:16" ht="14.25" customHeight="1">
      <c r="A543" s="32"/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</row>
    <row r="544" spans="1:16" ht="14.25" customHeight="1">
      <c r="A544" s="32"/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</row>
    <row r="545" spans="1:16" ht="14.25" customHeight="1">
      <c r="A545" s="32"/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</row>
    <row r="546" spans="1:16" ht="14.25" customHeight="1">
      <c r="A546" s="32"/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</row>
    <row r="547" spans="1:16" ht="14.25" customHeight="1">
      <c r="A547" s="32"/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</row>
    <row r="548" spans="1:16" ht="14.25" customHeight="1">
      <c r="A548" s="32"/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</row>
    <row r="549" spans="1:16" ht="14.25" customHeight="1">
      <c r="A549" s="32"/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</row>
    <row r="550" spans="1:16" ht="14.25" customHeight="1">
      <c r="A550" s="32"/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</row>
    <row r="551" spans="1:16" ht="14.25" customHeight="1">
      <c r="A551" s="32"/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</row>
    <row r="552" spans="1:16" ht="14.25" customHeight="1">
      <c r="A552" s="32"/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</row>
    <row r="553" spans="1:16" ht="14.25" customHeight="1">
      <c r="A553" s="32"/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</row>
    <row r="554" spans="1:16" ht="14.25" customHeight="1">
      <c r="A554" s="32"/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</row>
    <row r="555" spans="1:16" ht="14.25" customHeight="1">
      <c r="A555" s="32"/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</row>
    <row r="556" spans="1:16" ht="14.25" customHeight="1">
      <c r="A556" s="32"/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</row>
    <row r="557" spans="1:16" ht="14.25" customHeight="1">
      <c r="A557" s="32"/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</row>
    <row r="558" spans="1:16" ht="14.25" customHeight="1">
      <c r="A558" s="32"/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</row>
    <row r="559" spans="1:16" ht="14.25" customHeight="1">
      <c r="A559" s="32"/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</row>
    <row r="560" spans="1:16" ht="14.25" customHeight="1">
      <c r="A560" s="32"/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</row>
    <row r="561" spans="1:16" ht="14.25" customHeight="1">
      <c r="A561" s="32"/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</row>
    <row r="562" spans="1:16" ht="14.25" customHeight="1">
      <c r="A562" s="32"/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</row>
    <row r="563" spans="1:16" ht="14.25" customHeight="1">
      <c r="A563" s="32"/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</row>
    <row r="564" spans="1:16" ht="14.25" customHeight="1">
      <c r="A564" s="32"/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</row>
    <row r="565" spans="1:16" ht="14.25" customHeight="1">
      <c r="A565" s="32"/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</row>
    <row r="566" spans="1:16" ht="14.25" customHeight="1">
      <c r="A566" s="32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</row>
    <row r="567" spans="1:16" ht="14.25" customHeight="1">
      <c r="A567" s="32"/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</row>
    <row r="568" spans="1:16" ht="14.25" customHeight="1">
      <c r="A568" s="32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</row>
    <row r="569" spans="1:16" ht="14.25" customHeight="1">
      <c r="A569" s="32"/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</row>
    <row r="570" spans="1:16" ht="14.25" customHeight="1">
      <c r="A570" s="32"/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</row>
    <row r="571" spans="1:16" ht="14.25" customHeight="1">
      <c r="A571" s="32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</row>
    <row r="572" spans="1:16" ht="14.25" customHeight="1">
      <c r="A572" s="32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</row>
    <row r="573" spans="1:16" ht="14.25" customHeight="1">
      <c r="A573" s="32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</row>
    <row r="574" spans="1:16" ht="14.25" customHeight="1">
      <c r="A574" s="32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</row>
    <row r="575" spans="1:16" ht="14.25" customHeight="1">
      <c r="A575" s="32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</row>
    <row r="576" spans="1:16" ht="14.25" customHeight="1">
      <c r="A576" s="32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</row>
    <row r="577" spans="1:16" ht="14.25" customHeight="1">
      <c r="A577" s="32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</row>
    <row r="578" spans="1:16" ht="14.25" customHeight="1">
      <c r="A578" s="32"/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</row>
    <row r="579" spans="1:16" ht="14.25" customHeight="1">
      <c r="A579" s="32"/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</row>
    <row r="580" spans="1:16" ht="14.25" customHeight="1">
      <c r="A580" s="32"/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</row>
    <row r="581" spans="1:16" ht="14.25" customHeight="1">
      <c r="A581" s="32"/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</row>
    <row r="582" spans="1:16" ht="14.25" customHeight="1">
      <c r="A582" s="32"/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</row>
    <row r="583" spans="1:16" ht="14.25" customHeight="1">
      <c r="A583" s="32"/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</row>
    <row r="584" spans="1:16" ht="14.25" customHeight="1">
      <c r="A584" s="32"/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</row>
    <row r="585" spans="1:16" ht="14.25" customHeight="1">
      <c r="A585" s="32"/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</row>
    <row r="586" spans="1:16" ht="14.25" customHeight="1">
      <c r="A586" s="32"/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</row>
    <row r="587" spans="1:16" ht="14.25" customHeight="1">
      <c r="A587" s="32"/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</row>
    <row r="588" spans="1:16" ht="14.25" customHeight="1">
      <c r="A588" s="32"/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</row>
    <row r="589" spans="1:16" ht="14.25" customHeight="1">
      <c r="A589" s="32"/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</row>
    <row r="590" spans="1:16" ht="14.25" customHeight="1">
      <c r="A590" s="32"/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</row>
    <row r="591" spans="1:16" ht="14.25" customHeight="1">
      <c r="A591" s="32"/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</row>
    <row r="592" spans="1:16" ht="14.25" customHeight="1">
      <c r="A592" s="32"/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</row>
    <row r="593" spans="1:16" ht="14.25" customHeight="1">
      <c r="A593" s="32"/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</row>
    <row r="594" spans="1:16" ht="14.25" customHeight="1">
      <c r="A594" s="32"/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</row>
    <row r="595" spans="1:16" ht="14.25" customHeight="1">
      <c r="A595" s="32"/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</row>
    <row r="596" spans="1:16" ht="14.25" customHeight="1">
      <c r="A596" s="32"/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</row>
    <row r="597" spans="1:16" ht="14.25" customHeight="1">
      <c r="A597" s="32"/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</row>
    <row r="598" spans="1:16" ht="14.25" customHeight="1">
      <c r="A598" s="32"/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</row>
    <row r="599" spans="1:16" ht="14.25" customHeight="1">
      <c r="A599" s="32"/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</row>
    <row r="600" spans="1:16" ht="14.25" customHeight="1">
      <c r="A600" s="32"/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</row>
    <row r="601" spans="1:16" ht="14.25" customHeight="1">
      <c r="A601" s="32"/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</row>
    <row r="602" spans="1:16" ht="14.25" customHeight="1">
      <c r="A602" s="32"/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</row>
    <row r="603" spans="1:16" ht="14.25" customHeight="1">
      <c r="A603" s="32"/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</row>
    <row r="604" spans="1:16" ht="14.25" customHeight="1">
      <c r="A604" s="32"/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</row>
    <row r="605" spans="1:16" ht="14.25" customHeight="1">
      <c r="A605" s="32"/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</row>
    <row r="606" spans="1:16" ht="14.25" customHeight="1">
      <c r="A606" s="32"/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</row>
    <row r="607" spans="1:16" ht="14.25" customHeight="1">
      <c r="A607" s="32"/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</row>
    <row r="608" spans="1:16" ht="14.25" customHeight="1">
      <c r="A608" s="32"/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</row>
    <row r="609" spans="1:16" ht="14.25" customHeight="1">
      <c r="A609" s="32"/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</row>
    <row r="610" spans="1:16" ht="14.25" customHeight="1">
      <c r="A610" s="32"/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</row>
    <row r="611" spans="1:16" ht="14.25" customHeight="1">
      <c r="A611" s="32"/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</row>
    <row r="612" spans="1:16" ht="14.25" customHeight="1">
      <c r="A612" s="32"/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</row>
    <row r="613" spans="1:16" ht="14.25" customHeight="1">
      <c r="A613" s="32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</row>
    <row r="614" spans="1:16" ht="14.25" customHeight="1">
      <c r="A614" s="32"/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</row>
    <row r="615" spans="1:16" ht="14.25" customHeight="1">
      <c r="A615" s="32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</row>
    <row r="616" spans="1:16" ht="14.25" customHeight="1">
      <c r="A616" s="32"/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</row>
    <row r="617" spans="1:16" ht="14.25" customHeight="1">
      <c r="A617" s="32"/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</row>
    <row r="618" spans="1:16" ht="14.25" customHeight="1">
      <c r="A618" s="32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</row>
    <row r="619" spans="1:16" ht="14.25" customHeight="1">
      <c r="A619" s="32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</row>
    <row r="620" spans="1:16" ht="14.25" customHeight="1">
      <c r="A620" s="32"/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</row>
    <row r="621" spans="1:16" ht="14.25" customHeight="1">
      <c r="A621" s="32"/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</row>
    <row r="622" spans="1:16" ht="14.25" customHeight="1">
      <c r="A622" s="32"/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</row>
    <row r="623" spans="1:16" ht="14.25" customHeight="1">
      <c r="A623" s="32"/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</row>
    <row r="624" spans="1:16" ht="14.25" customHeight="1">
      <c r="A624" s="32"/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</row>
    <row r="625" spans="1:16" ht="14.25" customHeight="1">
      <c r="A625" s="32"/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</row>
    <row r="626" spans="1:16" ht="14.25" customHeight="1">
      <c r="A626" s="32"/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</row>
    <row r="627" spans="1:16" ht="14.25" customHeight="1">
      <c r="A627" s="32"/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</row>
    <row r="628" spans="1:16" ht="14.25" customHeight="1">
      <c r="A628" s="32"/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</row>
    <row r="629" spans="1:16" ht="14.25" customHeight="1">
      <c r="A629" s="32"/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</row>
    <row r="630" spans="1:16" ht="14.25" customHeight="1">
      <c r="A630" s="32"/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</row>
    <row r="631" spans="1:16" ht="14.25" customHeight="1">
      <c r="A631" s="32"/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</row>
    <row r="632" spans="1:16" ht="14.25" customHeight="1">
      <c r="A632" s="32"/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</row>
    <row r="633" spans="1:16" ht="14.25" customHeight="1">
      <c r="A633" s="32"/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</row>
    <row r="634" spans="1:16" ht="14.25" customHeight="1">
      <c r="A634" s="32"/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</row>
    <row r="635" spans="1:16" ht="14.25" customHeight="1">
      <c r="A635" s="32"/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</row>
    <row r="636" spans="1:16" ht="14.25" customHeight="1">
      <c r="A636" s="32"/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</row>
    <row r="637" spans="1:16" ht="14.25" customHeight="1">
      <c r="A637" s="32"/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</row>
    <row r="638" spans="1:16" ht="14.25" customHeight="1">
      <c r="A638" s="32"/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</row>
    <row r="639" spans="1:16" ht="14.25" customHeight="1">
      <c r="A639" s="32"/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</row>
    <row r="640" spans="1:16" ht="14.25" customHeight="1">
      <c r="A640" s="32"/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</row>
    <row r="641" spans="1:16" ht="14.25" customHeight="1">
      <c r="A641" s="32"/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</row>
    <row r="642" spans="1:16" ht="14.25" customHeight="1">
      <c r="A642" s="32"/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</row>
    <row r="643" spans="1:16" ht="14.25" customHeight="1">
      <c r="A643" s="32"/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</row>
    <row r="644" spans="1:16" ht="14.25" customHeight="1">
      <c r="A644" s="32"/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</row>
    <row r="645" spans="1:16" ht="14.25" customHeight="1">
      <c r="A645" s="32"/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</row>
    <row r="646" spans="1:16" ht="14.25" customHeight="1">
      <c r="A646" s="32"/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</row>
    <row r="647" spans="1:16" ht="14.25" customHeight="1">
      <c r="A647" s="32"/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</row>
    <row r="648" spans="1:16" ht="14.25" customHeight="1">
      <c r="A648" s="32"/>
      <c r="B648" s="32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</row>
    <row r="649" spans="1:16" ht="14.25" customHeight="1">
      <c r="A649" s="32"/>
      <c r="B649" s="32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</row>
    <row r="650" spans="1:16" ht="14.25" customHeight="1">
      <c r="A650" s="32"/>
      <c r="B650" s="32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</row>
    <row r="651" spans="1:16" ht="14.25" customHeight="1">
      <c r="A651" s="32"/>
      <c r="B651" s="32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</row>
    <row r="652" spans="1:16" ht="14.25" customHeight="1">
      <c r="A652" s="32"/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</row>
    <row r="653" spans="1:16" ht="14.25" customHeight="1">
      <c r="A653" s="32"/>
      <c r="B653" s="32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</row>
    <row r="654" spans="1:16" ht="14.25" customHeight="1">
      <c r="A654" s="32"/>
      <c r="B654" s="32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</row>
    <row r="655" spans="1:16" ht="14.25" customHeight="1">
      <c r="A655" s="32"/>
      <c r="B655" s="32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</row>
    <row r="656" spans="1:16" ht="14.25" customHeight="1">
      <c r="A656" s="32"/>
      <c r="B656" s="32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</row>
    <row r="657" spans="1:16" ht="14.25" customHeight="1">
      <c r="A657" s="32"/>
      <c r="B657" s="32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</row>
    <row r="658" spans="1:16" ht="14.25" customHeight="1">
      <c r="A658" s="32"/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</row>
    <row r="659" spans="1:16" ht="14.25" customHeight="1">
      <c r="A659" s="32"/>
      <c r="B659" s="32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</row>
    <row r="660" spans="1:16" ht="14.25" customHeight="1">
      <c r="A660" s="32"/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</row>
    <row r="661" spans="1:16" ht="14.25" customHeight="1">
      <c r="A661" s="32"/>
      <c r="B661" s="32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</row>
    <row r="662" spans="1:16" ht="14.25" customHeight="1">
      <c r="A662" s="32"/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</row>
    <row r="663" spans="1:16" ht="14.25" customHeight="1">
      <c r="A663" s="32"/>
      <c r="B663" s="32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</row>
    <row r="664" spans="1:16" ht="14.25" customHeight="1">
      <c r="A664" s="32"/>
      <c r="B664" s="32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</row>
    <row r="665" spans="1:16" ht="14.25" customHeight="1">
      <c r="A665" s="32"/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</row>
    <row r="666" spans="1:16" ht="14.25" customHeight="1">
      <c r="A666" s="32"/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</row>
    <row r="667" spans="1:16" ht="14.25" customHeight="1">
      <c r="A667" s="32"/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</row>
    <row r="668" spans="1:16" ht="14.25" customHeight="1">
      <c r="A668" s="32"/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</row>
    <row r="669" spans="1:16" ht="14.25" customHeight="1">
      <c r="A669" s="32"/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</row>
    <row r="670" spans="1:16" ht="14.25" customHeight="1">
      <c r="A670" s="32"/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</row>
    <row r="671" spans="1:16" ht="14.25" customHeight="1">
      <c r="A671" s="32"/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</row>
    <row r="672" spans="1:16" ht="14.25" customHeight="1">
      <c r="A672" s="32"/>
      <c r="B672" s="32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</row>
    <row r="673" spans="1:16" ht="14.25" customHeight="1">
      <c r="A673" s="32"/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</row>
    <row r="674" spans="1:16" ht="14.25" customHeight="1">
      <c r="A674" s="32"/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</row>
    <row r="675" spans="1:16" ht="14.25" customHeight="1">
      <c r="A675" s="32"/>
      <c r="B675" s="32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</row>
    <row r="676" spans="1:16" ht="14.25" customHeight="1">
      <c r="A676" s="32"/>
      <c r="B676" s="32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</row>
    <row r="677" spans="1:16" ht="14.25" customHeight="1">
      <c r="A677" s="32"/>
      <c r="B677" s="32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</row>
    <row r="678" spans="1:16" ht="14.25" customHeight="1">
      <c r="A678" s="32"/>
      <c r="B678" s="32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</row>
    <row r="679" spans="1:16" ht="14.25" customHeight="1">
      <c r="A679" s="32"/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</row>
    <row r="680" spans="1:16" ht="14.25" customHeight="1">
      <c r="A680" s="32"/>
      <c r="B680" s="32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</row>
    <row r="681" spans="1:16" ht="14.25" customHeight="1">
      <c r="A681" s="32"/>
      <c r="B681" s="32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</row>
    <row r="682" spans="1:16" ht="14.25" customHeight="1">
      <c r="A682" s="32"/>
      <c r="B682" s="32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</row>
    <row r="683" spans="1:16" ht="14.25" customHeight="1">
      <c r="A683" s="32"/>
      <c r="B683" s="32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</row>
    <row r="684" spans="1:16" ht="14.25" customHeight="1">
      <c r="A684" s="32"/>
      <c r="B684" s="32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</row>
    <row r="685" spans="1:16" ht="14.25" customHeight="1">
      <c r="A685" s="32"/>
      <c r="B685" s="32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</row>
    <row r="686" spans="1:16" ht="14.25" customHeight="1">
      <c r="A686" s="32"/>
      <c r="B686" s="32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</row>
    <row r="687" spans="1:16" ht="14.25" customHeight="1">
      <c r="A687" s="32"/>
      <c r="B687" s="32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</row>
    <row r="688" spans="1:16" ht="14.25" customHeight="1">
      <c r="A688" s="32"/>
      <c r="B688" s="32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</row>
    <row r="689" spans="1:16" ht="14.25" customHeight="1">
      <c r="A689" s="32"/>
      <c r="B689" s="32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</row>
    <row r="690" spans="1:16" ht="14.25" customHeight="1">
      <c r="A690" s="32"/>
      <c r="B690" s="32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</row>
    <row r="691" spans="1:16" ht="14.25" customHeight="1">
      <c r="A691" s="32"/>
      <c r="B691" s="32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</row>
    <row r="692" spans="1:16" ht="14.25" customHeight="1">
      <c r="A692" s="32"/>
      <c r="B692" s="32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</row>
    <row r="693" spans="1:16" ht="14.25" customHeight="1">
      <c r="A693" s="32"/>
      <c r="B693" s="32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</row>
    <row r="694" spans="1:16" ht="14.25" customHeight="1">
      <c r="A694" s="32"/>
      <c r="B694" s="32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</row>
    <row r="695" spans="1:16" ht="14.25" customHeight="1">
      <c r="A695" s="32"/>
      <c r="B695" s="32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</row>
    <row r="696" spans="1:16" ht="14.25" customHeight="1">
      <c r="A696" s="32"/>
      <c r="B696" s="32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</row>
    <row r="697" spans="1:16" ht="14.25" customHeight="1">
      <c r="A697" s="32"/>
      <c r="B697" s="32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</row>
    <row r="698" spans="1:16" ht="14.25" customHeight="1">
      <c r="A698" s="32"/>
      <c r="B698" s="32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</row>
    <row r="699" spans="1:16" ht="14.25" customHeight="1">
      <c r="A699" s="32"/>
      <c r="B699" s="32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</row>
    <row r="700" spans="1:16" ht="14.25" customHeight="1">
      <c r="A700" s="32"/>
      <c r="B700" s="32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</row>
    <row r="701" spans="1:16" ht="14.25" customHeight="1">
      <c r="A701" s="32"/>
      <c r="B701" s="32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</row>
    <row r="702" spans="1:16" ht="14.25" customHeight="1">
      <c r="A702" s="32"/>
      <c r="B702" s="32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</row>
    <row r="703" spans="1:16" ht="14.25" customHeight="1">
      <c r="A703" s="32"/>
      <c r="B703" s="32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</row>
    <row r="704" spans="1:16" ht="14.25" customHeight="1">
      <c r="A704" s="32"/>
      <c r="B704" s="32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</row>
    <row r="705" spans="1:16" ht="14.25" customHeight="1">
      <c r="A705" s="32"/>
      <c r="B705" s="32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</row>
    <row r="706" spans="1:16" ht="14.25" customHeight="1">
      <c r="A706" s="32"/>
      <c r="B706" s="32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</row>
    <row r="707" spans="1:16" ht="14.25" customHeight="1">
      <c r="A707" s="32"/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</row>
    <row r="708" spans="1:16" ht="14.25" customHeight="1">
      <c r="A708" s="32"/>
      <c r="B708" s="32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</row>
    <row r="709" spans="1:16" ht="14.25" customHeight="1">
      <c r="A709" s="32"/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</row>
    <row r="710" spans="1:16" ht="14.25" customHeight="1">
      <c r="A710" s="32"/>
      <c r="B710" s="32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</row>
    <row r="711" spans="1:16" ht="14.25" customHeight="1">
      <c r="A711" s="32"/>
      <c r="B711" s="32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</row>
    <row r="712" spans="1:16" ht="14.25" customHeight="1">
      <c r="A712" s="32"/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</row>
    <row r="713" spans="1:16" ht="14.25" customHeight="1">
      <c r="A713" s="32"/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</row>
    <row r="714" spans="1:16" ht="14.25" customHeight="1">
      <c r="A714" s="32"/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</row>
    <row r="715" spans="1:16" ht="14.25" customHeight="1">
      <c r="A715" s="32"/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</row>
    <row r="716" spans="1:16" ht="14.25" customHeight="1">
      <c r="A716" s="32"/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</row>
    <row r="717" spans="1:16" ht="14.25" customHeight="1">
      <c r="A717" s="32"/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</row>
    <row r="718" spans="1:16" ht="14.25" customHeight="1">
      <c r="A718" s="32"/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</row>
    <row r="719" spans="1:16" ht="14.25" customHeight="1">
      <c r="A719" s="32"/>
      <c r="B719" s="32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</row>
    <row r="720" spans="1:16" ht="14.25" customHeight="1">
      <c r="A720" s="32"/>
      <c r="B720" s="32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</row>
    <row r="721" spans="1:16" ht="14.25" customHeight="1">
      <c r="A721" s="32"/>
      <c r="B721" s="32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</row>
    <row r="722" spans="1:16" ht="14.25" customHeight="1">
      <c r="A722" s="32"/>
      <c r="B722" s="32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</row>
    <row r="723" spans="1:16" ht="14.25" customHeight="1">
      <c r="A723" s="32"/>
      <c r="B723" s="32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</row>
    <row r="724" spans="1:16" ht="14.25" customHeight="1">
      <c r="A724" s="32"/>
      <c r="B724" s="32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</row>
    <row r="725" spans="1:16" ht="14.25" customHeight="1">
      <c r="A725" s="32"/>
      <c r="B725" s="32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</row>
    <row r="726" spans="1:16" ht="14.25" customHeight="1">
      <c r="A726" s="32"/>
      <c r="B726" s="32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</row>
    <row r="727" spans="1:16" ht="14.25" customHeight="1">
      <c r="A727" s="32"/>
      <c r="B727" s="32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</row>
    <row r="728" spans="1:16" ht="14.25" customHeight="1">
      <c r="A728" s="32"/>
      <c r="B728" s="32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</row>
    <row r="729" spans="1:16" ht="14.25" customHeight="1">
      <c r="A729" s="32"/>
      <c r="B729" s="32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</row>
    <row r="730" spans="1:16" ht="14.25" customHeight="1">
      <c r="A730" s="32"/>
      <c r="B730" s="32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</row>
    <row r="731" spans="1:16" ht="14.25" customHeight="1">
      <c r="A731" s="32"/>
      <c r="B731" s="32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</row>
    <row r="732" spans="1:16" ht="14.25" customHeight="1">
      <c r="A732" s="32"/>
      <c r="B732" s="32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</row>
    <row r="733" spans="1:16" ht="14.25" customHeight="1">
      <c r="A733" s="32"/>
      <c r="B733" s="32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</row>
    <row r="734" spans="1:16" ht="14.25" customHeight="1">
      <c r="A734" s="32"/>
      <c r="B734" s="32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</row>
    <row r="735" spans="1:16" ht="14.25" customHeight="1">
      <c r="A735" s="32"/>
      <c r="B735" s="32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</row>
    <row r="736" spans="1:16" ht="14.25" customHeight="1">
      <c r="A736" s="32"/>
      <c r="B736" s="32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</row>
    <row r="737" spans="1:16" ht="14.25" customHeight="1">
      <c r="A737" s="32"/>
      <c r="B737" s="32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</row>
    <row r="738" spans="1:16" ht="14.25" customHeight="1">
      <c r="A738" s="32"/>
      <c r="B738" s="32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</row>
    <row r="739" spans="1:16" ht="14.25" customHeight="1">
      <c r="A739" s="32"/>
      <c r="B739" s="32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</row>
    <row r="740" spans="1:16" ht="14.25" customHeight="1">
      <c r="A740" s="32"/>
      <c r="B740" s="32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</row>
    <row r="741" spans="1:16" ht="14.25" customHeight="1">
      <c r="A741" s="32"/>
      <c r="B741" s="32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</row>
    <row r="742" spans="1:16" ht="14.25" customHeight="1">
      <c r="A742" s="32"/>
      <c r="B742" s="32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</row>
    <row r="743" spans="1:16" ht="14.25" customHeight="1">
      <c r="A743" s="32"/>
      <c r="B743" s="32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</row>
    <row r="744" spans="1:16" ht="14.25" customHeight="1">
      <c r="A744" s="32"/>
      <c r="B744" s="32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</row>
    <row r="745" spans="1:16" ht="14.25" customHeight="1">
      <c r="A745" s="32"/>
      <c r="B745" s="32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</row>
    <row r="746" spans="1:16" ht="14.25" customHeight="1">
      <c r="A746" s="32"/>
      <c r="B746" s="32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</row>
    <row r="747" spans="1:16" ht="14.25" customHeight="1">
      <c r="A747" s="32"/>
      <c r="B747" s="32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</row>
    <row r="748" spans="1:16" ht="14.25" customHeight="1">
      <c r="A748" s="32"/>
      <c r="B748" s="32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</row>
    <row r="749" spans="1:16" ht="14.25" customHeight="1">
      <c r="A749" s="32"/>
      <c r="B749" s="32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</row>
    <row r="750" spans="1:16" ht="14.25" customHeight="1">
      <c r="A750" s="32"/>
      <c r="B750" s="32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</row>
    <row r="751" spans="1:16" ht="14.25" customHeight="1">
      <c r="A751" s="32"/>
      <c r="B751" s="32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</row>
    <row r="752" spans="1:16" ht="14.25" customHeight="1">
      <c r="A752" s="32"/>
      <c r="B752" s="32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</row>
    <row r="753" spans="1:16" ht="14.25" customHeight="1">
      <c r="A753" s="32"/>
      <c r="B753" s="32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</row>
    <row r="754" spans="1:16" ht="14.25" customHeight="1">
      <c r="A754" s="32"/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</row>
    <row r="755" spans="1:16" ht="14.25" customHeight="1">
      <c r="A755" s="32"/>
      <c r="B755" s="32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</row>
    <row r="756" spans="1:16" ht="14.25" customHeight="1">
      <c r="A756" s="32"/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</row>
    <row r="757" spans="1:16" ht="14.25" customHeight="1">
      <c r="A757" s="32"/>
      <c r="B757" s="32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</row>
    <row r="758" spans="1:16" ht="14.25" customHeight="1">
      <c r="A758" s="32"/>
      <c r="B758" s="32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</row>
    <row r="759" spans="1:16" ht="14.25" customHeight="1">
      <c r="A759" s="32"/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</row>
    <row r="760" spans="1:16" ht="14.25" customHeight="1">
      <c r="A760" s="32"/>
      <c r="B760" s="32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</row>
    <row r="761" spans="1:16" ht="14.25" customHeight="1">
      <c r="A761" s="32"/>
      <c r="B761" s="32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</row>
    <row r="762" spans="1:16" ht="14.25" customHeight="1">
      <c r="A762" s="32"/>
      <c r="B762" s="32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</row>
    <row r="763" spans="1:16" ht="14.25" customHeight="1">
      <c r="A763" s="32"/>
      <c r="B763" s="32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</row>
    <row r="764" spans="1:16" ht="14.25" customHeight="1">
      <c r="A764" s="32"/>
      <c r="B764" s="32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</row>
    <row r="765" spans="1:16" ht="14.25" customHeight="1">
      <c r="A765" s="32"/>
      <c r="B765" s="32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</row>
    <row r="766" spans="1:16" ht="14.25" customHeight="1">
      <c r="A766" s="32"/>
      <c r="B766" s="32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</row>
    <row r="767" spans="1:16" ht="14.25" customHeight="1">
      <c r="A767" s="32"/>
      <c r="B767" s="32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</row>
    <row r="768" spans="1:16" ht="14.25" customHeight="1">
      <c r="A768" s="32"/>
      <c r="B768" s="32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</row>
    <row r="769" spans="1:16" ht="14.25" customHeight="1">
      <c r="A769" s="32"/>
      <c r="B769" s="32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</row>
    <row r="770" spans="1:16" ht="14.25" customHeight="1">
      <c r="A770" s="32"/>
      <c r="B770" s="32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</row>
    <row r="771" spans="1:16" ht="14.25" customHeight="1">
      <c r="A771" s="32"/>
      <c r="B771" s="32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</row>
    <row r="772" spans="1:16" ht="14.25" customHeight="1">
      <c r="A772" s="32"/>
      <c r="B772" s="32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</row>
    <row r="773" spans="1:16" ht="14.25" customHeight="1">
      <c r="A773" s="32"/>
      <c r="B773" s="32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</row>
    <row r="774" spans="1:16" ht="14.25" customHeight="1">
      <c r="A774" s="32"/>
      <c r="B774" s="32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</row>
    <row r="775" spans="1:16" ht="14.25" customHeight="1">
      <c r="A775" s="32"/>
      <c r="B775" s="32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</row>
    <row r="776" spans="1:16" ht="14.25" customHeight="1">
      <c r="A776" s="32"/>
      <c r="B776" s="32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</row>
    <row r="777" spans="1:16" ht="14.25" customHeight="1">
      <c r="A777" s="32"/>
      <c r="B777" s="32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</row>
    <row r="778" spans="1:16" ht="14.25" customHeight="1">
      <c r="A778" s="32"/>
      <c r="B778" s="32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</row>
    <row r="779" spans="1:16" ht="14.25" customHeight="1">
      <c r="A779" s="32"/>
      <c r="B779" s="32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</row>
    <row r="780" spans="1:16" ht="14.25" customHeight="1">
      <c r="A780" s="32"/>
      <c r="B780" s="32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</row>
    <row r="781" spans="1:16" ht="14.25" customHeight="1">
      <c r="A781" s="32"/>
      <c r="B781" s="32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</row>
    <row r="782" spans="1:16" ht="14.25" customHeight="1">
      <c r="A782" s="32"/>
      <c r="B782" s="32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</row>
    <row r="783" spans="1:16" ht="14.25" customHeight="1">
      <c r="A783" s="32"/>
      <c r="B783" s="32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</row>
    <row r="784" spans="1:16" ht="14.25" customHeight="1">
      <c r="A784" s="32"/>
      <c r="B784" s="32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</row>
    <row r="785" spans="1:16" ht="14.25" customHeight="1">
      <c r="A785" s="32"/>
      <c r="B785" s="32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</row>
    <row r="786" spans="1:16" ht="14.25" customHeight="1">
      <c r="A786" s="32"/>
      <c r="B786" s="32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</row>
    <row r="787" spans="1:16" ht="14.25" customHeight="1">
      <c r="A787" s="32"/>
      <c r="B787" s="32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</row>
    <row r="788" spans="1:16" ht="14.25" customHeight="1">
      <c r="A788" s="32"/>
      <c r="B788" s="32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</row>
    <row r="789" spans="1:16" ht="14.25" customHeight="1">
      <c r="A789" s="32"/>
      <c r="B789" s="32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</row>
    <row r="790" spans="1:16" ht="14.25" customHeight="1">
      <c r="A790" s="32"/>
      <c r="B790" s="32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</row>
    <row r="791" spans="1:16" ht="14.25" customHeight="1">
      <c r="A791" s="32"/>
      <c r="B791" s="32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</row>
    <row r="792" spans="1:16" ht="14.25" customHeight="1">
      <c r="A792" s="32"/>
      <c r="B792" s="32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</row>
    <row r="793" spans="1:16" ht="14.25" customHeight="1">
      <c r="A793" s="32"/>
      <c r="B793" s="32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</row>
    <row r="794" spans="1:16" ht="14.25" customHeight="1">
      <c r="A794" s="32"/>
      <c r="B794" s="32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</row>
    <row r="795" spans="1:16" ht="14.25" customHeight="1">
      <c r="A795" s="32"/>
      <c r="B795" s="32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</row>
    <row r="796" spans="1:16" ht="14.25" customHeight="1">
      <c r="A796" s="32"/>
      <c r="B796" s="32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</row>
    <row r="797" spans="1:16" ht="14.25" customHeight="1">
      <c r="A797" s="32"/>
      <c r="B797" s="32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</row>
    <row r="798" spans="1:16" ht="14.25" customHeight="1">
      <c r="A798" s="32"/>
      <c r="B798" s="32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</row>
    <row r="799" spans="1:16" ht="14.25" customHeight="1">
      <c r="A799" s="32"/>
      <c r="B799" s="32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</row>
    <row r="800" spans="1:16" ht="14.25" customHeight="1">
      <c r="A800" s="32"/>
      <c r="B800" s="32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</row>
    <row r="801" spans="1:16" ht="14.25" customHeight="1">
      <c r="A801" s="32"/>
      <c r="B801" s="32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</row>
    <row r="802" spans="1:16" ht="14.25" customHeight="1">
      <c r="A802" s="32"/>
      <c r="B802" s="32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</row>
    <row r="803" spans="1:16" ht="14.25" customHeight="1">
      <c r="A803" s="32"/>
      <c r="B803" s="32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</row>
    <row r="804" spans="1:16" ht="14.25" customHeight="1">
      <c r="A804" s="32"/>
      <c r="B804" s="32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</row>
    <row r="805" spans="1:16" ht="14.25" customHeight="1">
      <c r="A805" s="32"/>
      <c r="B805" s="32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</row>
    <row r="806" spans="1:16" ht="14.25" customHeight="1">
      <c r="A806" s="32"/>
      <c r="B806" s="32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</row>
    <row r="807" spans="1:16" ht="14.25" customHeight="1">
      <c r="A807" s="32"/>
      <c r="B807" s="32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</row>
    <row r="808" spans="1:16" ht="14.25" customHeight="1">
      <c r="A808" s="32"/>
      <c r="B808" s="32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</row>
    <row r="809" spans="1:16" ht="14.25" customHeight="1">
      <c r="A809" s="32"/>
      <c r="B809" s="32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</row>
    <row r="810" spans="1:16" ht="14.25" customHeight="1">
      <c r="A810" s="32"/>
      <c r="B810" s="32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</row>
    <row r="811" spans="1:16" ht="14.25" customHeight="1">
      <c r="A811" s="32"/>
      <c r="B811" s="32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</row>
    <row r="812" spans="1:16" ht="14.25" customHeight="1">
      <c r="A812" s="32"/>
      <c r="B812" s="32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</row>
    <row r="813" spans="1:16" ht="14.25" customHeight="1">
      <c r="A813" s="32"/>
      <c r="B813" s="32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</row>
    <row r="814" spans="1:16" ht="14.25" customHeight="1">
      <c r="A814" s="32"/>
      <c r="B814" s="32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</row>
    <row r="815" spans="1:16" ht="14.25" customHeight="1">
      <c r="A815" s="32"/>
      <c r="B815" s="32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</row>
    <row r="816" spans="1:16" ht="14.25" customHeight="1">
      <c r="A816" s="32"/>
      <c r="B816" s="32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</row>
    <row r="817" spans="1:16" ht="14.25" customHeight="1">
      <c r="A817" s="32"/>
      <c r="B817" s="32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</row>
    <row r="818" spans="1:16" ht="14.25" customHeight="1">
      <c r="A818" s="32"/>
      <c r="B818" s="32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</row>
    <row r="819" spans="1:16" ht="14.25" customHeight="1">
      <c r="A819" s="32"/>
      <c r="B819" s="32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</row>
    <row r="820" spans="1:16" ht="14.25" customHeight="1">
      <c r="A820" s="32"/>
      <c r="B820" s="32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</row>
    <row r="821" spans="1:16" ht="14.25" customHeight="1">
      <c r="A821" s="32"/>
      <c r="B821" s="32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</row>
    <row r="822" spans="1:16" ht="14.25" customHeight="1">
      <c r="A822" s="32"/>
      <c r="B822" s="32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</row>
    <row r="823" spans="1:16" ht="14.25" customHeight="1">
      <c r="A823" s="32"/>
      <c r="B823" s="32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</row>
    <row r="824" spans="1:16" ht="14.25" customHeight="1">
      <c r="A824" s="32"/>
      <c r="B824" s="32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</row>
    <row r="825" spans="1:16" ht="14.25" customHeight="1">
      <c r="A825" s="32"/>
      <c r="B825" s="32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</row>
    <row r="826" spans="1:16" ht="14.25" customHeight="1">
      <c r="A826" s="32"/>
      <c r="B826" s="32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</row>
    <row r="827" spans="1:16" ht="14.25" customHeight="1">
      <c r="A827" s="32"/>
      <c r="B827" s="32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</row>
    <row r="828" spans="1:16" ht="14.25" customHeight="1">
      <c r="A828" s="32"/>
      <c r="B828" s="32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</row>
    <row r="829" spans="1:16" ht="14.25" customHeight="1">
      <c r="A829" s="32"/>
      <c r="B829" s="32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</row>
    <row r="830" spans="1:16" ht="14.25" customHeight="1">
      <c r="A830" s="32"/>
      <c r="B830" s="32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</row>
    <row r="831" spans="1:16" ht="14.25" customHeight="1">
      <c r="A831" s="32"/>
      <c r="B831" s="32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</row>
    <row r="832" spans="1:16" ht="14.25" customHeight="1">
      <c r="A832" s="32"/>
      <c r="B832" s="32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</row>
    <row r="833" spans="1:16" ht="14.25" customHeight="1">
      <c r="A833" s="32"/>
      <c r="B833" s="32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</row>
    <row r="834" spans="1:16" ht="14.25" customHeight="1">
      <c r="A834" s="32"/>
      <c r="B834" s="32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</row>
    <row r="835" spans="1:16" ht="14.25" customHeight="1">
      <c r="A835" s="32"/>
      <c r="B835" s="32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</row>
    <row r="836" spans="1:16" ht="14.25" customHeight="1">
      <c r="A836" s="32"/>
      <c r="B836" s="32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</row>
    <row r="837" spans="1:16" ht="14.25" customHeight="1">
      <c r="A837" s="32"/>
      <c r="B837" s="32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</row>
    <row r="838" spans="1:16" ht="14.25" customHeight="1">
      <c r="A838" s="32"/>
      <c r="B838" s="32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</row>
    <row r="839" spans="1:16" ht="14.25" customHeight="1">
      <c r="A839" s="32"/>
      <c r="B839" s="32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</row>
    <row r="840" spans="1:16" ht="14.25" customHeight="1">
      <c r="A840" s="32"/>
      <c r="B840" s="32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</row>
    <row r="841" spans="1:16" ht="14.25" customHeight="1">
      <c r="A841" s="32"/>
      <c r="B841" s="32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</row>
    <row r="842" spans="1:16" ht="14.25" customHeight="1">
      <c r="A842" s="32"/>
      <c r="B842" s="32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</row>
    <row r="843" spans="1:16" ht="14.25" customHeight="1">
      <c r="A843" s="32"/>
      <c r="B843" s="32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</row>
    <row r="844" spans="1:16" ht="14.25" customHeight="1">
      <c r="A844" s="32"/>
      <c r="B844" s="32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</row>
    <row r="845" spans="1:16" ht="14.25" customHeight="1">
      <c r="A845" s="32"/>
      <c r="B845" s="32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</row>
    <row r="846" spans="1:16" ht="14.25" customHeight="1">
      <c r="A846" s="32"/>
      <c r="B846" s="32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</row>
    <row r="847" spans="1:16" ht="14.25" customHeight="1">
      <c r="A847" s="32"/>
      <c r="B847" s="32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</row>
    <row r="848" spans="1:16" ht="14.25" customHeight="1">
      <c r="A848" s="32"/>
      <c r="B848" s="32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</row>
    <row r="849" spans="1:16" ht="14.25" customHeight="1">
      <c r="A849" s="32"/>
      <c r="B849" s="32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</row>
    <row r="850" spans="1:16" ht="14.25" customHeight="1">
      <c r="A850" s="32"/>
      <c r="B850" s="32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</row>
    <row r="851" spans="1:16" ht="14.25" customHeight="1">
      <c r="A851" s="32"/>
      <c r="B851" s="32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</row>
    <row r="852" spans="1:16" ht="14.25" customHeight="1">
      <c r="A852" s="32"/>
      <c r="B852" s="32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</row>
    <row r="853" spans="1:16" ht="14.25" customHeight="1">
      <c r="A853" s="32"/>
      <c r="B853" s="32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</row>
    <row r="854" spans="1:16" ht="14.25" customHeight="1">
      <c r="A854" s="32"/>
      <c r="B854" s="32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</row>
    <row r="855" spans="1:16" ht="14.25" customHeight="1">
      <c r="A855" s="32"/>
      <c r="B855" s="32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</row>
    <row r="856" spans="1:16" ht="14.25" customHeight="1">
      <c r="A856" s="32"/>
      <c r="B856" s="32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</row>
    <row r="857" spans="1:16" ht="14.25" customHeight="1">
      <c r="A857" s="32"/>
      <c r="B857" s="32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</row>
    <row r="858" spans="1:16" ht="14.25" customHeight="1">
      <c r="A858" s="32"/>
      <c r="B858" s="32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</row>
    <row r="859" spans="1:16" ht="14.25" customHeight="1">
      <c r="A859" s="32"/>
      <c r="B859" s="32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</row>
    <row r="860" spans="1:16" ht="14.25" customHeight="1">
      <c r="A860" s="32"/>
      <c r="B860" s="32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</row>
    <row r="861" spans="1:16" ht="14.25" customHeight="1">
      <c r="A861" s="32"/>
      <c r="B861" s="32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</row>
    <row r="862" spans="1:16" ht="14.25" customHeight="1">
      <c r="A862" s="32"/>
      <c r="B862" s="32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</row>
    <row r="863" spans="1:16" ht="14.25" customHeight="1">
      <c r="A863" s="32"/>
      <c r="B863" s="32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</row>
    <row r="864" spans="1:16" ht="14.25" customHeight="1">
      <c r="A864" s="32"/>
      <c r="B864" s="32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</row>
    <row r="865" spans="1:16" ht="14.25" customHeight="1">
      <c r="A865" s="32"/>
      <c r="B865" s="32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</row>
    <row r="866" spans="1:16" ht="14.25" customHeight="1">
      <c r="A866" s="32"/>
      <c r="B866" s="32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</row>
    <row r="867" spans="1:16" ht="14.25" customHeight="1">
      <c r="A867" s="32"/>
      <c r="B867" s="32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</row>
    <row r="868" spans="1:16" ht="14.25" customHeight="1">
      <c r="A868" s="32"/>
      <c r="B868" s="32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</row>
    <row r="869" spans="1:16" ht="14.25" customHeight="1">
      <c r="A869" s="32"/>
      <c r="B869" s="32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</row>
    <row r="870" spans="1:16" ht="14.25" customHeight="1">
      <c r="A870" s="32"/>
      <c r="B870" s="32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</row>
    <row r="871" spans="1:16" ht="14.25" customHeight="1">
      <c r="A871" s="32"/>
      <c r="B871" s="32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</row>
    <row r="872" spans="1:16" ht="14.25" customHeight="1">
      <c r="A872" s="32"/>
      <c r="B872" s="32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</row>
    <row r="873" spans="1:16" ht="14.25" customHeight="1">
      <c r="A873" s="32"/>
      <c r="B873" s="32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</row>
    <row r="874" spans="1:16" ht="14.25" customHeight="1">
      <c r="A874" s="32"/>
      <c r="B874" s="32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</row>
    <row r="875" spans="1:16" ht="14.25" customHeight="1">
      <c r="A875" s="32"/>
      <c r="B875" s="32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</row>
    <row r="876" spans="1:16" ht="14.25" customHeight="1">
      <c r="A876" s="32"/>
      <c r="B876" s="32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</row>
    <row r="877" spans="1:16" ht="14.25" customHeight="1">
      <c r="A877" s="32"/>
      <c r="B877" s="32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</row>
    <row r="878" spans="1:16" ht="14.25" customHeight="1">
      <c r="A878" s="32"/>
      <c r="B878" s="32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</row>
    <row r="879" spans="1:16" ht="14.25" customHeight="1">
      <c r="A879" s="32"/>
      <c r="B879" s="32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</row>
    <row r="880" spans="1:16" ht="14.25" customHeight="1">
      <c r="A880" s="32"/>
      <c r="B880" s="32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</row>
    <row r="881" spans="1:16" ht="14.25" customHeight="1">
      <c r="A881" s="32"/>
      <c r="B881" s="32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</row>
    <row r="882" spans="1:16" ht="14.25" customHeight="1">
      <c r="A882" s="32"/>
      <c r="B882" s="32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</row>
    <row r="883" spans="1:16" ht="14.25" customHeight="1">
      <c r="A883" s="32"/>
      <c r="B883" s="32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</row>
    <row r="884" spans="1:16" ht="14.25" customHeight="1">
      <c r="A884" s="32"/>
      <c r="B884" s="32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</row>
    <row r="885" spans="1:16" ht="14.25" customHeight="1">
      <c r="A885" s="32"/>
      <c r="B885" s="32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</row>
    <row r="886" spans="1:16" ht="14.25" customHeight="1">
      <c r="A886" s="32"/>
      <c r="B886" s="32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</row>
    <row r="887" spans="1:16" ht="14.25" customHeight="1">
      <c r="A887" s="32"/>
      <c r="B887" s="32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</row>
    <row r="888" spans="1:16" ht="14.25" customHeight="1">
      <c r="A888" s="32"/>
      <c r="B888" s="32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</row>
    <row r="889" spans="1:16" ht="14.25" customHeight="1">
      <c r="A889" s="32"/>
      <c r="B889" s="32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</row>
    <row r="890" spans="1:16" ht="14.25" customHeight="1">
      <c r="A890" s="32"/>
      <c r="B890" s="32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</row>
    <row r="891" spans="1:16" ht="14.25" customHeight="1">
      <c r="A891" s="32"/>
      <c r="B891" s="32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</row>
    <row r="892" spans="1:16" ht="14.25" customHeight="1">
      <c r="A892" s="32"/>
      <c r="B892" s="32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</row>
    <row r="893" spans="1:16" ht="14.25" customHeight="1">
      <c r="A893" s="32"/>
      <c r="B893" s="32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</row>
    <row r="894" spans="1:16" ht="14.25" customHeight="1">
      <c r="A894" s="32"/>
      <c r="B894" s="32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</row>
    <row r="895" spans="1:16" ht="14.25" customHeight="1">
      <c r="A895" s="32"/>
      <c r="B895" s="32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</row>
    <row r="896" spans="1:16" ht="14.25" customHeight="1">
      <c r="A896" s="32"/>
      <c r="B896" s="32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</row>
    <row r="897" spans="1:16" ht="14.25" customHeight="1">
      <c r="A897" s="32"/>
      <c r="B897" s="32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</row>
    <row r="898" spans="1:16" ht="14.25" customHeight="1">
      <c r="A898" s="32"/>
      <c r="B898" s="32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</row>
    <row r="899" spans="1:16" ht="14.25" customHeight="1">
      <c r="A899" s="32"/>
      <c r="B899" s="32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</row>
    <row r="900" spans="1:16" ht="14.25" customHeight="1">
      <c r="A900" s="32"/>
      <c r="B900" s="32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</row>
    <row r="901" spans="1:16" ht="14.25" customHeight="1">
      <c r="A901" s="32"/>
      <c r="B901" s="32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</row>
    <row r="902" spans="1:16" ht="14.25" customHeight="1">
      <c r="A902" s="32"/>
      <c r="B902" s="32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</row>
    <row r="903" spans="1:16" ht="14.25" customHeight="1">
      <c r="A903" s="32"/>
      <c r="B903" s="32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</row>
    <row r="904" spans="1:16" ht="14.25" customHeight="1">
      <c r="A904" s="32"/>
      <c r="B904" s="32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</row>
    <row r="905" spans="1:16" ht="14.25" customHeight="1">
      <c r="A905" s="32"/>
      <c r="B905" s="32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</row>
    <row r="906" spans="1:16" ht="14.25" customHeight="1">
      <c r="A906" s="32"/>
      <c r="B906" s="32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</row>
    <row r="907" spans="1:16" ht="14.25" customHeight="1">
      <c r="A907" s="32"/>
      <c r="B907" s="32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</row>
    <row r="908" spans="1:16" ht="14.25" customHeight="1">
      <c r="A908" s="32"/>
      <c r="B908" s="32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</row>
    <row r="909" spans="1:16" ht="14.25" customHeight="1">
      <c r="A909" s="32"/>
      <c r="B909" s="32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</row>
    <row r="910" spans="1:16" ht="14.25" customHeight="1">
      <c r="A910" s="32"/>
      <c r="B910" s="32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</row>
    <row r="911" spans="1:16" ht="14.25" customHeight="1">
      <c r="A911" s="32"/>
      <c r="B911" s="32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</row>
    <row r="912" spans="1:16" ht="14.25" customHeight="1">
      <c r="A912" s="32"/>
      <c r="B912" s="32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</row>
    <row r="913" spans="1:16" ht="14.25" customHeight="1">
      <c r="A913" s="32"/>
      <c r="B913" s="32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</row>
    <row r="914" spans="1:16" ht="14.25" customHeight="1">
      <c r="A914" s="32"/>
      <c r="B914" s="32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</row>
    <row r="915" spans="1:16" ht="14.25" customHeight="1">
      <c r="A915" s="32"/>
      <c r="B915" s="32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</row>
    <row r="916" spans="1:16" ht="14.25" customHeight="1">
      <c r="A916" s="32"/>
      <c r="B916" s="32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</row>
    <row r="917" spans="1:16" ht="14.25" customHeight="1">
      <c r="A917" s="32"/>
      <c r="B917" s="32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</row>
    <row r="918" spans="1:16" ht="14.25" customHeight="1">
      <c r="A918" s="32"/>
      <c r="B918" s="32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</row>
    <row r="919" spans="1:16" ht="14.25" customHeight="1">
      <c r="A919" s="32"/>
      <c r="B919" s="32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</row>
    <row r="920" spans="1:16" ht="14.25" customHeight="1">
      <c r="A920" s="32"/>
      <c r="B920" s="32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</row>
    <row r="921" spans="1:16" ht="14.25" customHeight="1">
      <c r="A921" s="32"/>
      <c r="B921" s="32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</row>
    <row r="922" spans="1:16" ht="14.25" customHeight="1">
      <c r="A922" s="32"/>
      <c r="B922" s="32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</row>
    <row r="923" spans="1:16" ht="14.25" customHeight="1">
      <c r="A923" s="32"/>
      <c r="B923" s="32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</row>
    <row r="924" spans="1:16" ht="14.25" customHeight="1">
      <c r="A924" s="32"/>
      <c r="B924" s="32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</row>
    <row r="925" spans="1:16" ht="14.25" customHeight="1">
      <c r="A925" s="32"/>
      <c r="B925" s="32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</row>
    <row r="926" spans="1:16" ht="14.25" customHeight="1">
      <c r="A926" s="32"/>
      <c r="B926" s="32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</row>
    <row r="927" spans="1:16" ht="14.25" customHeight="1">
      <c r="A927" s="32"/>
      <c r="B927" s="32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</row>
    <row r="928" spans="1:16" ht="14.25" customHeight="1">
      <c r="A928" s="32"/>
      <c r="B928" s="32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</row>
    <row r="929" spans="1:16" ht="14.25" customHeight="1">
      <c r="A929" s="32"/>
      <c r="B929" s="32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</row>
    <row r="930" spans="1:16" ht="14.25" customHeight="1">
      <c r="A930" s="32"/>
      <c r="B930" s="32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</row>
    <row r="931" spans="1:16" ht="14.25" customHeight="1">
      <c r="A931" s="32"/>
      <c r="B931" s="32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</row>
    <row r="932" spans="1:16" ht="14.25" customHeight="1">
      <c r="A932" s="32"/>
      <c r="B932" s="32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</row>
    <row r="933" spans="1:16" ht="14.25" customHeight="1">
      <c r="A933" s="32"/>
      <c r="B933" s="32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</row>
    <row r="934" spans="1:16" ht="14.25" customHeight="1">
      <c r="A934" s="32"/>
      <c r="B934" s="32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</row>
    <row r="935" spans="1:16" ht="14.25" customHeight="1">
      <c r="A935" s="32"/>
      <c r="B935" s="32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</row>
    <row r="936" spans="1:16" ht="14.25" customHeight="1">
      <c r="A936" s="32"/>
      <c r="B936" s="32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</row>
    <row r="937" spans="1:16" ht="14.25" customHeight="1">
      <c r="A937" s="32"/>
      <c r="B937" s="32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</row>
    <row r="938" spans="1:16" ht="14.25" customHeight="1">
      <c r="A938" s="32"/>
      <c r="B938" s="32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</row>
    <row r="939" spans="1:16" ht="14.25" customHeight="1">
      <c r="A939" s="32"/>
      <c r="B939" s="32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</row>
    <row r="940" spans="1:16" ht="14.25" customHeight="1">
      <c r="A940" s="32"/>
      <c r="B940" s="32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</row>
    <row r="941" spans="1:16" ht="14.25" customHeight="1">
      <c r="A941" s="32"/>
      <c r="B941" s="32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</row>
    <row r="942" spans="1:16" ht="14.25" customHeight="1">
      <c r="A942" s="32"/>
      <c r="B942" s="32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</row>
    <row r="943" spans="1:16" ht="14.25" customHeight="1">
      <c r="A943" s="32"/>
      <c r="B943" s="32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</row>
    <row r="944" spans="1:16" ht="14.25" customHeight="1">
      <c r="A944" s="32"/>
      <c r="B944" s="32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</row>
    <row r="945" spans="1:16" ht="14.25" customHeight="1">
      <c r="A945" s="32"/>
      <c r="B945" s="32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</row>
    <row r="946" spans="1:16" ht="14.25" customHeight="1">
      <c r="A946" s="32"/>
      <c r="B946" s="32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</row>
    <row r="947" spans="1:16" ht="14.25" customHeight="1">
      <c r="A947" s="32"/>
      <c r="B947" s="32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</row>
    <row r="948" spans="1:16" ht="14.25" customHeight="1">
      <c r="A948" s="32"/>
      <c r="B948" s="32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</row>
    <row r="949" spans="1:16" ht="14.25" customHeight="1">
      <c r="A949" s="32"/>
      <c r="B949" s="32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</row>
    <row r="950" spans="1:16" ht="14.25" customHeight="1">
      <c r="A950" s="32"/>
      <c r="B950" s="32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</row>
    <row r="951" spans="1:16" ht="14.25" customHeight="1">
      <c r="A951" s="32"/>
      <c r="B951" s="32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</row>
    <row r="952" spans="1:16" ht="14.25" customHeight="1">
      <c r="A952" s="32"/>
      <c r="B952" s="32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</row>
    <row r="953" spans="1:16" ht="14.25" customHeight="1">
      <c r="A953" s="32"/>
      <c r="B953" s="32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</row>
    <row r="954" spans="1:16" ht="14.25" customHeight="1">
      <c r="A954" s="32"/>
      <c r="B954" s="32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</row>
    <row r="955" spans="1:16" ht="14.25" customHeight="1">
      <c r="A955" s="32"/>
      <c r="B955" s="32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</row>
    <row r="956" spans="1:16" ht="14.25" customHeight="1">
      <c r="A956" s="32"/>
      <c r="B956" s="32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</row>
    <row r="957" spans="1:16" ht="14.25" customHeight="1">
      <c r="A957" s="32"/>
      <c r="B957" s="32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</row>
    <row r="958" spans="1:16" ht="14.25" customHeight="1">
      <c r="A958" s="32"/>
      <c r="B958" s="32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</row>
    <row r="959" spans="1:16" ht="14.25" customHeight="1">
      <c r="A959" s="32"/>
      <c r="B959" s="32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</row>
    <row r="960" spans="1:16" ht="14.25" customHeight="1">
      <c r="A960" s="32"/>
      <c r="B960" s="32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</row>
    <row r="961" spans="1:16" ht="14.25" customHeight="1">
      <c r="A961" s="32"/>
      <c r="B961" s="32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</row>
    <row r="962" spans="1:16" ht="14.25" customHeight="1">
      <c r="A962" s="32"/>
      <c r="B962" s="32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</row>
    <row r="963" spans="1:16" ht="14.25" customHeight="1">
      <c r="A963" s="32"/>
      <c r="B963" s="32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</row>
    <row r="964" spans="1:16" ht="14.25" customHeight="1">
      <c r="A964" s="32"/>
      <c r="B964" s="32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</row>
    <row r="965" spans="1:16" ht="14.25" customHeight="1">
      <c r="A965" s="32"/>
      <c r="B965" s="32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</row>
    <row r="966" spans="1:16" ht="14.25" customHeight="1">
      <c r="A966" s="32"/>
      <c r="B966" s="32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</row>
    <row r="967" spans="1:16" ht="14.25" customHeight="1">
      <c r="A967" s="32"/>
      <c r="B967" s="32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</row>
    <row r="968" spans="1:16" ht="14.25" customHeight="1">
      <c r="A968" s="32"/>
      <c r="B968" s="32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</row>
    <row r="969" spans="1:16" ht="14.25" customHeight="1">
      <c r="A969" s="32"/>
      <c r="B969" s="32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</row>
    <row r="970" spans="1:16" ht="14.25" customHeight="1">
      <c r="A970" s="32"/>
      <c r="B970" s="32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</row>
    <row r="971" spans="1:16" ht="14.25" customHeight="1">
      <c r="A971" s="32"/>
      <c r="B971" s="32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</row>
    <row r="972" spans="1:16" ht="14.25" customHeight="1">
      <c r="A972" s="32"/>
      <c r="B972" s="32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</row>
    <row r="973" spans="1:16" ht="14.25" customHeight="1">
      <c r="A973" s="32"/>
      <c r="B973" s="32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</row>
    <row r="974" spans="1:16" ht="14.25" customHeight="1">
      <c r="A974" s="32"/>
      <c r="B974" s="32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</row>
    <row r="975" spans="1:16" ht="14.25" customHeight="1">
      <c r="A975" s="32"/>
      <c r="B975" s="32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</row>
    <row r="976" spans="1:16" ht="14.25" customHeight="1">
      <c r="A976" s="32"/>
      <c r="B976" s="32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</row>
    <row r="977" spans="1:16" ht="14.25" customHeight="1">
      <c r="A977" s="32"/>
      <c r="B977" s="32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</row>
    <row r="978" spans="1:16" ht="14.25" customHeight="1">
      <c r="A978" s="32"/>
      <c r="B978" s="32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</row>
    <row r="979" spans="1:16" ht="14.25" customHeight="1">
      <c r="A979" s="32"/>
      <c r="B979" s="32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</row>
    <row r="980" spans="1:16" ht="14.25" customHeight="1">
      <c r="A980" s="32"/>
      <c r="B980" s="32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</row>
    <row r="981" spans="1:16" ht="14.25" customHeight="1">
      <c r="A981" s="32"/>
      <c r="B981" s="32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</row>
    <row r="982" spans="1:16" ht="14.25" customHeight="1">
      <c r="A982" s="32"/>
      <c r="B982" s="32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</row>
    <row r="983" spans="1:16" ht="14.25" customHeight="1">
      <c r="A983" s="32"/>
      <c r="B983" s="32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</row>
    <row r="984" spans="1:16" ht="14.25" customHeight="1">
      <c r="A984" s="32"/>
      <c r="B984" s="32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</row>
    <row r="985" spans="1:16" ht="14.25" customHeight="1">
      <c r="A985" s="32"/>
      <c r="B985" s="32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</row>
    <row r="986" spans="1:16" ht="14.25" customHeight="1">
      <c r="A986" s="32"/>
      <c r="B986" s="32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</row>
    <row r="987" spans="1:16" ht="14.25" customHeight="1">
      <c r="A987" s="32"/>
      <c r="B987" s="32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</row>
    <row r="988" spans="1:16" ht="14.25" customHeight="1">
      <c r="A988" s="32"/>
      <c r="B988" s="32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</row>
    <row r="989" spans="1:16" ht="14.25" customHeight="1">
      <c r="A989" s="32"/>
      <c r="B989" s="32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</row>
    <row r="990" spans="1:16" ht="14.25" customHeight="1">
      <c r="A990" s="32"/>
      <c r="B990" s="32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</row>
    <row r="991" spans="1:16" ht="14.25" customHeight="1">
      <c r="A991" s="32"/>
      <c r="B991" s="32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</row>
    <row r="992" spans="1:16" ht="14.25" customHeight="1">
      <c r="A992" s="32"/>
      <c r="B992" s="32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</row>
    <row r="993" spans="1:16" ht="14.25" customHeight="1">
      <c r="A993" s="32"/>
      <c r="B993" s="32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</row>
    <row r="994" spans="1:16" ht="14.25" customHeight="1">
      <c r="A994" s="32"/>
      <c r="B994" s="32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</row>
    <row r="995" spans="1:16" ht="14.25" customHeight="1">
      <c r="A995" s="32"/>
      <c r="B995" s="32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</row>
    <row r="996" spans="1:16" ht="14.25" customHeight="1">
      <c r="A996" s="32"/>
      <c r="B996" s="32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</row>
    <row r="997" spans="1:16" ht="14.25" customHeight="1">
      <c r="A997" s="32"/>
      <c r="B997" s="32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</row>
    <row r="998" spans="1:16" ht="14.25" customHeight="1">
      <c r="A998" s="32"/>
      <c r="B998" s="32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</row>
    <row r="999" spans="1:16" ht="14.25" customHeight="1">
      <c r="A999" s="32"/>
      <c r="B999" s="32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</row>
    <row r="1000" spans="1:16" ht="14.25" customHeight="1">
      <c r="A1000" s="32"/>
      <c r="B1000" s="32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</row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00000"/>
  </sheetPr>
  <dimension ref="A1:Z1000"/>
  <sheetViews>
    <sheetView workbookViewId="0">
      <selection activeCell="K21" sqref="K21"/>
    </sheetView>
  </sheetViews>
  <sheetFormatPr baseColWidth="10" defaultColWidth="12.59765625" defaultRowHeight="15" customHeight="1"/>
  <cols>
    <col min="1" max="1" width="17.19921875" customWidth="1"/>
    <col min="2" max="2" width="13.19921875" customWidth="1"/>
    <col min="3" max="3" width="17.59765625" customWidth="1"/>
    <col min="4" max="4" width="20.69921875" customWidth="1"/>
    <col min="5" max="26" width="11" customWidth="1"/>
  </cols>
  <sheetData>
    <row r="1" spans="1:26" ht="68.25" customHeight="1">
      <c r="A1" s="2" t="s">
        <v>464</v>
      </c>
      <c r="B1" s="2" t="s">
        <v>7</v>
      </c>
      <c r="C1" s="2" t="s">
        <v>8</v>
      </c>
      <c r="D1" s="2" t="s">
        <v>463</v>
      </c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</row>
    <row r="2" spans="1:26" ht="14.25" customHeight="1">
      <c r="A2" s="50">
        <v>1</v>
      </c>
      <c r="B2" s="7" t="s">
        <v>11</v>
      </c>
      <c r="C2" s="51"/>
      <c r="D2" s="51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spans="1:26" ht="14.25" customHeight="1">
      <c r="A3" s="50">
        <v>2</v>
      </c>
      <c r="B3" s="7" t="s">
        <v>15</v>
      </c>
      <c r="C3" s="51"/>
      <c r="D3" s="51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 spans="1:26" ht="14.25" customHeight="1">
      <c r="A4" s="50">
        <v>3</v>
      </c>
      <c r="B4" s="7" t="s">
        <v>17</v>
      </c>
      <c r="C4" s="51"/>
      <c r="D4" s="51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</row>
    <row r="5" spans="1:26" ht="14.25" customHeight="1">
      <c r="A5" s="50">
        <v>4</v>
      </c>
      <c r="B5" s="7" t="s">
        <v>20</v>
      </c>
      <c r="C5" s="51"/>
      <c r="D5" s="51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</row>
    <row r="6" spans="1:26" ht="14.25" customHeight="1">
      <c r="A6" s="50">
        <v>5</v>
      </c>
      <c r="B6" s="7" t="s">
        <v>263</v>
      </c>
      <c r="C6" s="51"/>
      <c r="D6" s="51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</row>
    <row r="7" spans="1:26" ht="14.25" customHeight="1">
      <c r="A7" s="50">
        <v>6</v>
      </c>
      <c r="B7" s="7" t="s">
        <v>25</v>
      </c>
      <c r="C7" s="51"/>
      <c r="D7" s="51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</row>
    <row r="8" spans="1:26" ht="14.25" customHeight="1">
      <c r="A8" s="50">
        <v>7</v>
      </c>
      <c r="B8" s="7" t="s">
        <v>27</v>
      </c>
      <c r="C8" s="51"/>
      <c r="D8" s="51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 spans="1:26" ht="14.25" customHeight="1">
      <c r="A9" s="50">
        <v>8</v>
      </c>
      <c r="B9" s="7" t="s">
        <v>29</v>
      </c>
      <c r="C9" s="51"/>
      <c r="D9" s="51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</row>
    <row r="10" spans="1:26" ht="14.25" customHeight="1">
      <c r="A10" s="50">
        <v>9</v>
      </c>
      <c r="B10" s="7" t="s">
        <v>31</v>
      </c>
      <c r="C10" s="51"/>
      <c r="D10" s="51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spans="1:26" ht="14.25" customHeight="1">
      <c r="A11" s="50">
        <v>10</v>
      </c>
      <c r="B11" s="7" t="s">
        <v>323</v>
      </c>
      <c r="C11" s="9"/>
      <c r="D11" s="51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</row>
    <row r="12" spans="1:26" ht="14.25" customHeight="1">
      <c r="A12" s="50">
        <v>11</v>
      </c>
      <c r="B12" s="7" t="s">
        <v>34</v>
      </c>
      <c r="C12" s="51"/>
      <c r="D12" s="51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</row>
    <row r="13" spans="1:26" ht="14.25" customHeight="1">
      <c r="A13" s="32"/>
      <c r="B13" s="32"/>
      <c r="C13" s="28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</row>
    <row r="14" spans="1:26" ht="14.25" customHeight="1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</row>
    <row r="15" spans="1:26" ht="14.25" customHeight="1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4.25" customHeight="1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4.25" customHeigh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4.25" customHeigh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4.25" customHeigh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4.25" customHeigh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</row>
    <row r="21" spans="1:26" ht="14.25" customHeigh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</row>
    <row r="22" spans="1:26" ht="14.25" customHeigh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</row>
    <row r="23" spans="1:26" ht="14.25" customHeigh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</row>
    <row r="24" spans="1:26" ht="14.25" customHeigh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</row>
    <row r="25" spans="1:26" ht="14.25" customHeigh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</row>
    <row r="26" spans="1:26" ht="14.25" customHeigh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</row>
    <row r="27" spans="1:26" ht="14.25" customHeigh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</row>
    <row r="28" spans="1:26" ht="14.25" customHeight="1">
      <c r="A28" s="32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</row>
    <row r="29" spans="1:26" ht="14.25" customHeight="1">
      <c r="A29" s="32"/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</row>
    <row r="30" spans="1:26" ht="14.25" customHeight="1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</row>
    <row r="31" spans="1:26" ht="14.25" customHeight="1">
      <c r="A31" s="32"/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</row>
    <row r="32" spans="1:26" ht="14.25" customHeight="1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</row>
    <row r="33" spans="1:26" ht="14.25" customHeight="1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1:26" ht="14.25" customHeigh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</row>
    <row r="35" spans="1:26" ht="14.25" customHeigh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</row>
    <row r="36" spans="1:26" ht="14.25" customHeigh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</row>
    <row r="37" spans="1:26" ht="14.25" customHeigh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</row>
    <row r="38" spans="1:26" ht="14.25" customHeigh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</row>
    <row r="39" spans="1:26" ht="14.25" customHeight="1">
      <c r="A39" s="32"/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</row>
    <row r="40" spans="1:26" ht="14.25" customHeight="1">
      <c r="A40" s="32"/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</row>
    <row r="41" spans="1:26" ht="14.25" customHeight="1">
      <c r="A41" s="32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</row>
    <row r="42" spans="1:26" ht="14.25" customHeight="1">
      <c r="A42" s="32"/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</row>
    <row r="43" spans="1:26" ht="14.25" customHeight="1">
      <c r="A43" s="32"/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</row>
    <row r="44" spans="1:26" ht="14.25" customHeight="1">
      <c r="A44" s="32"/>
      <c r="B44" s="32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</row>
    <row r="45" spans="1:26" ht="14.25" customHeight="1">
      <c r="A45" s="32"/>
      <c r="B45" s="32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</row>
    <row r="46" spans="1:26" ht="14.25" customHeight="1">
      <c r="A46" s="32"/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</row>
    <row r="47" spans="1:26" ht="14.25" customHeight="1">
      <c r="A47" s="32"/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</row>
    <row r="48" spans="1:26" ht="14.25" customHeight="1">
      <c r="A48" s="32"/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</row>
    <row r="49" spans="1:26" ht="14.25" customHeight="1">
      <c r="A49" s="32"/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</row>
    <row r="50" spans="1:26" ht="14.25" customHeight="1">
      <c r="A50" s="32"/>
      <c r="B50" s="32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</row>
    <row r="51" spans="1:26" ht="14.25" customHeight="1">
      <c r="A51" s="32"/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</row>
    <row r="52" spans="1:26" ht="14.25" customHeight="1">
      <c r="A52" s="32"/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</row>
    <row r="53" spans="1:26" ht="14.25" customHeight="1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</row>
    <row r="54" spans="1:26" ht="14.25" customHeight="1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</row>
    <row r="55" spans="1:26" ht="14.25" customHeight="1">
      <c r="A55" s="32"/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</row>
    <row r="56" spans="1:26" ht="14.25" customHeight="1">
      <c r="A56" s="32"/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</row>
    <row r="57" spans="1:26" ht="14.25" customHeight="1">
      <c r="A57" s="32"/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</row>
    <row r="58" spans="1:26" ht="14.25" customHeight="1">
      <c r="A58" s="32"/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</row>
    <row r="59" spans="1:26" ht="14.25" customHeight="1">
      <c r="A59" s="32"/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</row>
    <row r="60" spans="1:26" ht="14.25" customHeight="1">
      <c r="A60" s="32"/>
      <c r="B60" s="32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</row>
    <row r="61" spans="1:26" ht="14.25" customHeight="1">
      <c r="A61" s="32"/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</row>
    <row r="62" spans="1:26" ht="14.25" customHeight="1">
      <c r="A62" s="32"/>
      <c r="B62" s="32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</row>
    <row r="63" spans="1:26" ht="14.25" customHeight="1">
      <c r="A63" s="32"/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</row>
    <row r="64" spans="1:26" ht="14.25" customHeight="1">
      <c r="A64" s="32"/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</row>
    <row r="65" spans="1:26" ht="14.25" customHeight="1">
      <c r="A65" s="32"/>
      <c r="B65" s="32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</row>
    <row r="66" spans="1:26" ht="14.25" customHeight="1">
      <c r="A66" s="32"/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</row>
    <row r="67" spans="1:26" ht="14.25" customHeight="1">
      <c r="A67" s="32"/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</row>
    <row r="68" spans="1:26" ht="14.25" customHeight="1">
      <c r="A68" s="32"/>
      <c r="B68" s="32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</row>
    <row r="69" spans="1:26" ht="14.25" customHeight="1">
      <c r="A69" s="32"/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</row>
    <row r="70" spans="1:26" ht="14.25" customHeight="1">
      <c r="A70" s="32"/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</row>
    <row r="71" spans="1:26" ht="14.25" customHeight="1">
      <c r="A71" s="32"/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</row>
    <row r="72" spans="1:26" ht="14.25" customHeight="1">
      <c r="A72" s="32"/>
      <c r="B72" s="32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</row>
    <row r="73" spans="1:26" ht="14.25" customHeight="1">
      <c r="A73" s="32"/>
      <c r="B73" s="32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</row>
    <row r="74" spans="1:26" ht="14.25" customHeight="1">
      <c r="A74" s="32"/>
      <c r="B74" s="32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</row>
    <row r="75" spans="1:26" ht="14.25" customHeight="1">
      <c r="A75" s="32"/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</row>
    <row r="76" spans="1:26" ht="14.25" customHeight="1">
      <c r="A76" s="32"/>
      <c r="B76" s="32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</row>
    <row r="77" spans="1:26" ht="14.25" customHeight="1">
      <c r="A77" s="32"/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</row>
    <row r="78" spans="1:26" ht="14.25" customHeight="1">
      <c r="A78" s="32"/>
      <c r="B78" s="32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</row>
    <row r="79" spans="1:26" ht="14.25" customHeight="1">
      <c r="A79" s="32"/>
      <c r="B79" s="32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</row>
    <row r="80" spans="1:26" ht="14.25" customHeight="1">
      <c r="A80" s="32"/>
      <c r="B80" s="32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</row>
    <row r="81" spans="1:26" ht="14.25" customHeight="1">
      <c r="A81" s="32"/>
      <c r="B81" s="32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</row>
    <row r="82" spans="1:26" ht="14.25" customHeight="1">
      <c r="A82" s="32"/>
      <c r="B82" s="32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</row>
    <row r="83" spans="1:26" ht="14.25" customHeight="1">
      <c r="A83" s="32"/>
      <c r="B83" s="32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</row>
    <row r="84" spans="1:26" ht="14.25" customHeight="1">
      <c r="A84" s="32"/>
      <c r="B84" s="32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</row>
    <row r="85" spans="1:26" ht="14.25" customHeight="1">
      <c r="A85" s="32"/>
      <c r="B85" s="32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</row>
    <row r="86" spans="1:26" ht="14.25" customHeight="1">
      <c r="A86" s="32"/>
      <c r="B86" s="32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</row>
    <row r="87" spans="1:26" ht="14.25" customHeight="1">
      <c r="A87" s="32"/>
      <c r="B87" s="32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</row>
    <row r="88" spans="1:26" ht="14.25" customHeight="1">
      <c r="A88" s="32"/>
      <c r="B88" s="32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</row>
    <row r="89" spans="1:26" ht="14.25" customHeight="1">
      <c r="A89" s="32"/>
      <c r="B89" s="32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</row>
    <row r="90" spans="1:26" ht="14.25" customHeight="1">
      <c r="A90" s="32"/>
      <c r="B90" s="32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</row>
    <row r="91" spans="1:26" ht="14.25" customHeight="1">
      <c r="A91" s="32"/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</row>
    <row r="92" spans="1:26" ht="14.25" customHeight="1">
      <c r="A92" s="32"/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</row>
    <row r="93" spans="1:26" ht="14.25" customHeight="1">
      <c r="A93" s="32"/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</row>
    <row r="94" spans="1:26" ht="14.25" customHeight="1">
      <c r="A94" s="32"/>
      <c r="B94" s="32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</row>
    <row r="95" spans="1:26" ht="14.25" customHeight="1">
      <c r="A95" s="32"/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</row>
    <row r="96" spans="1:26" ht="14.25" customHeight="1">
      <c r="A96" s="32"/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</row>
    <row r="97" spans="1:26" ht="14.25" customHeight="1">
      <c r="A97" s="32"/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</row>
    <row r="98" spans="1:26" ht="14.25" customHeight="1">
      <c r="A98" s="32"/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</row>
    <row r="99" spans="1:26" ht="14.25" customHeight="1">
      <c r="A99" s="32"/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</row>
    <row r="100" spans="1:26" ht="14.25" customHeight="1">
      <c r="A100" s="32"/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</row>
    <row r="101" spans="1:26" ht="14.25" customHeight="1">
      <c r="A101" s="32"/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</row>
    <row r="102" spans="1:26" ht="14.25" customHeight="1">
      <c r="A102" s="32"/>
      <c r="B102" s="32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</row>
    <row r="103" spans="1:26" ht="14.25" customHeight="1">
      <c r="A103" s="32"/>
      <c r="B103" s="32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</row>
    <row r="104" spans="1:26" ht="14.25" customHeight="1">
      <c r="A104" s="32"/>
      <c r="B104" s="32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</row>
    <row r="105" spans="1:26" ht="14.25" customHeight="1">
      <c r="A105" s="32"/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</row>
    <row r="106" spans="1:26" ht="14.25" customHeight="1">
      <c r="A106" s="32"/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</row>
    <row r="107" spans="1:26" ht="14.25" customHeight="1">
      <c r="A107" s="32"/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</row>
    <row r="108" spans="1:26" ht="14.25" customHeight="1">
      <c r="A108" s="32"/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</row>
    <row r="109" spans="1:26" ht="14.25" customHeight="1">
      <c r="A109" s="32"/>
      <c r="B109" s="32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</row>
    <row r="110" spans="1:26" ht="14.25" customHeight="1">
      <c r="A110" s="32"/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</row>
    <row r="111" spans="1:26" ht="14.25" customHeight="1">
      <c r="A111" s="32"/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</row>
    <row r="112" spans="1:26" ht="14.25" customHeight="1">
      <c r="A112" s="32"/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</row>
    <row r="113" spans="1:26" ht="14.25" customHeight="1">
      <c r="A113" s="32"/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</row>
    <row r="114" spans="1:26" ht="14.25" customHeight="1">
      <c r="A114" s="32"/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</row>
    <row r="115" spans="1:26" ht="14.25" customHeight="1">
      <c r="A115" s="32"/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</row>
    <row r="116" spans="1:26" ht="14.25" customHeight="1">
      <c r="A116" s="32"/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</row>
    <row r="117" spans="1:26" ht="14.25" customHeight="1">
      <c r="A117" s="32"/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</row>
    <row r="118" spans="1:26" ht="14.25" customHeight="1">
      <c r="A118" s="32"/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</row>
    <row r="119" spans="1:26" ht="14.25" customHeight="1">
      <c r="A119" s="32"/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</row>
    <row r="120" spans="1:26" ht="14.25" customHeight="1">
      <c r="A120" s="32"/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</row>
    <row r="121" spans="1:26" ht="14.25" customHeight="1">
      <c r="A121" s="32"/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</row>
    <row r="122" spans="1:26" ht="14.25" customHeight="1">
      <c r="A122" s="32"/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</row>
    <row r="123" spans="1:26" ht="14.25" customHeight="1">
      <c r="A123" s="32"/>
      <c r="B123" s="32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</row>
    <row r="124" spans="1:26" ht="14.25" customHeight="1">
      <c r="A124" s="32"/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</row>
    <row r="125" spans="1:26" ht="14.25" customHeight="1">
      <c r="A125" s="32"/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</row>
    <row r="126" spans="1:26" ht="14.25" customHeight="1">
      <c r="A126" s="32"/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</row>
    <row r="127" spans="1:26" ht="14.25" customHeight="1">
      <c r="A127" s="32"/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</row>
    <row r="128" spans="1:26" ht="14.25" customHeight="1">
      <c r="A128" s="32"/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</row>
    <row r="129" spans="1:26" ht="14.25" customHeight="1">
      <c r="A129" s="32"/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</row>
    <row r="130" spans="1:26" ht="14.25" customHeight="1">
      <c r="A130" s="32"/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</row>
    <row r="131" spans="1:26" ht="14.25" customHeight="1">
      <c r="A131" s="32"/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</row>
    <row r="132" spans="1:26" ht="14.25" customHeight="1">
      <c r="A132" s="32"/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</row>
    <row r="133" spans="1:26" ht="14.25" customHeight="1">
      <c r="A133" s="32"/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</row>
    <row r="134" spans="1:26" ht="14.25" customHeight="1">
      <c r="A134" s="32"/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</row>
    <row r="135" spans="1:26" ht="14.25" customHeight="1">
      <c r="A135" s="32"/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</row>
    <row r="136" spans="1:26" ht="14.25" customHeight="1">
      <c r="A136" s="32"/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</row>
    <row r="137" spans="1:26" ht="14.25" customHeight="1">
      <c r="A137" s="32"/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</row>
    <row r="138" spans="1:26" ht="14.25" customHeight="1">
      <c r="A138" s="32"/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</row>
    <row r="139" spans="1:26" ht="14.25" customHeight="1">
      <c r="A139" s="32"/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</row>
    <row r="140" spans="1:26" ht="14.25" customHeight="1">
      <c r="A140" s="32"/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</row>
    <row r="141" spans="1:26" ht="14.25" customHeight="1">
      <c r="A141" s="32"/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</row>
    <row r="142" spans="1:26" ht="14.25" customHeight="1">
      <c r="A142" s="32"/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</row>
    <row r="143" spans="1:26" ht="14.25" customHeight="1">
      <c r="A143" s="32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</row>
    <row r="144" spans="1:26" ht="14.25" customHeight="1">
      <c r="A144" s="32"/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</row>
    <row r="145" spans="1:26" ht="14.25" customHeight="1">
      <c r="A145" s="32"/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</row>
    <row r="146" spans="1:26" ht="14.25" customHeight="1">
      <c r="A146" s="32"/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</row>
    <row r="147" spans="1:26" ht="14.25" customHeight="1">
      <c r="A147" s="32"/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</row>
    <row r="148" spans="1:26" ht="14.25" customHeight="1">
      <c r="A148" s="32"/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</row>
    <row r="149" spans="1:26" ht="14.25" customHeight="1">
      <c r="A149" s="32"/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</row>
    <row r="150" spans="1:26" ht="14.25" customHeight="1">
      <c r="A150" s="32"/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</row>
    <row r="151" spans="1:26" ht="14.25" customHeight="1">
      <c r="A151" s="32"/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</row>
    <row r="152" spans="1:26" ht="14.25" customHeight="1">
      <c r="A152" s="32"/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</row>
    <row r="153" spans="1:26" ht="14.25" customHeight="1">
      <c r="A153" s="32"/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</row>
    <row r="154" spans="1:26" ht="14.25" customHeight="1">
      <c r="A154" s="32"/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</row>
    <row r="155" spans="1:26" ht="14.25" customHeight="1">
      <c r="A155" s="32"/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</row>
    <row r="156" spans="1:26" ht="14.25" customHeight="1">
      <c r="A156" s="32"/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</row>
    <row r="157" spans="1:26" ht="14.25" customHeight="1">
      <c r="A157" s="32"/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</row>
    <row r="158" spans="1:26" ht="14.25" customHeight="1">
      <c r="A158" s="32"/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</row>
    <row r="159" spans="1:26" ht="14.25" customHeight="1">
      <c r="A159" s="32"/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</row>
    <row r="160" spans="1:26" ht="14.25" customHeight="1">
      <c r="A160" s="32"/>
      <c r="B160" s="32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</row>
    <row r="161" spans="1:26" ht="14.25" customHeight="1">
      <c r="A161" s="32"/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</row>
    <row r="162" spans="1:26" ht="14.25" customHeight="1">
      <c r="A162" s="32"/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</row>
    <row r="163" spans="1:26" ht="14.25" customHeight="1">
      <c r="A163" s="32"/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</row>
    <row r="164" spans="1:26" ht="14.25" customHeight="1">
      <c r="A164" s="32"/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</row>
    <row r="165" spans="1:26" ht="14.25" customHeight="1">
      <c r="A165" s="32"/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</row>
    <row r="166" spans="1:26" ht="14.25" customHeight="1">
      <c r="A166" s="32"/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</row>
    <row r="167" spans="1:26" ht="14.25" customHeight="1">
      <c r="A167" s="32"/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</row>
    <row r="168" spans="1:26" ht="14.25" customHeight="1">
      <c r="A168" s="32"/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</row>
    <row r="169" spans="1:26" ht="14.25" customHeight="1">
      <c r="A169" s="32"/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</row>
    <row r="170" spans="1:26" ht="14.25" customHeight="1">
      <c r="A170" s="32"/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</row>
    <row r="171" spans="1:26" ht="14.25" customHeight="1">
      <c r="A171" s="32"/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</row>
    <row r="172" spans="1:26" ht="14.25" customHeight="1">
      <c r="A172" s="32"/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</row>
    <row r="173" spans="1:26" ht="14.25" customHeight="1">
      <c r="A173" s="32"/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</row>
    <row r="174" spans="1:26" ht="14.25" customHeight="1">
      <c r="A174" s="32"/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</row>
    <row r="175" spans="1:26" ht="14.25" customHeight="1">
      <c r="A175" s="32"/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</row>
    <row r="176" spans="1:26" ht="14.25" customHeight="1">
      <c r="A176" s="32"/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</row>
    <row r="177" spans="1:26" ht="14.25" customHeight="1">
      <c r="A177" s="32"/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</row>
    <row r="178" spans="1:26" ht="14.25" customHeight="1">
      <c r="A178" s="32"/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</row>
    <row r="179" spans="1:26" ht="14.25" customHeight="1">
      <c r="A179" s="32"/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</row>
    <row r="180" spans="1:26" ht="14.25" customHeight="1">
      <c r="A180" s="32"/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</row>
    <row r="181" spans="1:26" ht="14.25" customHeight="1">
      <c r="A181" s="32"/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</row>
    <row r="182" spans="1:26" ht="14.25" customHeight="1">
      <c r="A182" s="32"/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</row>
    <row r="183" spans="1:26" ht="14.25" customHeight="1">
      <c r="A183" s="32"/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</row>
    <row r="184" spans="1:26" ht="14.25" customHeight="1">
      <c r="A184" s="32"/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</row>
    <row r="185" spans="1:26" ht="14.25" customHeight="1">
      <c r="A185" s="32"/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</row>
    <row r="186" spans="1:26" ht="14.25" customHeight="1">
      <c r="A186" s="32"/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</row>
    <row r="187" spans="1:26" ht="14.25" customHeight="1">
      <c r="A187" s="32"/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</row>
    <row r="188" spans="1:26" ht="14.25" customHeight="1">
      <c r="A188" s="32"/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</row>
    <row r="189" spans="1:26" ht="14.25" customHeight="1">
      <c r="A189" s="32"/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</row>
    <row r="190" spans="1:26" ht="14.25" customHeight="1">
      <c r="A190" s="32"/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</row>
    <row r="191" spans="1:26" ht="14.25" customHeight="1">
      <c r="A191" s="32"/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</row>
    <row r="192" spans="1:26" ht="14.25" customHeight="1">
      <c r="A192" s="32"/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</row>
    <row r="193" spans="1:26" ht="14.25" customHeight="1">
      <c r="A193" s="32"/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</row>
    <row r="194" spans="1:26" ht="14.25" customHeight="1">
      <c r="A194" s="32"/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</row>
    <row r="195" spans="1:26" ht="14.25" customHeight="1">
      <c r="A195" s="32"/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</row>
    <row r="196" spans="1:26" ht="14.25" customHeight="1">
      <c r="A196" s="32"/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</row>
    <row r="197" spans="1:26" ht="14.25" customHeight="1">
      <c r="A197" s="32"/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</row>
    <row r="198" spans="1:26" ht="14.25" customHeight="1">
      <c r="A198" s="32"/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</row>
    <row r="199" spans="1:26" ht="14.25" customHeight="1">
      <c r="A199" s="32"/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</row>
    <row r="200" spans="1:26" ht="14.25" customHeight="1">
      <c r="A200" s="32"/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</row>
    <row r="201" spans="1:26" ht="14.25" customHeight="1">
      <c r="A201" s="32"/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</row>
    <row r="202" spans="1:26" ht="14.25" customHeight="1">
      <c r="A202" s="32"/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</row>
    <row r="203" spans="1:26" ht="14.25" customHeight="1">
      <c r="A203" s="32"/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</row>
    <row r="204" spans="1:26" ht="14.25" customHeight="1">
      <c r="A204" s="32"/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</row>
    <row r="205" spans="1:26" ht="14.25" customHeight="1">
      <c r="A205" s="32"/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</row>
    <row r="206" spans="1:26" ht="14.25" customHeight="1">
      <c r="A206" s="32"/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</row>
    <row r="207" spans="1:26" ht="14.25" customHeight="1">
      <c r="A207" s="32"/>
      <c r="B207" s="32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</row>
    <row r="208" spans="1:26" ht="14.25" customHeight="1">
      <c r="A208" s="32"/>
      <c r="B208" s="32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</row>
    <row r="209" spans="1:26" ht="14.25" customHeight="1">
      <c r="A209" s="32"/>
      <c r="B209" s="32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</row>
    <row r="210" spans="1:26" ht="14.25" customHeight="1">
      <c r="A210" s="32"/>
      <c r="B210" s="32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</row>
    <row r="211" spans="1:26" ht="14.25" customHeight="1">
      <c r="A211" s="32"/>
      <c r="B211" s="32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</row>
    <row r="212" spans="1:26" ht="14.25" customHeight="1">
      <c r="A212" s="32"/>
      <c r="B212" s="32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</row>
    <row r="213" spans="1:26" ht="14.25" customHeight="1">
      <c r="A213" s="32"/>
      <c r="B213" s="32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</row>
    <row r="214" spans="1:26" ht="14.25" customHeight="1">
      <c r="A214" s="32"/>
      <c r="B214" s="32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</row>
    <row r="215" spans="1:26" ht="14.25" customHeight="1">
      <c r="A215" s="32"/>
      <c r="B215" s="32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</row>
    <row r="216" spans="1:26" ht="14.25" customHeight="1">
      <c r="A216" s="32"/>
      <c r="B216" s="32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</row>
    <row r="217" spans="1:26" ht="14.25" customHeight="1">
      <c r="A217" s="32"/>
      <c r="B217" s="32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</row>
    <row r="218" spans="1:26" ht="14.25" customHeight="1">
      <c r="A218" s="32"/>
      <c r="B218" s="32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</row>
    <row r="219" spans="1:26" ht="14.25" customHeight="1">
      <c r="A219" s="32"/>
      <c r="B219" s="32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</row>
    <row r="220" spans="1:26" ht="14.25" customHeight="1">
      <c r="A220" s="32"/>
      <c r="B220" s="32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</row>
    <row r="221" spans="1:26" ht="14.25" customHeight="1">
      <c r="A221" s="32"/>
      <c r="B221" s="32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</row>
    <row r="222" spans="1:26" ht="14.25" customHeight="1">
      <c r="A222" s="32"/>
      <c r="B222" s="32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</row>
    <row r="223" spans="1:26" ht="14.25" customHeight="1">
      <c r="A223" s="32"/>
      <c r="B223" s="32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</row>
    <row r="224" spans="1:26" ht="14.25" customHeight="1">
      <c r="A224" s="32"/>
      <c r="B224" s="32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</row>
    <row r="225" spans="1:26" ht="14.25" customHeight="1">
      <c r="A225" s="32"/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</row>
    <row r="226" spans="1:26" ht="14.25" customHeight="1">
      <c r="A226" s="32"/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</row>
    <row r="227" spans="1:26" ht="14.25" customHeight="1">
      <c r="A227" s="32"/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</row>
    <row r="228" spans="1:26" ht="14.25" customHeight="1">
      <c r="A228" s="32"/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</row>
    <row r="229" spans="1:26" ht="14.25" customHeight="1">
      <c r="A229" s="32"/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</row>
    <row r="230" spans="1:26" ht="14.25" customHeight="1">
      <c r="A230" s="32"/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</row>
    <row r="231" spans="1:26" ht="14.25" customHeight="1">
      <c r="A231" s="32"/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</row>
    <row r="232" spans="1:26" ht="14.25" customHeight="1">
      <c r="A232" s="32"/>
      <c r="B232" s="32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</row>
    <row r="233" spans="1:26" ht="14.25" customHeight="1">
      <c r="A233" s="32"/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</row>
    <row r="234" spans="1:26" ht="14.25" customHeight="1">
      <c r="A234" s="32"/>
      <c r="B234" s="32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</row>
    <row r="235" spans="1:26" ht="14.25" customHeight="1">
      <c r="A235" s="32"/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</row>
    <row r="236" spans="1:26" ht="14.25" customHeight="1">
      <c r="A236" s="32"/>
      <c r="B236" s="32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</row>
    <row r="237" spans="1:26" ht="14.25" customHeight="1">
      <c r="A237" s="32"/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</row>
    <row r="238" spans="1:26" ht="14.25" customHeight="1">
      <c r="A238" s="32"/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</row>
    <row r="239" spans="1:26" ht="14.25" customHeight="1">
      <c r="A239" s="32"/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</row>
    <row r="240" spans="1:26" ht="14.25" customHeight="1">
      <c r="A240" s="32"/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</row>
    <row r="241" spans="1:26" ht="14.25" customHeight="1">
      <c r="A241" s="32"/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</row>
    <row r="242" spans="1:26" ht="14.25" customHeight="1">
      <c r="A242" s="32"/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</row>
    <row r="243" spans="1:26" ht="14.25" customHeight="1">
      <c r="A243" s="32"/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</row>
    <row r="244" spans="1:26" ht="14.25" customHeight="1">
      <c r="A244" s="32"/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</row>
    <row r="245" spans="1:26" ht="14.25" customHeight="1">
      <c r="A245" s="32"/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</row>
    <row r="246" spans="1:26" ht="14.25" customHeight="1">
      <c r="A246" s="32"/>
      <c r="B246" s="32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</row>
    <row r="247" spans="1:26" ht="14.25" customHeight="1">
      <c r="A247" s="32"/>
      <c r="B247" s="32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</row>
    <row r="248" spans="1:26" ht="14.25" customHeight="1">
      <c r="A248" s="32"/>
      <c r="B248" s="32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</row>
    <row r="249" spans="1:26" ht="14.25" customHeight="1">
      <c r="A249" s="32"/>
      <c r="B249" s="32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</row>
    <row r="250" spans="1:26" ht="14.25" customHeight="1">
      <c r="A250" s="32"/>
      <c r="B250" s="32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</row>
    <row r="251" spans="1:26" ht="14.25" customHeight="1">
      <c r="A251" s="32"/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</row>
    <row r="252" spans="1:26" ht="14.25" customHeight="1">
      <c r="A252" s="32"/>
      <c r="B252" s="32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</row>
    <row r="253" spans="1:26" ht="14.25" customHeight="1">
      <c r="A253" s="32"/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</row>
    <row r="254" spans="1:26" ht="14.25" customHeight="1">
      <c r="A254" s="32"/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</row>
    <row r="255" spans="1:26" ht="14.25" customHeight="1">
      <c r="A255" s="32"/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</row>
    <row r="256" spans="1:26" ht="14.25" customHeight="1">
      <c r="A256" s="32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</row>
    <row r="257" spans="1:26" ht="14.25" customHeight="1">
      <c r="A257" s="32"/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</row>
    <row r="258" spans="1:26" ht="14.25" customHeight="1">
      <c r="A258" s="32"/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</row>
    <row r="259" spans="1:26" ht="14.25" customHeight="1">
      <c r="A259" s="32"/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</row>
    <row r="260" spans="1:26" ht="14.25" customHeight="1">
      <c r="A260" s="32"/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</row>
    <row r="261" spans="1:26" ht="14.25" customHeight="1">
      <c r="A261" s="32"/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</row>
    <row r="262" spans="1:26" ht="14.25" customHeight="1">
      <c r="A262" s="32"/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</row>
    <row r="263" spans="1:26" ht="14.25" customHeight="1">
      <c r="A263" s="32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</row>
    <row r="264" spans="1:26" ht="14.25" customHeight="1">
      <c r="A264" s="32"/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</row>
    <row r="265" spans="1:26" ht="14.25" customHeight="1">
      <c r="A265" s="32"/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</row>
    <row r="266" spans="1:26" ht="14.25" customHeight="1">
      <c r="A266" s="32"/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</row>
    <row r="267" spans="1:26" ht="14.25" customHeight="1">
      <c r="A267" s="32"/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</row>
    <row r="268" spans="1:26" ht="14.25" customHeight="1">
      <c r="A268" s="32"/>
      <c r="B268" s="32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</row>
    <row r="269" spans="1:26" ht="14.25" customHeight="1">
      <c r="A269" s="32"/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</row>
    <row r="270" spans="1:26" ht="14.25" customHeight="1">
      <c r="A270" s="32"/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</row>
    <row r="271" spans="1:26" ht="14.25" customHeight="1">
      <c r="A271" s="32"/>
      <c r="B271" s="32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</row>
    <row r="272" spans="1:26" ht="14.25" customHeight="1">
      <c r="A272" s="32"/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</row>
    <row r="273" spans="1:26" ht="14.25" customHeight="1">
      <c r="A273" s="32"/>
      <c r="B273" s="32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</row>
    <row r="274" spans="1:26" ht="14.25" customHeight="1">
      <c r="A274" s="32"/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</row>
    <row r="275" spans="1:26" ht="14.25" customHeight="1">
      <c r="A275" s="32"/>
      <c r="B275" s="32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</row>
    <row r="276" spans="1:26" ht="14.25" customHeight="1">
      <c r="A276" s="32"/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</row>
    <row r="277" spans="1:26" ht="14.25" customHeight="1">
      <c r="A277" s="32"/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</row>
    <row r="278" spans="1:26" ht="14.25" customHeight="1">
      <c r="A278" s="32"/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</row>
    <row r="279" spans="1:26" ht="14.25" customHeight="1">
      <c r="A279" s="32"/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</row>
    <row r="280" spans="1:26" ht="14.25" customHeight="1">
      <c r="A280" s="32"/>
      <c r="B280" s="32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</row>
    <row r="281" spans="1:26" ht="14.25" customHeight="1">
      <c r="A281" s="32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</row>
    <row r="282" spans="1:26" ht="14.25" customHeight="1">
      <c r="A282" s="32"/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</row>
    <row r="283" spans="1:26" ht="14.25" customHeight="1">
      <c r="A283" s="32"/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</row>
    <row r="284" spans="1:26" ht="14.25" customHeight="1">
      <c r="A284" s="32"/>
      <c r="B284" s="32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</row>
    <row r="285" spans="1:26" ht="14.25" customHeight="1">
      <c r="A285" s="32"/>
      <c r="B285" s="32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</row>
    <row r="286" spans="1:26" ht="14.25" customHeight="1">
      <c r="A286" s="32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</row>
    <row r="287" spans="1:26" ht="14.25" customHeight="1">
      <c r="A287" s="32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</row>
    <row r="288" spans="1:26" ht="14.25" customHeight="1">
      <c r="A288" s="32"/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</row>
    <row r="289" spans="1:26" ht="14.25" customHeight="1">
      <c r="A289" s="32"/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</row>
    <row r="290" spans="1:26" ht="14.25" customHeight="1">
      <c r="A290" s="32"/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</row>
    <row r="291" spans="1:26" ht="14.25" customHeight="1">
      <c r="A291" s="32"/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</row>
    <row r="292" spans="1:26" ht="14.25" customHeight="1">
      <c r="A292" s="32"/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</row>
    <row r="293" spans="1:26" ht="14.25" customHeight="1">
      <c r="A293" s="32"/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</row>
    <row r="294" spans="1:26" ht="14.25" customHeight="1">
      <c r="A294" s="32"/>
      <c r="B294" s="32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</row>
    <row r="295" spans="1:26" ht="14.25" customHeight="1">
      <c r="A295" s="32"/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</row>
    <row r="296" spans="1:26" ht="14.25" customHeight="1">
      <c r="A296" s="32"/>
      <c r="B296" s="32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</row>
    <row r="297" spans="1:26" ht="14.25" customHeight="1">
      <c r="A297" s="32"/>
      <c r="B297" s="32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</row>
    <row r="298" spans="1:26" ht="14.25" customHeight="1">
      <c r="A298" s="32"/>
      <c r="B298" s="32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</row>
    <row r="299" spans="1:26" ht="14.25" customHeight="1">
      <c r="A299" s="32"/>
      <c r="B299" s="32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</row>
    <row r="300" spans="1:26" ht="14.25" customHeight="1">
      <c r="A300" s="32"/>
      <c r="B300" s="32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</row>
    <row r="301" spans="1:26" ht="14.25" customHeight="1">
      <c r="A301" s="32"/>
      <c r="B301" s="32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</row>
    <row r="302" spans="1:26" ht="14.25" customHeight="1">
      <c r="A302" s="32"/>
      <c r="B302" s="32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</row>
    <row r="303" spans="1:26" ht="14.25" customHeight="1">
      <c r="A303" s="32"/>
      <c r="B303" s="32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</row>
    <row r="304" spans="1:26" ht="14.25" customHeight="1">
      <c r="A304" s="32"/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</row>
    <row r="305" spans="1:26" ht="14.25" customHeight="1">
      <c r="A305" s="32"/>
      <c r="B305" s="32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</row>
    <row r="306" spans="1:26" ht="14.25" customHeight="1">
      <c r="A306" s="32"/>
      <c r="B306" s="32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</row>
    <row r="307" spans="1:26" ht="14.25" customHeight="1">
      <c r="A307" s="32"/>
      <c r="B307" s="32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</row>
    <row r="308" spans="1:26" ht="14.25" customHeight="1">
      <c r="A308" s="32"/>
      <c r="B308" s="32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</row>
    <row r="309" spans="1:26" ht="14.25" customHeight="1">
      <c r="A309" s="32"/>
      <c r="B309" s="32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</row>
    <row r="310" spans="1:26" ht="14.25" customHeight="1">
      <c r="A310" s="32"/>
      <c r="B310" s="32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</row>
    <row r="311" spans="1:26" ht="14.25" customHeight="1">
      <c r="A311" s="32"/>
      <c r="B311" s="32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</row>
    <row r="312" spans="1:26" ht="14.25" customHeight="1">
      <c r="A312" s="32"/>
      <c r="B312" s="32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</row>
    <row r="313" spans="1:26" ht="14.25" customHeight="1">
      <c r="A313" s="32"/>
      <c r="B313" s="32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</row>
    <row r="314" spans="1:26" ht="14.25" customHeight="1">
      <c r="A314" s="32"/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</row>
    <row r="315" spans="1:26" ht="14.25" customHeight="1">
      <c r="A315" s="32"/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</row>
    <row r="316" spans="1:26" ht="14.25" customHeight="1">
      <c r="A316" s="32"/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</row>
    <row r="317" spans="1:26" ht="14.25" customHeight="1">
      <c r="A317" s="32"/>
      <c r="B317" s="32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</row>
    <row r="318" spans="1:26" ht="14.25" customHeight="1">
      <c r="A318" s="32"/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</row>
    <row r="319" spans="1:26" ht="14.25" customHeight="1">
      <c r="A319" s="32"/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</row>
    <row r="320" spans="1:26" ht="14.25" customHeight="1">
      <c r="A320" s="32"/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</row>
    <row r="321" spans="1:26" ht="14.25" customHeight="1">
      <c r="A321" s="32"/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</row>
    <row r="322" spans="1:26" ht="14.25" customHeight="1">
      <c r="A322" s="32"/>
      <c r="B322" s="32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</row>
    <row r="323" spans="1:26" ht="14.25" customHeight="1">
      <c r="A323" s="32"/>
      <c r="B323" s="32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</row>
    <row r="324" spans="1:26" ht="14.25" customHeight="1">
      <c r="A324" s="32"/>
      <c r="B324" s="32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</row>
    <row r="325" spans="1:26" ht="14.25" customHeight="1">
      <c r="A325" s="32"/>
      <c r="B325" s="32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</row>
    <row r="326" spans="1:26" ht="14.25" customHeight="1">
      <c r="A326" s="32"/>
      <c r="B326" s="32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</row>
    <row r="327" spans="1:26" ht="14.25" customHeight="1">
      <c r="A327" s="32"/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</row>
    <row r="328" spans="1:26" ht="14.25" customHeight="1">
      <c r="A328" s="32"/>
      <c r="B328" s="32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</row>
    <row r="329" spans="1:26" ht="14.25" customHeight="1">
      <c r="A329" s="32"/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</row>
    <row r="330" spans="1:26" ht="14.25" customHeight="1">
      <c r="A330" s="32"/>
      <c r="B330" s="32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</row>
    <row r="331" spans="1:26" ht="14.25" customHeight="1">
      <c r="A331" s="32"/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</row>
    <row r="332" spans="1:26" ht="14.25" customHeight="1">
      <c r="A332" s="32"/>
      <c r="B332" s="32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</row>
    <row r="333" spans="1:26" ht="14.25" customHeight="1">
      <c r="A333" s="32"/>
      <c r="B333" s="32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</row>
    <row r="334" spans="1:26" ht="14.25" customHeight="1">
      <c r="A334" s="32"/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</row>
    <row r="335" spans="1:26" ht="14.25" customHeight="1">
      <c r="A335" s="32"/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</row>
    <row r="336" spans="1:26" ht="14.25" customHeight="1">
      <c r="A336" s="32"/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</row>
    <row r="337" spans="1:26" ht="14.25" customHeight="1">
      <c r="A337" s="32"/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</row>
    <row r="338" spans="1:26" ht="14.25" customHeight="1">
      <c r="A338" s="32"/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</row>
    <row r="339" spans="1:26" ht="14.25" customHeight="1">
      <c r="A339" s="32"/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</row>
    <row r="340" spans="1:26" ht="14.25" customHeight="1">
      <c r="A340" s="32"/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</row>
    <row r="341" spans="1:26" ht="14.25" customHeight="1">
      <c r="A341" s="32"/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</row>
    <row r="342" spans="1:26" ht="14.25" customHeight="1">
      <c r="A342" s="32"/>
      <c r="B342" s="32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</row>
    <row r="343" spans="1:26" ht="14.25" customHeight="1">
      <c r="A343" s="32"/>
      <c r="B343" s="32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</row>
    <row r="344" spans="1:26" ht="14.25" customHeight="1">
      <c r="A344" s="32"/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</row>
    <row r="345" spans="1:26" ht="14.25" customHeight="1">
      <c r="A345" s="32"/>
      <c r="B345" s="32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</row>
    <row r="346" spans="1:26" ht="14.25" customHeight="1">
      <c r="A346" s="32"/>
      <c r="B346" s="32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</row>
    <row r="347" spans="1:26" ht="14.25" customHeight="1">
      <c r="A347" s="32"/>
      <c r="B347" s="32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</row>
    <row r="348" spans="1:26" ht="14.25" customHeight="1">
      <c r="A348" s="32"/>
      <c r="B348" s="32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</row>
    <row r="349" spans="1:26" ht="14.25" customHeight="1">
      <c r="A349" s="32"/>
      <c r="B349" s="32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</row>
    <row r="350" spans="1:26" ht="14.25" customHeight="1">
      <c r="A350" s="32"/>
      <c r="B350" s="32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</row>
    <row r="351" spans="1:26" ht="14.25" customHeight="1">
      <c r="A351" s="32"/>
      <c r="B351" s="32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</row>
    <row r="352" spans="1:26" ht="14.25" customHeight="1">
      <c r="A352" s="32"/>
      <c r="B352" s="32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</row>
    <row r="353" spans="1:26" ht="14.25" customHeight="1">
      <c r="A353" s="32"/>
      <c r="B353" s="32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</row>
    <row r="354" spans="1:26" ht="14.25" customHeight="1">
      <c r="A354" s="32"/>
      <c r="B354" s="32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</row>
    <row r="355" spans="1:26" ht="14.25" customHeight="1">
      <c r="A355" s="32"/>
      <c r="B355" s="32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</row>
    <row r="356" spans="1:26" ht="14.25" customHeight="1">
      <c r="A356" s="32"/>
      <c r="B356" s="32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</row>
    <row r="357" spans="1:26" ht="14.25" customHeight="1">
      <c r="A357" s="32"/>
      <c r="B357" s="32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</row>
    <row r="358" spans="1:26" ht="14.25" customHeight="1">
      <c r="A358" s="32"/>
      <c r="B358" s="32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</row>
    <row r="359" spans="1:26" ht="14.25" customHeight="1">
      <c r="A359" s="32"/>
      <c r="B359" s="32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</row>
    <row r="360" spans="1:26" ht="14.25" customHeight="1">
      <c r="A360" s="32"/>
      <c r="B360" s="32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</row>
    <row r="361" spans="1:26" ht="14.25" customHeight="1">
      <c r="A361" s="32"/>
      <c r="B361" s="32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</row>
    <row r="362" spans="1:26" ht="14.25" customHeight="1">
      <c r="A362" s="32"/>
      <c r="B362" s="32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</row>
    <row r="363" spans="1:26" ht="14.25" customHeight="1">
      <c r="A363" s="32"/>
      <c r="B363" s="32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</row>
    <row r="364" spans="1:26" ht="14.25" customHeight="1">
      <c r="A364" s="32"/>
      <c r="B364" s="32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</row>
    <row r="365" spans="1:26" ht="14.25" customHeight="1">
      <c r="A365" s="32"/>
      <c r="B365" s="32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</row>
    <row r="366" spans="1:26" ht="14.25" customHeight="1">
      <c r="A366" s="32"/>
      <c r="B366" s="32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</row>
    <row r="367" spans="1:26" ht="14.25" customHeight="1">
      <c r="A367" s="32"/>
      <c r="B367" s="32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</row>
    <row r="368" spans="1:26" ht="14.25" customHeight="1">
      <c r="A368" s="32"/>
      <c r="B368" s="32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</row>
    <row r="369" spans="1:26" ht="14.25" customHeight="1">
      <c r="A369" s="32"/>
      <c r="B369" s="32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</row>
    <row r="370" spans="1:26" ht="14.25" customHeight="1">
      <c r="A370" s="32"/>
      <c r="B370" s="32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</row>
    <row r="371" spans="1:26" ht="14.25" customHeight="1">
      <c r="A371" s="32"/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</row>
    <row r="372" spans="1:26" ht="14.25" customHeight="1">
      <c r="A372" s="32"/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</row>
    <row r="373" spans="1:26" ht="14.25" customHeight="1">
      <c r="A373" s="32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</row>
    <row r="374" spans="1:26" ht="14.25" customHeight="1">
      <c r="A374" s="32"/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</row>
    <row r="375" spans="1:26" ht="14.25" customHeight="1">
      <c r="A375" s="32"/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</row>
    <row r="376" spans="1:26" ht="14.25" customHeight="1">
      <c r="A376" s="32"/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</row>
    <row r="377" spans="1:26" ht="14.25" customHeight="1">
      <c r="A377" s="32"/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</row>
    <row r="378" spans="1:26" ht="14.25" customHeight="1">
      <c r="A378" s="32"/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</row>
    <row r="379" spans="1:26" ht="14.25" customHeight="1">
      <c r="A379" s="32"/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</row>
    <row r="380" spans="1:26" ht="14.25" customHeight="1">
      <c r="A380" s="32"/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</row>
    <row r="381" spans="1:26" ht="14.25" customHeight="1">
      <c r="A381" s="32"/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</row>
    <row r="382" spans="1:26" ht="14.25" customHeight="1">
      <c r="A382" s="32"/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</row>
    <row r="383" spans="1:26" ht="14.25" customHeight="1">
      <c r="A383" s="32"/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</row>
    <row r="384" spans="1:26" ht="14.25" customHeight="1">
      <c r="A384" s="32"/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</row>
    <row r="385" spans="1:26" ht="14.25" customHeight="1">
      <c r="A385" s="32"/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</row>
    <row r="386" spans="1:26" ht="14.25" customHeight="1">
      <c r="A386" s="32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</row>
    <row r="387" spans="1:26" ht="14.25" customHeight="1">
      <c r="A387" s="32"/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</row>
    <row r="388" spans="1:26" ht="14.25" customHeight="1">
      <c r="A388" s="32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</row>
    <row r="389" spans="1:26" ht="14.25" customHeight="1">
      <c r="A389" s="32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</row>
    <row r="390" spans="1:26" ht="14.25" customHeight="1">
      <c r="A390" s="32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</row>
    <row r="391" spans="1:26" ht="14.25" customHeight="1">
      <c r="A391" s="32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</row>
    <row r="392" spans="1:26" ht="14.25" customHeight="1">
      <c r="A392" s="32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</row>
    <row r="393" spans="1:26" ht="14.25" customHeight="1">
      <c r="A393" s="32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</row>
    <row r="394" spans="1:26" ht="14.25" customHeight="1">
      <c r="A394" s="32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</row>
    <row r="395" spans="1:26" ht="14.25" customHeight="1">
      <c r="A395" s="32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</row>
    <row r="396" spans="1:26" ht="14.25" customHeight="1">
      <c r="A396" s="32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</row>
    <row r="397" spans="1:26" ht="14.25" customHeight="1">
      <c r="A397" s="32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</row>
    <row r="398" spans="1:26" ht="14.25" customHeight="1">
      <c r="A398" s="32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</row>
    <row r="399" spans="1:26" ht="14.25" customHeight="1">
      <c r="A399" s="32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</row>
    <row r="400" spans="1:26" ht="14.25" customHeight="1">
      <c r="A400" s="32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</row>
    <row r="401" spans="1:26" ht="14.25" customHeight="1">
      <c r="A401" s="32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</row>
    <row r="402" spans="1:26" ht="14.25" customHeight="1">
      <c r="A402" s="32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</row>
    <row r="403" spans="1:26" ht="14.25" customHeight="1">
      <c r="A403" s="32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</row>
    <row r="404" spans="1:26" ht="14.25" customHeight="1">
      <c r="A404" s="32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</row>
    <row r="405" spans="1:26" ht="14.25" customHeight="1">
      <c r="A405" s="32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</row>
    <row r="406" spans="1:26" ht="14.25" customHeight="1">
      <c r="A406" s="32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</row>
    <row r="407" spans="1:26" ht="14.25" customHeight="1">
      <c r="A407" s="32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</row>
    <row r="408" spans="1:26" ht="14.25" customHeight="1">
      <c r="A408" s="32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</row>
    <row r="409" spans="1:26" ht="14.25" customHeight="1">
      <c r="A409" s="32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</row>
    <row r="410" spans="1:26" ht="14.25" customHeight="1">
      <c r="A410" s="32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</row>
    <row r="411" spans="1:26" ht="14.25" customHeight="1">
      <c r="A411" s="32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</row>
    <row r="412" spans="1:26" ht="14.25" customHeight="1">
      <c r="A412" s="32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</row>
    <row r="413" spans="1:26" ht="14.25" customHeight="1">
      <c r="A413" s="32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</row>
    <row r="414" spans="1:26" ht="14.25" customHeight="1">
      <c r="A414" s="32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</row>
    <row r="415" spans="1:26" ht="14.25" customHeight="1">
      <c r="A415" s="32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</row>
    <row r="416" spans="1:26" ht="14.25" customHeight="1">
      <c r="A416" s="32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</row>
    <row r="417" spans="1:26" ht="14.25" customHeight="1">
      <c r="A417" s="32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</row>
    <row r="418" spans="1:26" ht="14.25" customHeight="1">
      <c r="A418" s="32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</row>
    <row r="419" spans="1:26" ht="14.25" customHeight="1">
      <c r="A419" s="32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</row>
    <row r="420" spans="1:26" ht="14.25" customHeight="1">
      <c r="A420" s="32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</row>
    <row r="421" spans="1:26" ht="14.25" customHeight="1">
      <c r="A421" s="32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</row>
    <row r="422" spans="1:26" ht="14.25" customHeight="1">
      <c r="A422" s="32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</row>
    <row r="423" spans="1:26" ht="14.25" customHeight="1">
      <c r="A423" s="32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</row>
    <row r="424" spans="1:26" ht="14.25" customHeight="1">
      <c r="A424" s="32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</row>
    <row r="425" spans="1:26" ht="14.25" customHeight="1">
      <c r="A425" s="32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</row>
    <row r="426" spans="1:26" ht="14.25" customHeight="1">
      <c r="A426" s="32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</row>
    <row r="427" spans="1:26" ht="14.25" customHeight="1">
      <c r="A427" s="32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</row>
    <row r="428" spans="1:26" ht="14.25" customHeight="1">
      <c r="A428" s="32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</row>
    <row r="429" spans="1:26" ht="14.25" customHeight="1">
      <c r="A429" s="32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</row>
    <row r="430" spans="1:26" ht="14.25" customHeight="1">
      <c r="A430" s="32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</row>
    <row r="431" spans="1:26" ht="14.25" customHeight="1">
      <c r="A431" s="32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</row>
    <row r="432" spans="1:26" ht="14.25" customHeight="1">
      <c r="A432" s="32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</row>
    <row r="433" spans="1:26" ht="14.25" customHeight="1">
      <c r="A433" s="32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</row>
    <row r="434" spans="1:26" ht="14.25" customHeight="1">
      <c r="A434" s="32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</row>
    <row r="435" spans="1:26" ht="14.25" customHeight="1">
      <c r="A435" s="32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</row>
    <row r="436" spans="1:26" ht="14.25" customHeight="1">
      <c r="A436" s="32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</row>
    <row r="437" spans="1:26" ht="14.25" customHeight="1">
      <c r="A437" s="32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</row>
    <row r="438" spans="1:26" ht="14.25" customHeight="1">
      <c r="A438" s="32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</row>
    <row r="439" spans="1:26" ht="14.25" customHeight="1">
      <c r="A439" s="32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</row>
    <row r="440" spans="1:26" ht="14.25" customHeight="1">
      <c r="A440" s="32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</row>
    <row r="441" spans="1:26" ht="14.25" customHeight="1">
      <c r="A441" s="32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</row>
    <row r="442" spans="1:26" ht="14.25" customHeight="1">
      <c r="A442" s="32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</row>
    <row r="443" spans="1:26" ht="14.25" customHeight="1">
      <c r="A443" s="32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</row>
    <row r="444" spans="1:26" ht="14.25" customHeight="1">
      <c r="A444" s="32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</row>
    <row r="445" spans="1:26" ht="14.25" customHeight="1">
      <c r="A445" s="32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</row>
    <row r="446" spans="1:26" ht="14.25" customHeight="1">
      <c r="A446" s="32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</row>
    <row r="447" spans="1:26" ht="14.25" customHeight="1">
      <c r="A447" s="32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</row>
    <row r="448" spans="1:26" ht="14.25" customHeight="1">
      <c r="A448" s="32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</row>
    <row r="449" spans="1:26" ht="14.25" customHeight="1">
      <c r="A449" s="32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</row>
    <row r="450" spans="1:26" ht="14.25" customHeight="1">
      <c r="A450" s="32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</row>
    <row r="451" spans="1:26" ht="14.25" customHeight="1">
      <c r="A451" s="32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</row>
    <row r="452" spans="1:26" ht="14.25" customHeight="1">
      <c r="A452" s="32"/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</row>
    <row r="453" spans="1:26" ht="14.25" customHeight="1">
      <c r="A453" s="32"/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</row>
    <row r="454" spans="1:26" ht="14.25" customHeight="1">
      <c r="A454" s="32"/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</row>
    <row r="455" spans="1:26" ht="14.25" customHeight="1">
      <c r="A455" s="32"/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</row>
    <row r="456" spans="1:26" ht="14.25" customHeight="1">
      <c r="A456" s="32"/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</row>
    <row r="457" spans="1:26" ht="14.25" customHeight="1">
      <c r="A457" s="32"/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</row>
    <row r="458" spans="1:26" ht="14.25" customHeight="1">
      <c r="A458" s="32"/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</row>
    <row r="459" spans="1:26" ht="14.25" customHeight="1">
      <c r="A459" s="32"/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</row>
    <row r="460" spans="1:26" ht="14.25" customHeight="1">
      <c r="A460" s="32"/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</row>
    <row r="461" spans="1:26" ht="14.25" customHeight="1">
      <c r="A461" s="32"/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</row>
    <row r="462" spans="1:26" ht="14.25" customHeight="1">
      <c r="A462" s="32"/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</row>
    <row r="463" spans="1:26" ht="14.25" customHeight="1">
      <c r="A463" s="32"/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</row>
    <row r="464" spans="1:26" ht="14.25" customHeight="1">
      <c r="A464" s="32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</row>
    <row r="465" spans="1:26" ht="14.25" customHeight="1">
      <c r="A465" s="32"/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</row>
    <row r="466" spans="1:26" ht="14.25" customHeight="1">
      <c r="A466" s="32"/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</row>
    <row r="467" spans="1:26" ht="14.25" customHeight="1">
      <c r="A467" s="32"/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</row>
    <row r="468" spans="1:26" ht="14.25" customHeight="1">
      <c r="A468" s="32"/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</row>
    <row r="469" spans="1:26" ht="14.25" customHeight="1">
      <c r="A469" s="32"/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</row>
    <row r="470" spans="1:26" ht="14.25" customHeight="1">
      <c r="A470" s="32"/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</row>
    <row r="471" spans="1:26" ht="14.25" customHeight="1">
      <c r="A471" s="32"/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</row>
    <row r="472" spans="1:26" ht="14.25" customHeight="1">
      <c r="A472" s="32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</row>
    <row r="473" spans="1:26" ht="14.25" customHeight="1">
      <c r="A473" s="32"/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</row>
    <row r="474" spans="1:26" ht="14.25" customHeight="1">
      <c r="A474" s="32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</row>
    <row r="475" spans="1:26" ht="14.25" customHeight="1">
      <c r="A475" s="32"/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</row>
    <row r="476" spans="1:26" ht="14.25" customHeight="1">
      <c r="A476" s="32"/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</row>
    <row r="477" spans="1:26" ht="14.25" customHeight="1">
      <c r="A477" s="32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</row>
    <row r="478" spans="1:26" ht="14.25" customHeight="1">
      <c r="A478" s="32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</row>
    <row r="479" spans="1:26" ht="14.25" customHeight="1">
      <c r="A479" s="32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</row>
    <row r="480" spans="1:26" ht="14.25" customHeight="1">
      <c r="A480" s="32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</row>
    <row r="481" spans="1:26" ht="14.25" customHeight="1">
      <c r="A481" s="32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</row>
    <row r="482" spans="1:26" ht="14.25" customHeight="1">
      <c r="A482" s="32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</row>
    <row r="483" spans="1:26" ht="14.25" customHeight="1">
      <c r="A483" s="32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</row>
    <row r="484" spans="1:26" ht="14.25" customHeight="1">
      <c r="A484" s="32"/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</row>
    <row r="485" spans="1:26" ht="14.25" customHeight="1">
      <c r="A485" s="32"/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</row>
    <row r="486" spans="1:26" ht="14.25" customHeight="1">
      <c r="A486" s="32"/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</row>
    <row r="487" spans="1:26" ht="14.25" customHeight="1">
      <c r="A487" s="32"/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</row>
    <row r="488" spans="1:26" ht="14.25" customHeight="1">
      <c r="A488" s="32"/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</row>
    <row r="489" spans="1:26" ht="14.25" customHeight="1">
      <c r="A489" s="32"/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</row>
    <row r="490" spans="1:26" ht="14.25" customHeight="1">
      <c r="A490" s="32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</row>
    <row r="491" spans="1:26" ht="14.25" customHeight="1">
      <c r="A491" s="32"/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</row>
    <row r="492" spans="1:26" ht="14.25" customHeight="1">
      <c r="A492" s="32"/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</row>
    <row r="493" spans="1:26" ht="14.25" customHeight="1">
      <c r="A493" s="32"/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</row>
    <row r="494" spans="1:26" ht="14.25" customHeight="1">
      <c r="A494" s="32"/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</row>
    <row r="495" spans="1:26" ht="14.25" customHeight="1">
      <c r="A495" s="32"/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</row>
    <row r="496" spans="1:26" ht="14.25" customHeight="1">
      <c r="A496" s="32"/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</row>
    <row r="497" spans="1:26" ht="14.25" customHeight="1">
      <c r="A497" s="32"/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</row>
    <row r="498" spans="1:26" ht="14.25" customHeight="1">
      <c r="A498" s="32"/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</row>
    <row r="499" spans="1:26" ht="14.25" customHeight="1">
      <c r="A499" s="32"/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</row>
    <row r="500" spans="1:26" ht="14.25" customHeight="1">
      <c r="A500" s="32"/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</row>
    <row r="501" spans="1:26" ht="14.25" customHeight="1">
      <c r="A501" s="32"/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</row>
    <row r="502" spans="1:26" ht="14.25" customHeight="1">
      <c r="A502" s="32"/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</row>
    <row r="503" spans="1:26" ht="14.25" customHeight="1">
      <c r="A503" s="32"/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</row>
    <row r="504" spans="1:26" ht="14.25" customHeight="1">
      <c r="A504" s="32"/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</row>
    <row r="505" spans="1:26" ht="14.25" customHeight="1">
      <c r="A505" s="32"/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</row>
    <row r="506" spans="1:26" ht="14.25" customHeight="1">
      <c r="A506" s="32"/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</row>
    <row r="507" spans="1:26" ht="14.25" customHeight="1">
      <c r="A507" s="32"/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</row>
    <row r="508" spans="1:26" ht="14.25" customHeight="1">
      <c r="A508" s="32"/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</row>
    <row r="509" spans="1:26" ht="14.25" customHeight="1">
      <c r="A509" s="32"/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</row>
    <row r="510" spans="1:26" ht="14.25" customHeight="1">
      <c r="A510" s="32"/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</row>
    <row r="511" spans="1:26" ht="14.25" customHeight="1">
      <c r="A511" s="32"/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</row>
    <row r="512" spans="1:26" ht="14.25" customHeight="1">
      <c r="A512" s="32"/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</row>
    <row r="513" spans="1:26" ht="14.25" customHeight="1">
      <c r="A513" s="32"/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</row>
    <row r="514" spans="1:26" ht="14.25" customHeight="1">
      <c r="A514" s="32"/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</row>
    <row r="515" spans="1:26" ht="14.25" customHeight="1">
      <c r="A515" s="32"/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</row>
    <row r="516" spans="1:26" ht="14.25" customHeight="1">
      <c r="A516" s="32"/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</row>
    <row r="517" spans="1:26" ht="14.25" customHeight="1">
      <c r="A517" s="32"/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</row>
    <row r="518" spans="1:26" ht="14.25" customHeight="1">
      <c r="A518" s="32"/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</row>
    <row r="519" spans="1:26" ht="14.25" customHeight="1">
      <c r="A519" s="32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</row>
    <row r="520" spans="1:26" ht="14.25" customHeight="1">
      <c r="A520" s="32"/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</row>
    <row r="521" spans="1:26" ht="14.25" customHeight="1">
      <c r="A521" s="32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</row>
    <row r="522" spans="1:26" ht="14.25" customHeight="1">
      <c r="A522" s="32"/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</row>
    <row r="523" spans="1:26" ht="14.25" customHeight="1">
      <c r="A523" s="32"/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</row>
    <row r="524" spans="1:26" ht="14.25" customHeight="1">
      <c r="A524" s="32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</row>
    <row r="525" spans="1:26" ht="14.25" customHeight="1">
      <c r="A525" s="32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</row>
    <row r="526" spans="1:26" ht="14.25" customHeight="1">
      <c r="A526" s="32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</row>
    <row r="527" spans="1:26" ht="14.25" customHeight="1">
      <c r="A527" s="32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</row>
    <row r="528" spans="1:26" ht="14.25" customHeight="1">
      <c r="A528" s="32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</row>
    <row r="529" spans="1:26" ht="14.25" customHeight="1">
      <c r="A529" s="32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</row>
    <row r="530" spans="1:26" ht="14.25" customHeight="1">
      <c r="A530" s="32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</row>
    <row r="531" spans="1:26" ht="14.25" customHeight="1">
      <c r="A531" s="32"/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</row>
    <row r="532" spans="1:26" ht="14.25" customHeight="1">
      <c r="A532" s="32"/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</row>
    <row r="533" spans="1:26" ht="14.25" customHeight="1">
      <c r="A533" s="32"/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</row>
    <row r="534" spans="1:26" ht="14.25" customHeight="1">
      <c r="A534" s="32"/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</row>
    <row r="535" spans="1:26" ht="14.25" customHeight="1">
      <c r="A535" s="32"/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</row>
    <row r="536" spans="1:26" ht="14.25" customHeight="1">
      <c r="A536" s="32"/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</row>
    <row r="537" spans="1:26" ht="14.25" customHeight="1">
      <c r="A537" s="32"/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</row>
    <row r="538" spans="1:26" ht="14.25" customHeight="1">
      <c r="A538" s="32"/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</row>
    <row r="539" spans="1:26" ht="14.25" customHeight="1">
      <c r="A539" s="32"/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</row>
    <row r="540" spans="1:26" ht="14.25" customHeight="1">
      <c r="A540" s="32"/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</row>
    <row r="541" spans="1:26" ht="14.25" customHeight="1">
      <c r="A541" s="32"/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</row>
    <row r="542" spans="1:26" ht="14.25" customHeight="1">
      <c r="A542" s="32"/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</row>
    <row r="543" spans="1:26" ht="14.25" customHeight="1">
      <c r="A543" s="32"/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</row>
    <row r="544" spans="1:26" ht="14.25" customHeight="1">
      <c r="A544" s="32"/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</row>
    <row r="545" spans="1:26" ht="14.25" customHeight="1">
      <c r="A545" s="32"/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</row>
    <row r="546" spans="1:26" ht="14.25" customHeight="1">
      <c r="A546" s="32"/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</row>
    <row r="547" spans="1:26" ht="14.25" customHeight="1">
      <c r="A547" s="32"/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</row>
    <row r="548" spans="1:26" ht="14.25" customHeight="1">
      <c r="A548" s="32"/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</row>
    <row r="549" spans="1:26" ht="14.25" customHeight="1">
      <c r="A549" s="32"/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</row>
    <row r="550" spans="1:26" ht="14.25" customHeight="1">
      <c r="A550" s="32"/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</row>
    <row r="551" spans="1:26" ht="14.25" customHeight="1">
      <c r="A551" s="32"/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</row>
    <row r="552" spans="1:26" ht="14.25" customHeight="1">
      <c r="A552" s="32"/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</row>
    <row r="553" spans="1:26" ht="14.25" customHeight="1">
      <c r="A553" s="32"/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</row>
    <row r="554" spans="1:26" ht="14.25" customHeight="1">
      <c r="A554" s="32"/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</row>
    <row r="555" spans="1:26" ht="14.25" customHeight="1">
      <c r="A555" s="32"/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</row>
    <row r="556" spans="1:26" ht="14.25" customHeight="1">
      <c r="A556" s="32"/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</row>
    <row r="557" spans="1:26" ht="14.25" customHeight="1">
      <c r="A557" s="32"/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</row>
    <row r="558" spans="1:26" ht="14.25" customHeight="1">
      <c r="A558" s="32"/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</row>
    <row r="559" spans="1:26" ht="14.25" customHeight="1">
      <c r="A559" s="32"/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</row>
    <row r="560" spans="1:26" ht="14.25" customHeight="1">
      <c r="A560" s="32"/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</row>
    <row r="561" spans="1:26" ht="14.25" customHeight="1">
      <c r="A561" s="32"/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</row>
    <row r="562" spans="1:26" ht="14.25" customHeight="1">
      <c r="A562" s="32"/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</row>
    <row r="563" spans="1:26" ht="14.25" customHeight="1">
      <c r="A563" s="32"/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</row>
    <row r="564" spans="1:26" ht="14.25" customHeight="1">
      <c r="A564" s="32"/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</row>
    <row r="565" spans="1:26" ht="14.25" customHeight="1">
      <c r="A565" s="32"/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</row>
    <row r="566" spans="1:26" ht="14.25" customHeight="1">
      <c r="A566" s="32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</row>
    <row r="567" spans="1:26" ht="14.25" customHeight="1">
      <c r="A567" s="32"/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</row>
    <row r="568" spans="1:26" ht="14.25" customHeight="1">
      <c r="A568" s="32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</row>
    <row r="569" spans="1:26" ht="14.25" customHeight="1">
      <c r="A569" s="32"/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</row>
    <row r="570" spans="1:26" ht="14.25" customHeight="1">
      <c r="A570" s="32"/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</row>
    <row r="571" spans="1:26" ht="14.25" customHeight="1">
      <c r="A571" s="32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</row>
    <row r="572" spans="1:26" ht="14.25" customHeight="1">
      <c r="A572" s="32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</row>
    <row r="573" spans="1:26" ht="14.25" customHeight="1">
      <c r="A573" s="32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</row>
    <row r="574" spans="1:26" ht="14.25" customHeight="1">
      <c r="A574" s="32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</row>
    <row r="575" spans="1:26" ht="14.25" customHeight="1">
      <c r="A575" s="32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</row>
    <row r="576" spans="1:26" ht="14.25" customHeight="1">
      <c r="A576" s="32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</row>
    <row r="577" spans="1:26" ht="14.25" customHeight="1">
      <c r="A577" s="32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</row>
    <row r="578" spans="1:26" ht="14.25" customHeight="1">
      <c r="A578" s="32"/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</row>
    <row r="579" spans="1:26" ht="14.25" customHeight="1">
      <c r="A579" s="32"/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</row>
    <row r="580" spans="1:26" ht="14.25" customHeight="1">
      <c r="A580" s="32"/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</row>
    <row r="581" spans="1:26" ht="14.25" customHeight="1">
      <c r="A581" s="32"/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</row>
    <row r="582" spans="1:26" ht="14.25" customHeight="1">
      <c r="A582" s="32"/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</row>
    <row r="583" spans="1:26" ht="14.25" customHeight="1">
      <c r="A583" s="32"/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</row>
    <row r="584" spans="1:26" ht="14.25" customHeight="1">
      <c r="A584" s="32"/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</row>
    <row r="585" spans="1:26" ht="14.25" customHeight="1">
      <c r="A585" s="32"/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</row>
    <row r="586" spans="1:26" ht="14.25" customHeight="1">
      <c r="A586" s="32"/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</row>
    <row r="587" spans="1:26" ht="14.25" customHeight="1">
      <c r="A587" s="32"/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</row>
    <row r="588" spans="1:26" ht="14.25" customHeight="1">
      <c r="A588" s="32"/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</row>
    <row r="589" spans="1:26" ht="14.25" customHeight="1">
      <c r="A589" s="32"/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</row>
    <row r="590" spans="1:26" ht="14.25" customHeight="1">
      <c r="A590" s="32"/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</row>
    <row r="591" spans="1:26" ht="14.25" customHeight="1">
      <c r="A591" s="32"/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</row>
    <row r="592" spans="1:26" ht="14.25" customHeight="1">
      <c r="A592" s="32"/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</row>
    <row r="593" spans="1:26" ht="14.25" customHeight="1">
      <c r="A593" s="32"/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</row>
    <row r="594" spans="1:26" ht="14.25" customHeight="1">
      <c r="A594" s="32"/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</row>
    <row r="595" spans="1:26" ht="14.25" customHeight="1">
      <c r="A595" s="32"/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</row>
    <row r="596" spans="1:26" ht="14.25" customHeight="1">
      <c r="A596" s="32"/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</row>
    <row r="597" spans="1:26" ht="14.25" customHeight="1">
      <c r="A597" s="32"/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</row>
    <row r="598" spans="1:26" ht="14.25" customHeight="1">
      <c r="A598" s="32"/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</row>
    <row r="599" spans="1:26" ht="14.25" customHeight="1">
      <c r="A599" s="32"/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</row>
    <row r="600" spans="1:26" ht="14.25" customHeight="1">
      <c r="A600" s="32"/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</row>
    <row r="601" spans="1:26" ht="14.25" customHeight="1">
      <c r="A601" s="32"/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</row>
    <row r="602" spans="1:26" ht="14.25" customHeight="1">
      <c r="A602" s="32"/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</row>
    <row r="603" spans="1:26" ht="14.25" customHeight="1">
      <c r="A603" s="32"/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</row>
    <row r="604" spans="1:26" ht="14.25" customHeight="1">
      <c r="A604" s="32"/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</row>
    <row r="605" spans="1:26" ht="14.25" customHeight="1">
      <c r="A605" s="32"/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</row>
    <row r="606" spans="1:26" ht="14.25" customHeight="1">
      <c r="A606" s="32"/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</row>
    <row r="607" spans="1:26" ht="14.25" customHeight="1">
      <c r="A607" s="32"/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</row>
    <row r="608" spans="1:26" ht="14.25" customHeight="1">
      <c r="A608" s="32"/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</row>
    <row r="609" spans="1:26" ht="14.25" customHeight="1">
      <c r="A609" s="32"/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</row>
    <row r="610" spans="1:26" ht="14.25" customHeight="1">
      <c r="A610" s="32"/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</row>
    <row r="611" spans="1:26" ht="14.25" customHeight="1">
      <c r="A611" s="32"/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</row>
    <row r="612" spans="1:26" ht="14.25" customHeight="1">
      <c r="A612" s="32"/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</row>
    <row r="613" spans="1:26" ht="14.25" customHeight="1">
      <c r="A613" s="32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</row>
    <row r="614" spans="1:26" ht="14.25" customHeight="1">
      <c r="A614" s="32"/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</row>
    <row r="615" spans="1:26" ht="14.25" customHeight="1">
      <c r="A615" s="32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</row>
    <row r="616" spans="1:26" ht="14.25" customHeight="1">
      <c r="A616" s="32"/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</row>
    <row r="617" spans="1:26" ht="14.25" customHeight="1">
      <c r="A617" s="32"/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</row>
    <row r="618" spans="1:26" ht="14.25" customHeight="1">
      <c r="A618" s="32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</row>
    <row r="619" spans="1:26" ht="14.25" customHeight="1">
      <c r="A619" s="32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</row>
    <row r="620" spans="1:26" ht="14.25" customHeight="1">
      <c r="A620" s="32"/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</row>
    <row r="621" spans="1:26" ht="14.25" customHeight="1">
      <c r="A621" s="32"/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</row>
    <row r="622" spans="1:26" ht="14.25" customHeight="1">
      <c r="A622" s="32"/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</row>
    <row r="623" spans="1:26" ht="14.25" customHeight="1">
      <c r="A623" s="32"/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</row>
    <row r="624" spans="1:26" ht="14.25" customHeight="1">
      <c r="A624" s="32"/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</row>
    <row r="625" spans="1:26" ht="14.25" customHeight="1">
      <c r="A625" s="32"/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</row>
    <row r="626" spans="1:26" ht="14.25" customHeight="1">
      <c r="A626" s="32"/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</row>
    <row r="627" spans="1:26" ht="14.25" customHeight="1">
      <c r="A627" s="32"/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</row>
    <row r="628" spans="1:26" ht="14.25" customHeight="1">
      <c r="A628" s="32"/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</row>
    <row r="629" spans="1:26" ht="14.25" customHeight="1">
      <c r="A629" s="32"/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</row>
    <row r="630" spans="1:26" ht="14.25" customHeight="1">
      <c r="A630" s="32"/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</row>
    <row r="631" spans="1:26" ht="14.25" customHeight="1">
      <c r="A631" s="32"/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</row>
    <row r="632" spans="1:26" ht="14.25" customHeight="1">
      <c r="A632" s="32"/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</row>
    <row r="633" spans="1:26" ht="14.25" customHeight="1">
      <c r="A633" s="32"/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</row>
    <row r="634" spans="1:26" ht="14.25" customHeight="1">
      <c r="A634" s="32"/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</row>
    <row r="635" spans="1:26" ht="14.25" customHeight="1">
      <c r="A635" s="32"/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</row>
    <row r="636" spans="1:26" ht="14.25" customHeight="1">
      <c r="A636" s="32"/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</row>
    <row r="637" spans="1:26" ht="14.25" customHeight="1">
      <c r="A637" s="32"/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</row>
    <row r="638" spans="1:26" ht="14.25" customHeight="1">
      <c r="A638" s="32"/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</row>
    <row r="639" spans="1:26" ht="14.25" customHeight="1">
      <c r="A639" s="32"/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</row>
    <row r="640" spans="1:26" ht="14.25" customHeight="1">
      <c r="A640" s="32"/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</row>
    <row r="641" spans="1:26" ht="14.25" customHeight="1">
      <c r="A641" s="32"/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</row>
    <row r="642" spans="1:26" ht="14.25" customHeight="1">
      <c r="A642" s="32"/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</row>
    <row r="643" spans="1:26" ht="14.25" customHeight="1">
      <c r="A643" s="32"/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</row>
    <row r="644" spans="1:26" ht="14.25" customHeight="1">
      <c r="A644" s="32"/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</row>
    <row r="645" spans="1:26" ht="14.25" customHeight="1">
      <c r="A645" s="32"/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</row>
    <row r="646" spans="1:26" ht="14.25" customHeight="1">
      <c r="A646" s="32"/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</row>
    <row r="647" spans="1:26" ht="14.25" customHeight="1">
      <c r="A647" s="32"/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</row>
    <row r="648" spans="1:26" ht="14.25" customHeight="1">
      <c r="A648" s="32"/>
      <c r="B648" s="32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</row>
    <row r="649" spans="1:26" ht="14.25" customHeight="1">
      <c r="A649" s="32"/>
      <c r="B649" s="32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</row>
    <row r="650" spans="1:26" ht="14.25" customHeight="1">
      <c r="A650" s="32"/>
      <c r="B650" s="32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</row>
    <row r="651" spans="1:26" ht="14.25" customHeight="1">
      <c r="A651" s="32"/>
      <c r="B651" s="32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</row>
    <row r="652" spans="1:26" ht="14.25" customHeight="1">
      <c r="A652" s="32"/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</row>
    <row r="653" spans="1:26" ht="14.25" customHeight="1">
      <c r="A653" s="32"/>
      <c r="B653" s="32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</row>
    <row r="654" spans="1:26" ht="14.25" customHeight="1">
      <c r="A654" s="32"/>
      <c r="B654" s="32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</row>
    <row r="655" spans="1:26" ht="14.25" customHeight="1">
      <c r="A655" s="32"/>
      <c r="B655" s="32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</row>
    <row r="656" spans="1:26" ht="14.25" customHeight="1">
      <c r="A656" s="32"/>
      <c r="B656" s="32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</row>
    <row r="657" spans="1:26" ht="14.25" customHeight="1">
      <c r="A657" s="32"/>
      <c r="B657" s="32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</row>
    <row r="658" spans="1:26" ht="14.25" customHeight="1">
      <c r="A658" s="32"/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</row>
    <row r="659" spans="1:26" ht="14.25" customHeight="1">
      <c r="A659" s="32"/>
      <c r="B659" s="32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</row>
    <row r="660" spans="1:26" ht="14.25" customHeight="1">
      <c r="A660" s="32"/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</row>
    <row r="661" spans="1:26" ht="14.25" customHeight="1">
      <c r="A661" s="32"/>
      <c r="B661" s="32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</row>
    <row r="662" spans="1:26" ht="14.25" customHeight="1">
      <c r="A662" s="32"/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</row>
    <row r="663" spans="1:26" ht="14.25" customHeight="1">
      <c r="A663" s="32"/>
      <c r="B663" s="32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</row>
    <row r="664" spans="1:26" ht="14.25" customHeight="1">
      <c r="A664" s="32"/>
      <c r="B664" s="32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</row>
    <row r="665" spans="1:26" ht="14.25" customHeight="1">
      <c r="A665" s="32"/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</row>
    <row r="666" spans="1:26" ht="14.25" customHeight="1">
      <c r="A666" s="32"/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</row>
    <row r="667" spans="1:26" ht="14.25" customHeight="1">
      <c r="A667" s="32"/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</row>
    <row r="668" spans="1:26" ht="14.25" customHeight="1">
      <c r="A668" s="32"/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</row>
    <row r="669" spans="1:26" ht="14.25" customHeight="1">
      <c r="A669" s="32"/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</row>
    <row r="670" spans="1:26" ht="14.25" customHeight="1">
      <c r="A670" s="32"/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</row>
    <row r="671" spans="1:26" ht="14.25" customHeight="1">
      <c r="A671" s="32"/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</row>
    <row r="672" spans="1:26" ht="14.25" customHeight="1">
      <c r="A672" s="32"/>
      <c r="B672" s="32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</row>
    <row r="673" spans="1:26" ht="14.25" customHeight="1">
      <c r="A673" s="32"/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</row>
    <row r="674" spans="1:26" ht="14.25" customHeight="1">
      <c r="A674" s="32"/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</row>
    <row r="675" spans="1:26" ht="14.25" customHeight="1">
      <c r="A675" s="32"/>
      <c r="B675" s="32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</row>
    <row r="676" spans="1:26" ht="14.25" customHeight="1">
      <c r="A676" s="32"/>
      <c r="B676" s="32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</row>
    <row r="677" spans="1:26" ht="14.25" customHeight="1">
      <c r="A677" s="32"/>
      <c r="B677" s="32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</row>
    <row r="678" spans="1:26" ht="14.25" customHeight="1">
      <c r="A678" s="32"/>
      <c r="B678" s="32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</row>
    <row r="679" spans="1:26" ht="14.25" customHeight="1">
      <c r="A679" s="32"/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</row>
    <row r="680" spans="1:26" ht="14.25" customHeight="1">
      <c r="A680" s="32"/>
      <c r="B680" s="32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</row>
    <row r="681" spans="1:26" ht="14.25" customHeight="1">
      <c r="A681" s="32"/>
      <c r="B681" s="32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</row>
    <row r="682" spans="1:26" ht="14.25" customHeight="1">
      <c r="A682" s="32"/>
      <c r="B682" s="32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</row>
    <row r="683" spans="1:26" ht="14.25" customHeight="1">
      <c r="A683" s="32"/>
      <c r="B683" s="32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</row>
    <row r="684" spans="1:26" ht="14.25" customHeight="1">
      <c r="A684" s="32"/>
      <c r="B684" s="32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</row>
    <row r="685" spans="1:26" ht="14.25" customHeight="1">
      <c r="A685" s="32"/>
      <c r="B685" s="32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</row>
    <row r="686" spans="1:26" ht="14.25" customHeight="1">
      <c r="A686" s="32"/>
      <c r="B686" s="32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</row>
    <row r="687" spans="1:26" ht="14.25" customHeight="1">
      <c r="A687" s="32"/>
      <c r="B687" s="32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</row>
    <row r="688" spans="1:26" ht="14.25" customHeight="1">
      <c r="A688" s="32"/>
      <c r="B688" s="32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</row>
    <row r="689" spans="1:26" ht="14.25" customHeight="1">
      <c r="A689" s="32"/>
      <c r="B689" s="32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</row>
    <row r="690" spans="1:26" ht="14.25" customHeight="1">
      <c r="A690" s="32"/>
      <c r="B690" s="32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</row>
    <row r="691" spans="1:26" ht="14.25" customHeight="1">
      <c r="A691" s="32"/>
      <c r="B691" s="32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</row>
    <row r="692" spans="1:26" ht="14.25" customHeight="1">
      <c r="A692" s="32"/>
      <c r="B692" s="32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</row>
    <row r="693" spans="1:26" ht="14.25" customHeight="1">
      <c r="A693" s="32"/>
      <c r="B693" s="32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</row>
    <row r="694" spans="1:26" ht="14.25" customHeight="1">
      <c r="A694" s="32"/>
      <c r="B694" s="32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</row>
    <row r="695" spans="1:26" ht="14.25" customHeight="1">
      <c r="A695" s="32"/>
      <c r="B695" s="32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</row>
    <row r="696" spans="1:26" ht="14.25" customHeight="1">
      <c r="A696" s="32"/>
      <c r="B696" s="32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</row>
    <row r="697" spans="1:26" ht="14.25" customHeight="1">
      <c r="A697" s="32"/>
      <c r="B697" s="32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</row>
    <row r="698" spans="1:26" ht="14.25" customHeight="1">
      <c r="A698" s="32"/>
      <c r="B698" s="32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</row>
    <row r="699" spans="1:26" ht="14.25" customHeight="1">
      <c r="A699" s="32"/>
      <c r="B699" s="32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</row>
    <row r="700" spans="1:26" ht="14.25" customHeight="1">
      <c r="A700" s="32"/>
      <c r="B700" s="32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</row>
    <row r="701" spans="1:26" ht="14.25" customHeight="1">
      <c r="A701" s="32"/>
      <c r="B701" s="32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</row>
    <row r="702" spans="1:26" ht="14.25" customHeight="1">
      <c r="A702" s="32"/>
      <c r="B702" s="32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</row>
    <row r="703" spans="1:26" ht="14.25" customHeight="1">
      <c r="A703" s="32"/>
      <c r="B703" s="32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</row>
    <row r="704" spans="1:26" ht="14.25" customHeight="1">
      <c r="A704" s="32"/>
      <c r="B704" s="32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</row>
    <row r="705" spans="1:26" ht="14.25" customHeight="1">
      <c r="A705" s="32"/>
      <c r="B705" s="32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</row>
    <row r="706" spans="1:26" ht="14.25" customHeight="1">
      <c r="A706" s="32"/>
      <c r="B706" s="32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</row>
    <row r="707" spans="1:26" ht="14.25" customHeight="1">
      <c r="A707" s="32"/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</row>
    <row r="708" spans="1:26" ht="14.25" customHeight="1">
      <c r="A708" s="32"/>
      <c r="B708" s="32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</row>
    <row r="709" spans="1:26" ht="14.25" customHeight="1">
      <c r="A709" s="32"/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</row>
    <row r="710" spans="1:26" ht="14.25" customHeight="1">
      <c r="A710" s="32"/>
      <c r="B710" s="32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</row>
    <row r="711" spans="1:26" ht="14.25" customHeight="1">
      <c r="A711" s="32"/>
      <c r="B711" s="32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</row>
    <row r="712" spans="1:26" ht="14.25" customHeight="1">
      <c r="A712" s="32"/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</row>
    <row r="713" spans="1:26" ht="14.25" customHeight="1">
      <c r="A713" s="32"/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</row>
    <row r="714" spans="1:26" ht="14.25" customHeight="1">
      <c r="A714" s="32"/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</row>
    <row r="715" spans="1:26" ht="14.25" customHeight="1">
      <c r="A715" s="32"/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</row>
    <row r="716" spans="1:26" ht="14.25" customHeight="1">
      <c r="A716" s="32"/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</row>
    <row r="717" spans="1:26" ht="14.25" customHeight="1">
      <c r="A717" s="32"/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</row>
    <row r="718" spans="1:26" ht="14.25" customHeight="1">
      <c r="A718" s="32"/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</row>
    <row r="719" spans="1:26" ht="14.25" customHeight="1">
      <c r="A719" s="32"/>
      <c r="B719" s="32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</row>
    <row r="720" spans="1:26" ht="14.25" customHeight="1">
      <c r="A720" s="32"/>
      <c r="B720" s="32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</row>
    <row r="721" spans="1:26" ht="14.25" customHeight="1">
      <c r="A721" s="32"/>
      <c r="B721" s="32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</row>
    <row r="722" spans="1:26" ht="14.25" customHeight="1">
      <c r="A722" s="32"/>
      <c r="B722" s="32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</row>
    <row r="723" spans="1:26" ht="14.25" customHeight="1">
      <c r="A723" s="32"/>
      <c r="B723" s="32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</row>
    <row r="724" spans="1:26" ht="14.25" customHeight="1">
      <c r="A724" s="32"/>
      <c r="B724" s="32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</row>
    <row r="725" spans="1:26" ht="14.25" customHeight="1">
      <c r="A725" s="32"/>
      <c r="B725" s="32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</row>
    <row r="726" spans="1:26" ht="14.25" customHeight="1">
      <c r="A726" s="32"/>
      <c r="B726" s="32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</row>
    <row r="727" spans="1:26" ht="14.25" customHeight="1">
      <c r="A727" s="32"/>
      <c r="B727" s="32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</row>
    <row r="728" spans="1:26" ht="14.25" customHeight="1">
      <c r="A728" s="32"/>
      <c r="B728" s="32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</row>
    <row r="729" spans="1:26" ht="14.25" customHeight="1">
      <c r="A729" s="32"/>
      <c r="B729" s="32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</row>
    <row r="730" spans="1:26" ht="14.25" customHeight="1">
      <c r="A730" s="32"/>
      <c r="B730" s="32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</row>
    <row r="731" spans="1:26" ht="14.25" customHeight="1">
      <c r="A731" s="32"/>
      <c r="B731" s="32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</row>
    <row r="732" spans="1:26" ht="14.25" customHeight="1">
      <c r="A732" s="32"/>
      <c r="B732" s="32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</row>
    <row r="733" spans="1:26" ht="14.25" customHeight="1">
      <c r="A733" s="32"/>
      <c r="B733" s="32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</row>
    <row r="734" spans="1:26" ht="14.25" customHeight="1">
      <c r="A734" s="32"/>
      <c r="B734" s="32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</row>
    <row r="735" spans="1:26" ht="14.25" customHeight="1">
      <c r="A735" s="32"/>
      <c r="B735" s="32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</row>
    <row r="736" spans="1:26" ht="14.25" customHeight="1">
      <c r="A736" s="32"/>
      <c r="B736" s="32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</row>
    <row r="737" spans="1:26" ht="14.25" customHeight="1">
      <c r="A737" s="32"/>
      <c r="B737" s="32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</row>
    <row r="738" spans="1:26" ht="14.25" customHeight="1">
      <c r="A738" s="32"/>
      <c r="B738" s="32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</row>
    <row r="739" spans="1:26" ht="14.25" customHeight="1">
      <c r="A739" s="32"/>
      <c r="B739" s="32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</row>
    <row r="740" spans="1:26" ht="14.25" customHeight="1">
      <c r="A740" s="32"/>
      <c r="B740" s="32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</row>
    <row r="741" spans="1:26" ht="14.25" customHeight="1">
      <c r="A741" s="32"/>
      <c r="B741" s="32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</row>
    <row r="742" spans="1:26" ht="14.25" customHeight="1">
      <c r="A742" s="32"/>
      <c r="B742" s="32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</row>
    <row r="743" spans="1:26" ht="14.25" customHeight="1">
      <c r="A743" s="32"/>
      <c r="B743" s="32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</row>
    <row r="744" spans="1:26" ht="14.25" customHeight="1">
      <c r="A744" s="32"/>
      <c r="B744" s="32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</row>
    <row r="745" spans="1:26" ht="14.25" customHeight="1">
      <c r="A745" s="32"/>
      <c r="B745" s="32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</row>
    <row r="746" spans="1:26" ht="14.25" customHeight="1">
      <c r="A746" s="32"/>
      <c r="B746" s="32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</row>
    <row r="747" spans="1:26" ht="14.25" customHeight="1">
      <c r="A747" s="32"/>
      <c r="B747" s="32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</row>
    <row r="748" spans="1:26" ht="14.25" customHeight="1">
      <c r="A748" s="32"/>
      <c r="B748" s="32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</row>
    <row r="749" spans="1:26" ht="14.25" customHeight="1">
      <c r="A749" s="32"/>
      <c r="B749" s="32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</row>
    <row r="750" spans="1:26" ht="14.25" customHeight="1">
      <c r="A750" s="32"/>
      <c r="B750" s="32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</row>
    <row r="751" spans="1:26" ht="14.25" customHeight="1">
      <c r="A751" s="32"/>
      <c r="B751" s="32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</row>
    <row r="752" spans="1:26" ht="14.25" customHeight="1">
      <c r="A752" s="32"/>
      <c r="B752" s="32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</row>
    <row r="753" spans="1:26" ht="14.25" customHeight="1">
      <c r="A753" s="32"/>
      <c r="B753" s="32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</row>
    <row r="754" spans="1:26" ht="14.25" customHeight="1">
      <c r="A754" s="32"/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</row>
    <row r="755" spans="1:26" ht="14.25" customHeight="1">
      <c r="A755" s="32"/>
      <c r="B755" s="32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</row>
    <row r="756" spans="1:26" ht="14.25" customHeight="1">
      <c r="A756" s="32"/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</row>
    <row r="757" spans="1:26" ht="14.25" customHeight="1">
      <c r="A757" s="32"/>
      <c r="B757" s="32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</row>
    <row r="758" spans="1:26" ht="14.25" customHeight="1">
      <c r="A758" s="32"/>
      <c r="B758" s="32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</row>
    <row r="759" spans="1:26" ht="14.25" customHeight="1">
      <c r="A759" s="32"/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</row>
    <row r="760" spans="1:26" ht="14.25" customHeight="1">
      <c r="A760" s="32"/>
      <c r="B760" s="32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</row>
    <row r="761" spans="1:26" ht="14.25" customHeight="1">
      <c r="A761" s="32"/>
      <c r="B761" s="32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</row>
    <row r="762" spans="1:26" ht="14.25" customHeight="1">
      <c r="A762" s="32"/>
      <c r="B762" s="32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</row>
    <row r="763" spans="1:26" ht="14.25" customHeight="1">
      <c r="A763" s="32"/>
      <c r="B763" s="32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</row>
    <row r="764" spans="1:26" ht="14.25" customHeight="1">
      <c r="A764" s="32"/>
      <c r="B764" s="32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</row>
    <row r="765" spans="1:26" ht="14.25" customHeight="1">
      <c r="A765" s="32"/>
      <c r="B765" s="32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</row>
    <row r="766" spans="1:26" ht="14.25" customHeight="1">
      <c r="A766" s="32"/>
      <c r="B766" s="32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</row>
    <row r="767" spans="1:26" ht="14.25" customHeight="1">
      <c r="A767" s="32"/>
      <c r="B767" s="32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</row>
    <row r="768" spans="1:26" ht="14.25" customHeight="1">
      <c r="A768" s="32"/>
      <c r="B768" s="32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</row>
    <row r="769" spans="1:26" ht="14.25" customHeight="1">
      <c r="A769" s="32"/>
      <c r="B769" s="32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</row>
    <row r="770" spans="1:26" ht="14.25" customHeight="1">
      <c r="A770" s="32"/>
      <c r="B770" s="32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</row>
    <row r="771" spans="1:26" ht="14.25" customHeight="1">
      <c r="A771" s="32"/>
      <c r="B771" s="32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</row>
    <row r="772" spans="1:26" ht="14.25" customHeight="1">
      <c r="A772" s="32"/>
      <c r="B772" s="32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</row>
    <row r="773" spans="1:26" ht="14.25" customHeight="1">
      <c r="A773" s="32"/>
      <c r="B773" s="32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</row>
    <row r="774" spans="1:26" ht="14.25" customHeight="1">
      <c r="A774" s="32"/>
      <c r="B774" s="32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</row>
    <row r="775" spans="1:26" ht="14.25" customHeight="1">
      <c r="A775" s="32"/>
      <c r="B775" s="32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</row>
    <row r="776" spans="1:26" ht="14.25" customHeight="1">
      <c r="A776" s="32"/>
      <c r="B776" s="32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</row>
    <row r="777" spans="1:26" ht="14.25" customHeight="1">
      <c r="A777" s="32"/>
      <c r="B777" s="32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</row>
    <row r="778" spans="1:26" ht="14.25" customHeight="1">
      <c r="A778" s="32"/>
      <c r="B778" s="32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</row>
    <row r="779" spans="1:26" ht="14.25" customHeight="1">
      <c r="A779" s="32"/>
      <c r="B779" s="32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</row>
    <row r="780" spans="1:26" ht="14.25" customHeight="1">
      <c r="A780" s="32"/>
      <c r="B780" s="32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</row>
    <row r="781" spans="1:26" ht="14.25" customHeight="1">
      <c r="A781" s="32"/>
      <c r="B781" s="32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</row>
    <row r="782" spans="1:26" ht="14.25" customHeight="1">
      <c r="A782" s="32"/>
      <c r="B782" s="32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</row>
    <row r="783" spans="1:26" ht="14.25" customHeight="1">
      <c r="A783" s="32"/>
      <c r="B783" s="32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</row>
    <row r="784" spans="1:26" ht="14.25" customHeight="1">
      <c r="A784" s="32"/>
      <c r="B784" s="32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</row>
    <row r="785" spans="1:26" ht="14.25" customHeight="1">
      <c r="A785" s="32"/>
      <c r="B785" s="32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</row>
    <row r="786" spans="1:26" ht="14.25" customHeight="1">
      <c r="A786" s="32"/>
      <c r="B786" s="32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</row>
    <row r="787" spans="1:26" ht="14.25" customHeight="1">
      <c r="A787" s="32"/>
      <c r="B787" s="32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</row>
    <row r="788" spans="1:26" ht="14.25" customHeight="1">
      <c r="A788" s="32"/>
      <c r="B788" s="32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</row>
    <row r="789" spans="1:26" ht="14.25" customHeight="1">
      <c r="A789" s="32"/>
      <c r="B789" s="32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</row>
    <row r="790" spans="1:26" ht="14.25" customHeight="1">
      <c r="A790" s="32"/>
      <c r="B790" s="32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</row>
    <row r="791" spans="1:26" ht="14.25" customHeight="1">
      <c r="A791" s="32"/>
      <c r="B791" s="32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</row>
    <row r="792" spans="1:26" ht="14.25" customHeight="1">
      <c r="A792" s="32"/>
      <c r="B792" s="32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</row>
    <row r="793" spans="1:26" ht="14.25" customHeight="1">
      <c r="A793" s="32"/>
      <c r="B793" s="32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</row>
    <row r="794" spans="1:26" ht="14.25" customHeight="1">
      <c r="A794" s="32"/>
      <c r="B794" s="32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</row>
    <row r="795" spans="1:26" ht="14.25" customHeight="1">
      <c r="A795" s="32"/>
      <c r="B795" s="32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</row>
    <row r="796" spans="1:26" ht="14.25" customHeight="1">
      <c r="A796" s="32"/>
      <c r="B796" s="32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</row>
    <row r="797" spans="1:26" ht="14.25" customHeight="1">
      <c r="A797" s="32"/>
      <c r="B797" s="32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</row>
    <row r="798" spans="1:26" ht="14.25" customHeight="1">
      <c r="A798" s="32"/>
      <c r="B798" s="32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</row>
    <row r="799" spans="1:26" ht="14.25" customHeight="1">
      <c r="A799" s="32"/>
      <c r="B799" s="32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</row>
    <row r="800" spans="1:26" ht="14.25" customHeight="1">
      <c r="A800" s="32"/>
      <c r="B800" s="32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</row>
    <row r="801" spans="1:26" ht="14.25" customHeight="1">
      <c r="A801" s="32"/>
      <c r="B801" s="32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</row>
    <row r="802" spans="1:26" ht="14.25" customHeight="1">
      <c r="A802" s="32"/>
      <c r="B802" s="32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</row>
    <row r="803" spans="1:26" ht="14.25" customHeight="1">
      <c r="A803" s="32"/>
      <c r="B803" s="32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</row>
    <row r="804" spans="1:26" ht="14.25" customHeight="1">
      <c r="A804" s="32"/>
      <c r="B804" s="32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</row>
    <row r="805" spans="1:26" ht="14.25" customHeight="1">
      <c r="A805" s="32"/>
      <c r="B805" s="32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</row>
    <row r="806" spans="1:26" ht="14.25" customHeight="1">
      <c r="A806" s="32"/>
      <c r="B806" s="32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</row>
    <row r="807" spans="1:26" ht="14.25" customHeight="1">
      <c r="A807" s="32"/>
      <c r="B807" s="32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</row>
    <row r="808" spans="1:26" ht="14.25" customHeight="1">
      <c r="A808" s="32"/>
      <c r="B808" s="32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</row>
    <row r="809" spans="1:26" ht="14.25" customHeight="1">
      <c r="A809" s="32"/>
      <c r="B809" s="32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</row>
    <row r="810" spans="1:26" ht="14.25" customHeight="1">
      <c r="A810" s="32"/>
      <c r="B810" s="32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</row>
    <row r="811" spans="1:26" ht="14.25" customHeight="1">
      <c r="A811" s="32"/>
      <c r="B811" s="32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</row>
    <row r="812" spans="1:26" ht="14.25" customHeight="1">
      <c r="A812" s="32"/>
      <c r="B812" s="32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</row>
    <row r="813" spans="1:26" ht="14.25" customHeight="1">
      <c r="A813" s="32"/>
      <c r="B813" s="32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</row>
    <row r="814" spans="1:26" ht="14.25" customHeight="1">
      <c r="A814" s="32"/>
      <c r="B814" s="32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</row>
    <row r="815" spans="1:26" ht="14.25" customHeight="1">
      <c r="A815" s="32"/>
      <c r="B815" s="32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</row>
    <row r="816" spans="1:26" ht="14.25" customHeight="1">
      <c r="A816" s="32"/>
      <c r="B816" s="32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</row>
    <row r="817" spans="1:26" ht="14.25" customHeight="1">
      <c r="A817" s="32"/>
      <c r="B817" s="32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</row>
    <row r="818" spans="1:26" ht="14.25" customHeight="1">
      <c r="A818" s="32"/>
      <c r="B818" s="32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</row>
    <row r="819" spans="1:26" ht="14.25" customHeight="1">
      <c r="A819" s="32"/>
      <c r="B819" s="32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</row>
    <row r="820" spans="1:26" ht="14.25" customHeight="1">
      <c r="A820" s="32"/>
      <c r="B820" s="32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</row>
    <row r="821" spans="1:26" ht="14.25" customHeight="1">
      <c r="A821" s="32"/>
      <c r="B821" s="32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</row>
    <row r="822" spans="1:26" ht="14.25" customHeight="1">
      <c r="A822" s="32"/>
      <c r="B822" s="32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</row>
    <row r="823" spans="1:26" ht="14.25" customHeight="1">
      <c r="A823" s="32"/>
      <c r="B823" s="32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</row>
    <row r="824" spans="1:26" ht="14.25" customHeight="1">
      <c r="A824" s="32"/>
      <c r="B824" s="32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</row>
    <row r="825" spans="1:26" ht="14.25" customHeight="1">
      <c r="A825" s="32"/>
      <c r="B825" s="32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</row>
    <row r="826" spans="1:26" ht="14.25" customHeight="1">
      <c r="A826" s="32"/>
      <c r="B826" s="32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</row>
    <row r="827" spans="1:26" ht="14.25" customHeight="1">
      <c r="A827" s="32"/>
      <c r="B827" s="32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</row>
    <row r="828" spans="1:26" ht="14.25" customHeight="1">
      <c r="A828" s="32"/>
      <c r="B828" s="32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</row>
    <row r="829" spans="1:26" ht="14.25" customHeight="1">
      <c r="A829" s="32"/>
      <c r="B829" s="32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</row>
    <row r="830" spans="1:26" ht="14.25" customHeight="1">
      <c r="A830" s="32"/>
      <c r="B830" s="32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</row>
    <row r="831" spans="1:26" ht="14.25" customHeight="1">
      <c r="A831" s="32"/>
      <c r="B831" s="32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</row>
    <row r="832" spans="1:26" ht="14.25" customHeight="1">
      <c r="A832" s="32"/>
      <c r="B832" s="32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</row>
    <row r="833" spans="1:26" ht="14.25" customHeight="1">
      <c r="A833" s="32"/>
      <c r="B833" s="32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</row>
    <row r="834" spans="1:26" ht="14.25" customHeight="1">
      <c r="A834" s="32"/>
      <c r="B834" s="32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</row>
    <row r="835" spans="1:26" ht="14.25" customHeight="1">
      <c r="A835" s="32"/>
      <c r="B835" s="32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</row>
    <row r="836" spans="1:26" ht="14.25" customHeight="1">
      <c r="A836" s="32"/>
      <c r="B836" s="32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</row>
    <row r="837" spans="1:26" ht="14.25" customHeight="1">
      <c r="A837" s="32"/>
      <c r="B837" s="32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</row>
    <row r="838" spans="1:26" ht="14.25" customHeight="1">
      <c r="A838" s="32"/>
      <c r="B838" s="32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</row>
    <row r="839" spans="1:26" ht="14.25" customHeight="1">
      <c r="A839" s="32"/>
      <c r="B839" s="32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</row>
    <row r="840" spans="1:26" ht="14.25" customHeight="1">
      <c r="A840" s="32"/>
      <c r="B840" s="32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</row>
    <row r="841" spans="1:26" ht="14.25" customHeight="1">
      <c r="A841" s="32"/>
      <c r="B841" s="32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</row>
    <row r="842" spans="1:26" ht="14.25" customHeight="1">
      <c r="A842" s="32"/>
      <c r="B842" s="32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</row>
    <row r="843" spans="1:26" ht="14.25" customHeight="1">
      <c r="A843" s="32"/>
      <c r="B843" s="32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</row>
    <row r="844" spans="1:26" ht="14.25" customHeight="1">
      <c r="A844" s="32"/>
      <c r="B844" s="32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</row>
    <row r="845" spans="1:26" ht="14.25" customHeight="1">
      <c r="A845" s="32"/>
      <c r="B845" s="32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</row>
    <row r="846" spans="1:26" ht="14.25" customHeight="1">
      <c r="A846" s="32"/>
      <c r="B846" s="32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</row>
    <row r="847" spans="1:26" ht="14.25" customHeight="1">
      <c r="A847" s="32"/>
      <c r="B847" s="32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</row>
    <row r="848" spans="1:26" ht="14.25" customHeight="1">
      <c r="A848" s="32"/>
      <c r="B848" s="32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</row>
    <row r="849" spans="1:26" ht="14.25" customHeight="1">
      <c r="A849" s="32"/>
      <c r="B849" s="32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</row>
    <row r="850" spans="1:26" ht="14.25" customHeight="1">
      <c r="A850" s="32"/>
      <c r="B850" s="32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</row>
    <row r="851" spans="1:26" ht="14.25" customHeight="1">
      <c r="A851" s="32"/>
      <c r="B851" s="32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</row>
    <row r="852" spans="1:26" ht="14.25" customHeight="1">
      <c r="A852" s="32"/>
      <c r="B852" s="32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</row>
    <row r="853" spans="1:26" ht="14.25" customHeight="1">
      <c r="A853" s="32"/>
      <c r="B853" s="32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</row>
    <row r="854" spans="1:26" ht="14.25" customHeight="1">
      <c r="A854" s="32"/>
      <c r="B854" s="32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</row>
    <row r="855" spans="1:26" ht="14.25" customHeight="1">
      <c r="A855" s="32"/>
      <c r="B855" s="32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</row>
    <row r="856" spans="1:26" ht="14.25" customHeight="1">
      <c r="A856" s="32"/>
      <c r="B856" s="32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</row>
    <row r="857" spans="1:26" ht="14.25" customHeight="1">
      <c r="A857" s="32"/>
      <c r="B857" s="32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</row>
    <row r="858" spans="1:26" ht="14.25" customHeight="1">
      <c r="A858" s="32"/>
      <c r="B858" s="32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</row>
    <row r="859" spans="1:26" ht="14.25" customHeight="1">
      <c r="A859" s="32"/>
      <c r="B859" s="32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</row>
    <row r="860" spans="1:26" ht="14.25" customHeight="1">
      <c r="A860" s="32"/>
      <c r="B860" s="32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</row>
    <row r="861" spans="1:26" ht="14.25" customHeight="1">
      <c r="A861" s="32"/>
      <c r="B861" s="32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</row>
    <row r="862" spans="1:26" ht="14.25" customHeight="1">
      <c r="A862" s="32"/>
      <c r="B862" s="32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</row>
    <row r="863" spans="1:26" ht="14.25" customHeight="1">
      <c r="A863" s="32"/>
      <c r="B863" s="32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</row>
    <row r="864" spans="1:26" ht="14.25" customHeight="1">
      <c r="A864" s="32"/>
      <c r="B864" s="32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</row>
    <row r="865" spans="1:26" ht="14.25" customHeight="1">
      <c r="A865" s="32"/>
      <c r="B865" s="32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</row>
    <row r="866" spans="1:26" ht="14.25" customHeight="1">
      <c r="A866" s="32"/>
      <c r="B866" s="32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</row>
    <row r="867" spans="1:26" ht="14.25" customHeight="1">
      <c r="A867" s="32"/>
      <c r="B867" s="32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</row>
    <row r="868" spans="1:26" ht="14.25" customHeight="1">
      <c r="A868" s="32"/>
      <c r="B868" s="32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</row>
    <row r="869" spans="1:26" ht="14.25" customHeight="1">
      <c r="A869" s="32"/>
      <c r="B869" s="32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</row>
    <row r="870" spans="1:26" ht="14.25" customHeight="1">
      <c r="A870" s="32"/>
      <c r="B870" s="32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</row>
    <row r="871" spans="1:26" ht="14.25" customHeight="1">
      <c r="A871" s="32"/>
      <c r="B871" s="32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</row>
    <row r="872" spans="1:26" ht="14.25" customHeight="1">
      <c r="A872" s="32"/>
      <c r="B872" s="32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</row>
    <row r="873" spans="1:26" ht="14.25" customHeight="1">
      <c r="A873" s="32"/>
      <c r="B873" s="32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</row>
    <row r="874" spans="1:26" ht="14.25" customHeight="1">
      <c r="A874" s="32"/>
      <c r="B874" s="32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</row>
    <row r="875" spans="1:26" ht="14.25" customHeight="1">
      <c r="A875" s="32"/>
      <c r="B875" s="32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</row>
    <row r="876" spans="1:26" ht="14.25" customHeight="1">
      <c r="A876" s="32"/>
      <c r="B876" s="32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</row>
    <row r="877" spans="1:26" ht="14.25" customHeight="1">
      <c r="A877" s="32"/>
      <c r="B877" s="32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</row>
    <row r="878" spans="1:26" ht="14.25" customHeight="1">
      <c r="A878" s="32"/>
      <c r="B878" s="32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</row>
    <row r="879" spans="1:26" ht="14.25" customHeight="1">
      <c r="A879" s="32"/>
      <c r="B879" s="32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</row>
    <row r="880" spans="1:26" ht="14.25" customHeight="1">
      <c r="A880" s="32"/>
      <c r="B880" s="32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</row>
    <row r="881" spans="1:26" ht="14.25" customHeight="1">
      <c r="A881" s="32"/>
      <c r="B881" s="32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</row>
    <row r="882" spans="1:26" ht="14.25" customHeight="1">
      <c r="A882" s="32"/>
      <c r="B882" s="32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</row>
    <row r="883" spans="1:26" ht="14.25" customHeight="1">
      <c r="A883" s="32"/>
      <c r="B883" s="32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</row>
    <row r="884" spans="1:26" ht="14.25" customHeight="1">
      <c r="A884" s="32"/>
      <c r="B884" s="32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</row>
    <row r="885" spans="1:26" ht="14.25" customHeight="1">
      <c r="A885" s="32"/>
      <c r="B885" s="32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</row>
    <row r="886" spans="1:26" ht="14.25" customHeight="1">
      <c r="A886" s="32"/>
      <c r="B886" s="32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</row>
    <row r="887" spans="1:26" ht="14.25" customHeight="1">
      <c r="A887" s="32"/>
      <c r="B887" s="32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</row>
    <row r="888" spans="1:26" ht="14.25" customHeight="1">
      <c r="A888" s="32"/>
      <c r="B888" s="32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</row>
    <row r="889" spans="1:26" ht="14.25" customHeight="1">
      <c r="A889" s="32"/>
      <c r="B889" s="32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</row>
    <row r="890" spans="1:26" ht="14.25" customHeight="1">
      <c r="A890" s="32"/>
      <c r="B890" s="32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</row>
    <row r="891" spans="1:26" ht="14.25" customHeight="1">
      <c r="A891" s="32"/>
      <c r="B891" s="32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</row>
    <row r="892" spans="1:26" ht="14.25" customHeight="1">
      <c r="A892" s="32"/>
      <c r="B892" s="32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</row>
    <row r="893" spans="1:26" ht="14.25" customHeight="1">
      <c r="A893" s="32"/>
      <c r="B893" s="32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</row>
    <row r="894" spans="1:26" ht="14.25" customHeight="1">
      <c r="A894" s="32"/>
      <c r="B894" s="32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</row>
    <row r="895" spans="1:26" ht="14.25" customHeight="1">
      <c r="A895" s="32"/>
      <c r="B895" s="32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</row>
    <row r="896" spans="1:26" ht="14.25" customHeight="1">
      <c r="A896" s="32"/>
      <c r="B896" s="32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</row>
    <row r="897" spans="1:26" ht="14.25" customHeight="1">
      <c r="A897" s="32"/>
      <c r="B897" s="32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</row>
    <row r="898" spans="1:26" ht="14.25" customHeight="1">
      <c r="A898" s="32"/>
      <c r="B898" s="32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</row>
    <row r="899" spans="1:26" ht="14.25" customHeight="1">
      <c r="A899" s="32"/>
      <c r="B899" s="32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</row>
    <row r="900" spans="1:26" ht="14.25" customHeight="1">
      <c r="A900" s="32"/>
      <c r="B900" s="32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</row>
    <row r="901" spans="1:26" ht="14.25" customHeight="1">
      <c r="A901" s="32"/>
      <c r="B901" s="32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</row>
    <row r="902" spans="1:26" ht="14.25" customHeight="1">
      <c r="A902" s="32"/>
      <c r="B902" s="32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</row>
    <row r="903" spans="1:26" ht="14.25" customHeight="1">
      <c r="A903" s="32"/>
      <c r="B903" s="32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</row>
    <row r="904" spans="1:26" ht="14.25" customHeight="1">
      <c r="A904" s="32"/>
      <c r="B904" s="32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</row>
    <row r="905" spans="1:26" ht="14.25" customHeight="1">
      <c r="A905" s="32"/>
      <c r="B905" s="32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</row>
    <row r="906" spans="1:26" ht="14.25" customHeight="1">
      <c r="A906" s="32"/>
      <c r="B906" s="32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</row>
    <row r="907" spans="1:26" ht="14.25" customHeight="1">
      <c r="A907" s="32"/>
      <c r="B907" s="32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</row>
    <row r="908" spans="1:26" ht="14.25" customHeight="1">
      <c r="A908" s="32"/>
      <c r="B908" s="32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</row>
    <row r="909" spans="1:26" ht="14.25" customHeight="1">
      <c r="A909" s="32"/>
      <c r="B909" s="32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</row>
    <row r="910" spans="1:26" ht="14.25" customHeight="1">
      <c r="A910" s="32"/>
      <c r="B910" s="32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</row>
    <row r="911" spans="1:26" ht="14.25" customHeight="1">
      <c r="A911" s="32"/>
      <c r="B911" s="32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</row>
    <row r="912" spans="1:26" ht="14.25" customHeight="1">
      <c r="A912" s="32"/>
      <c r="B912" s="32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</row>
    <row r="913" spans="1:26" ht="14.25" customHeight="1">
      <c r="A913" s="32"/>
      <c r="B913" s="32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</row>
    <row r="914" spans="1:26" ht="14.25" customHeight="1">
      <c r="A914" s="32"/>
      <c r="B914" s="32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</row>
    <row r="915" spans="1:26" ht="14.25" customHeight="1">
      <c r="A915" s="32"/>
      <c r="B915" s="32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</row>
    <row r="916" spans="1:26" ht="14.25" customHeight="1">
      <c r="A916" s="32"/>
      <c r="B916" s="32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</row>
    <row r="917" spans="1:26" ht="14.25" customHeight="1">
      <c r="A917" s="32"/>
      <c r="B917" s="32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</row>
    <row r="918" spans="1:26" ht="14.25" customHeight="1">
      <c r="A918" s="32"/>
      <c r="B918" s="32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</row>
    <row r="919" spans="1:26" ht="14.25" customHeight="1">
      <c r="A919" s="32"/>
      <c r="B919" s="32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</row>
    <row r="920" spans="1:26" ht="14.25" customHeight="1">
      <c r="A920" s="32"/>
      <c r="B920" s="32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</row>
    <row r="921" spans="1:26" ht="14.25" customHeight="1">
      <c r="A921" s="32"/>
      <c r="B921" s="32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</row>
    <row r="922" spans="1:26" ht="14.25" customHeight="1">
      <c r="A922" s="32"/>
      <c r="B922" s="32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</row>
    <row r="923" spans="1:26" ht="14.25" customHeight="1">
      <c r="A923" s="32"/>
      <c r="B923" s="32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</row>
    <row r="924" spans="1:26" ht="14.25" customHeight="1">
      <c r="A924" s="32"/>
      <c r="B924" s="32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</row>
    <row r="925" spans="1:26" ht="14.25" customHeight="1">
      <c r="A925" s="32"/>
      <c r="B925" s="32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</row>
    <row r="926" spans="1:26" ht="14.25" customHeight="1">
      <c r="A926" s="32"/>
      <c r="B926" s="32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</row>
    <row r="927" spans="1:26" ht="14.25" customHeight="1">
      <c r="A927" s="32"/>
      <c r="B927" s="32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</row>
    <row r="928" spans="1:26" ht="14.25" customHeight="1">
      <c r="A928" s="32"/>
      <c r="B928" s="32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</row>
    <row r="929" spans="1:26" ht="14.25" customHeight="1">
      <c r="A929" s="32"/>
      <c r="B929" s="32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</row>
    <row r="930" spans="1:26" ht="14.25" customHeight="1">
      <c r="A930" s="32"/>
      <c r="B930" s="32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</row>
    <row r="931" spans="1:26" ht="14.25" customHeight="1">
      <c r="A931" s="32"/>
      <c r="B931" s="32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</row>
    <row r="932" spans="1:26" ht="14.25" customHeight="1">
      <c r="A932" s="32"/>
      <c r="B932" s="32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</row>
    <row r="933" spans="1:26" ht="14.25" customHeight="1">
      <c r="A933" s="32"/>
      <c r="B933" s="32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</row>
    <row r="934" spans="1:26" ht="14.25" customHeight="1">
      <c r="A934" s="32"/>
      <c r="B934" s="32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</row>
    <row r="935" spans="1:26" ht="14.25" customHeight="1">
      <c r="A935" s="32"/>
      <c r="B935" s="32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</row>
    <row r="936" spans="1:26" ht="14.25" customHeight="1">
      <c r="A936" s="32"/>
      <c r="B936" s="32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</row>
    <row r="937" spans="1:26" ht="14.25" customHeight="1">
      <c r="A937" s="32"/>
      <c r="B937" s="32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</row>
    <row r="938" spans="1:26" ht="14.25" customHeight="1">
      <c r="A938" s="32"/>
      <c r="B938" s="32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</row>
    <row r="939" spans="1:26" ht="14.25" customHeight="1">
      <c r="A939" s="32"/>
      <c r="B939" s="32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</row>
    <row r="940" spans="1:26" ht="14.25" customHeight="1">
      <c r="A940" s="32"/>
      <c r="B940" s="32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</row>
    <row r="941" spans="1:26" ht="14.25" customHeight="1">
      <c r="A941" s="32"/>
      <c r="B941" s="32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</row>
    <row r="942" spans="1:26" ht="14.25" customHeight="1">
      <c r="A942" s="32"/>
      <c r="B942" s="32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</row>
    <row r="943" spans="1:26" ht="14.25" customHeight="1">
      <c r="A943" s="32"/>
      <c r="B943" s="32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</row>
    <row r="944" spans="1:26" ht="14.25" customHeight="1">
      <c r="A944" s="32"/>
      <c r="B944" s="32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</row>
    <row r="945" spans="1:26" ht="14.25" customHeight="1">
      <c r="A945" s="32"/>
      <c r="B945" s="32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</row>
    <row r="946" spans="1:26" ht="14.25" customHeight="1">
      <c r="A946" s="32"/>
      <c r="B946" s="32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</row>
    <row r="947" spans="1:26" ht="14.25" customHeight="1">
      <c r="A947" s="32"/>
      <c r="B947" s="32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</row>
    <row r="948" spans="1:26" ht="14.25" customHeight="1">
      <c r="A948" s="32"/>
      <c r="B948" s="32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</row>
    <row r="949" spans="1:26" ht="14.25" customHeight="1">
      <c r="A949" s="32"/>
      <c r="B949" s="32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</row>
    <row r="950" spans="1:26" ht="14.25" customHeight="1">
      <c r="A950" s="32"/>
      <c r="B950" s="32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</row>
    <row r="951" spans="1:26" ht="14.25" customHeight="1">
      <c r="A951" s="32"/>
      <c r="B951" s="32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</row>
    <row r="952" spans="1:26" ht="14.25" customHeight="1">
      <c r="A952" s="32"/>
      <c r="B952" s="32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</row>
    <row r="953" spans="1:26" ht="14.25" customHeight="1">
      <c r="A953" s="32"/>
      <c r="B953" s="32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</row>
    <row r="954" spans="1:26" ht="14.25" customHeight="1">
      <c r="A954" s="32"/>
      <c r="B954" s="32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</row>
    <row r="955" spans="1:26" ht="14.25" customHeight="1">
      <c r="A955" s="32"/>
      <c r="B955" s="32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</row>
    <row r="956" spans="1:26" ht="14.25" customHeight="1">
      <c r="A956" s="32"/>
      <c r="B956" s="32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</row>
    <row r="957" spans="1:26" ht="14.25" customHeight="1">
      <c r="A957" s="32"/>
      <c r="B957" s="32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</row>
    <row r="958" spans="1:26" ht="14.25" customHeight="1">
      <c r="A958" s="32"/>
      <c r="B958" s="32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</row>
    <row r="959" spans="1:26" ht="14.25" customHeight="1">
      <c r="A959" s="32"/>
      <c r="B959" s="32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</row>
    <row r="960" spans="1:26" ht="14.25" customHeight="1">
      <c r="A960" s="32"/>
      <c r="B960" s="32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</row>
    <row r="961" spans="1:26" ht="14.25" customHeight="1">
      <c r="A961" s="32"/>
      <c r="B961" s="32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</row>
    <row r="962" spans="1:26" ht="14.25" customHeight="1">
      <c r="A962" s="32"/>
      <c r="B962" s="32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</row>
    <row r="963" spans="1:26" ht="14.25" customHeight="1">
      <c r="A963" s="32"/>
      <c r="B963" s="32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</row>
    <row r="964" spans="1:26" ht="14.25" customHeight="1">
      <c r="A964" s="32"/>
      <c r="B964" s="32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</row>
    <row r="965" spans="1:26" ht="14.25" customHeight="1">
      <c r="A965" s="32"/>
      <c r="B965" s="32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</row>
    <row r="966" spans="1:26" ht="14.25" customHeight="1">
      <c r="A966" s="32"/>
      <c r="B966" s="32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</row>
    <row r="967" spans="1:26" ht="14.25" customHeight="1">
      <c r="A967" s="32"/>
      <c r="B967" s="32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</row>
    <row r="968" spans="1:26" ht="14.25" customHeight="1">
      <c r="A968" s="32"/>
      <c r="B968" s="32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</row>
    <row r="969" spans="1:26" ht="14.25" customHeight="1">
      <c r="A969" s="32"/>
      <c r="B969" s="32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</row>
    <row r="970" spans="1:26" ht="14.25" customHeight="1">
      <c r="A970" s="32"/>
      <c r="B970" s="32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</row>
    <row r="971" spans="1:26" ht="14.25" customHeight="1">
      <c r="A971" s="32"/>
      <c r="B971" s="32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</row>
    <row r="972" spans="1:26" ht="14.25" customHeight="1">
      <c r="A972" s="32"/>
      <c r="B972" s="32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</row>
    <row r="973" spans="1:26" ht="14.25" customHeight="1">
      <c r="A973" s="32"/>
      <c r="B973" s="32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</row>
    <row r="974" spans="1:26" ht="14.25" customHeight="1">
      <c r="A974" s="32"/>
      <c r="B974" s="32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</row>
    <row r="975" spans="1:26" ht="14.25" customHeight="1">
      <c r="A975" s="32"/>
      <c r="B975" s="32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</row>
    <row r="976" spans="1:26" ht="14.25" customHeight="1">
      <c r="A976" s="32"/>
      <c r="B976" s="32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</row>
    <row r="977" spans="1:26" ht="14.25" customHeight="1">
      <c r="A977" s="32"/>
      <c r="B977" s="32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</row>
    <row r="978" spans="1:26" ht="14.25" customHeight="1">
      <c r="A978" s="32"/>
      <c r="B978" s="32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</row>
    <row r="979" spans="1:26" ht="14.25" customHeight="1">
      <c r="A979" s="32"/>
      <c r="B979" s="32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</row>
    <row r="980" spans="1:26" ht="14.25" customHeight="1">
      <c r="A980" s="32"/>
      <c r="B980" s="32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</row>
    <row r="981" spans="1:26" ht="14.25" customHeight="1">
      <c r="A981" s="32"/>
      <c r="B981" s="32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</row>
    <row r="982" spans="1:26" ht="14.25" customHeight="1">
      <c r="A982" s="32"/>
      <c r="B982" s="32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</row>
    <row r="983" spans="1:26" ht="14.25" customHeight="1">
      <c r="A983" s="32"/>
      <c r="B983" s="32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</row>
    <row r="984" spans="1:26" ht="14.25" customHeight="1">
      <c r="A984" s="32"/>
      <c r="B984" s="32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</row>
    <row r="985" spans="1:26" ht="14.25" customHeight="1">
      <c r="A985" s="32"/>
      <c r="B985" s="32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</row>
    <row r="986" spans="1:26" ht="14.25" customHeight="1">
      <c r="A986" s="32"/>
      <c r="B986" s="32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</row>
    <row r="987" spans="1:26" ht="14.25" customHeight="1">
      <c r="A987" s="32"/>
      <c r="B987" s="32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</row>
    <row r="988" spans="1:26" ht="14.25" customHeight="1">
      <c r="A988" s="32"/>
      <c r="B988" s="32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</row>
    <row r="989" spans="1:26" ht="14.25" customHeight="1">
      <c r="A989" s="32"/>
      <c r="B989" s="32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</row>
    <row r="990" spans="1:26" ht="14.25" customHeight="1">
      <c r="A990" s="32"/>
      <c r="B990" s="32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</row>
    <row r="991" spans="1:26" ht="14.25" customHeight="1">
      <c r="A991" s="32"/>
      <c r="B991" s="32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</row>
    <row r="992" spans="1:26" ht="14.25" customHeight="1">
      <c r="A992" s="32"/>
      <c r="B992" s="32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</row>
    <row r="993" spans="1:26" ht="14.25" customHeight="1">
      <c r="A993" s="32"/>
      <c r="B993" s="32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</row>
    <row r="994" spans="1:26" ht="14.25" customHeight="1">
      <c r="A994" s="32"/>
      <c r="B994" s="32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</row>
    <row r="995" spans="1:26" ht="14.25" customHeight="1">
      <c r="A995" s="32"/>
      <c r="B995" s="32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</row>
    <row r="996" spans="1:26" ht="14.25" customHeight="1">
      <c r="A996" s="32"/>
      <c r="B996" s="32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</row>
    <row r="997" spans="1:26" ht="14.25" customHeight="1">
      <c r="A997" s="32"/>
      <c r="B997" s="32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</row>
    <row r="998" spans="1:26" ht="14.25" customHeight="1">
      <c r="A998" s="32"/>
      <c r="B998" s="32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</row>
    <row r="999" spans="1:26" ht="14.25" customHeight="1">
      <c r="A999" s="32"/>
      <c r="B999" s="32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</row>
    <row r="1000" spans="1:26" ht="14.25" customHeight="1">
      <c r="A1000" s="32"/>
      <c r="B1000" s="32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A1:Z1000"/>
  <sheetViews>
    <sheetView tabSelected="1" workbookViewId="0">
      <selection activeCell="J3" sqref="J3"/>
    </sheetView>
  </sheetViews>
  <sheetFormatPr baseColWidth="10" defaultColWidth="12.59765625" defaultRowHeight="15" customHeight="1"/>
  <cols>
    <col min="1" max="1" width="12.8984375" customWidth="1"/>
    <col min="2" max="2" width="24.3984375" customWidth="1"/>
    <col min="3" max="8" width="12.8984375" customWidth="1"/>
    <col min="9" max="9" width="9.19921875" customWidth="1"/>
    <col min="10" max="26" width="8" customWidth="1"/>
  </cols>
  <sheetData>
    <row r="1" spans="1:26" ht="30.75" customHeight="1">
      <c r="A1" s="52" t="s">
        <v>471</v>
      </c>
      <c r="B1" s="52" t="s">
        <v>472</v>
      </c>
      <c r="C1" s="53" t="s">
        <v>473</v>
      </c>
      <c r="D1" s="53" t="s">
        <v>474</v>
      </c>
      <c r="E1" s="54" t="s">
        <v>475</v>
      </c>
      <c r="F1" s="54" t="s">
        <v>476</v>
      </c>
      <c r="G1" s="55" t="s">
        <v>477</v>
      </c>
      <c r="H1" s="55" t="s">
        <v>478</v>
      </c>
      <c r="I1" s="56" t="s">
        <v>479</v>
      </c>
      <c r="J1" s="56" t="s">
        <v>480</v>
      </c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</row>
    <row r="2" spans="1:26" ht="14.25" customHeight="1">
      <c r="A2" s="6">
        <v>3</v>
      </c>
      <c r="B2" s="2" t="s">
        <v>481</v>
      </c>
      <c r="C2" s="6">
        <v>0</v>
      </c>
      <c r="D2" s="58">
        <v>12</v>
      </c>
      <c r="E2" s="58">
        <v>12</v>
      </c>
      <c r="F2" s="6">
        <v>16</v>
      </c>
      <c r="G2" s="6">
        <v>16</v>
      </c>
      <c r="H2" s="6">
        <v>20</v>
      </c>
      <c r="I2" s="6">
        <v>20</v>
      </c>
      <c r="J2" s="6">
        <v>400</v>
      </c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spans="1:26" ht="14.25" customHeight="1">
      <c r="A3" s="32"/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 spans="1:26" ht="14.25" customHeight="1">
      <c r="A4" s="32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</row>
    <row r="5" spans="1:26" ht="14.25" customHeight="1">
      <c r="A5" s="32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</row>
    <row r="6" spans="1:26" ht="14.25" customHeight="1">
      <c r="A6" s="32"/>
      <c r="B6" s="32"/>
      <c r="C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</row>
    <row r="7" spans="1:26" ht="14.25" customHeight="1">
      <c r="A7" s="32"/>
      <c r="B7" s="32"/>
      <c r="C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</row>
    <row r="8" spans="1:26" ht="14.25" customHeight="1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 spans="1:26" ht="14.25" customHeight="1">
      <c r="A9" s="32"/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</row>
    <row r="10" spans="1:26" ht="14.25" customHeight="1">
      <c r="A10" s="32"/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spans="1:26" ht="14.25" customHeight="1">
      <c r="A11" s="32"/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</row>
    <row r="12" spans="1:26" ht="14.25" customHeight="1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</row>
    <row r="13" spans="1:26" ht="14.25" customHeight="1">
      <c r="A13" s="32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</row>
    <row r="14" spans="1:26" ht="14.25" customHeight="1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</row>
    <row r="15" spans="1:26" ht="14.25" customHeight="1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4.25" customHeight="1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4.25" customHeigh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4.25" customHeigh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4.25" customHeigh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4.25" customHeigh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</row>
    <row r="21" spans="1:26" ht="14.25" customHeigh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</row>
    <row r="22" spans="1:26" ht="14.25" customHeigh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</row>
    <row r="23" spans="1:26" ht="14.25" customHeigh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</row>
    <row r="24" spans="1:26" ht="14.25" customHeigh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</row>
    <row r="25" spans="1:26" ht="14.25" customHeigh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</row>
    <row r="26" spans="1:26" ht="14.25" customHeigh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</row>
    <row r="27" spans="1:26" ht="14.25" customHeigh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</row>
    <row r="28" spans="1:26" ht="14.25" customHeight="1">
      <c r="A28" s="32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</row>
    <row r="29" spans="1:26" ht="14.25" customHeight="1">
      <c r="A29" s="32"/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</row>
    <row r="30" spans="1:26" ht="14.25" customHeight="1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</row>
    <row r="31" spans="1:26" ht="14.25" customHeight="1">
      <c r="A31" s="32"/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</row>
    <row r="32" spans="1:26" ht="14.25" customHeight="1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</row>
    <row r="33" spans="1:26" ht="14.25" customHeight="1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1:26" ht="14.25" customHeigh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</row>
    <row r="35" spans="1:26" ht="14.25" customHeigh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</row>
    <row r="36" spans="1:26" ht="14.25" customHeigh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</row>
    <row r="37" spans="1:26" ht="14.25" customHeigh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</row>
    <row r="38" spans="1:26" ht="14.25" customHeigh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</row>
    <row r="39" spans="1:26" ht="14.25" customHeight="1">
      <c r="A39" s="32"/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</row>
    <row r="40" spans="1:26" ht="14.25" customHeight="1">
      <c r="A40" s="32"/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</row>
    <row r="41" spans="1:26" ht="14.25" customHeight="1">
      <c r="A41" s="32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</row>
    <row r="42" spans="1:26" ht="14.25" customHeight="1">
      <c r="A42" s="32"/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</row>
    <row r="43" spans="1:26" ht="14.25" customHeight="1">
      <c r="A43" s="32"/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</row>
    <row r="44" spans="1:26" ht="14.25" customHeight="1">
      <c r="A44" s="32"/>
      <c r="B44" s="32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</row>
    <row r="45" spans="1:26" ht="14.25" customHeight="1">
      <c r="A45" s="32"/>
      <c r="B45" s="32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</row>
    <row r="46" spans="1:26" ht="14.25" customHeight="1">
      <c r="A46" s="32"/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</row>
    <row r="47" spans="1:26" ht="14.25" customHeight="1">
      <c r="A47" s="32"/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</row>
    <row r="48" spans="1:26" ht="14.25" customHeight="1">
      <c r="A48" s="32"/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</row>
    <row r="49" spans="1:26" ht="14.25" customHeight="1">
      <c r="A49" s="32"/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</row>
    <row r="50" spans="1:26" ht="14.25" customHeight="1">
      <c r="A50" s="32"/>
      <c r="B50" s="32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</row>
    <row r="51" spans="1:26" ht="14.25" customHeight="1">
      <c r="A51" s="32"/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</row>
    <row r="52" spans="1:26" ht="14.25" customHeight="1">
      <c r="A52" s="32"/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</row>
    <row r="53" spans="1:26" ht="14.25" customHeight="1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</row>
    <row r="54" spans="1:26" ht="14.25" customHeight="1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</row>
    <row r="55" spans="1:26" ht="14.25" customHeight="1">
      <c r="A55" s="32"/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</row>
    <row r="56" spans="1:26" ht="14.25" customHeight="1">
      <c r="A56" s="32"/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</row>
    <row r="57" spans="1:26" ht="14.25" customHeight="1">
      <c r="A57" s="32"/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</row>
    <row r="58" spans="1:26" ht="14.25" customHeight="1">
      <c r="A58" s="32"/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</row>
    <row r="59" spans="1:26" ht="14.25" customHeight="1">
      <c r="A59" s="32"/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</row>
    <row r="60" spans="1:26" ht="14.25" customHeight="1">
      <c r="A60" s="32"/>
      <c r="B60" s="32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</row>
    <row r="61" spans="1:26" ht="14.25" customHeight="1">
      <c r="A61" s="32"/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</row>
    <row r="62" spans="1:26" ht="14.25" customHeight="1">
      <c r="A62" s="32"/>
      <c r="B62" s="32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</row>
    <row r="63" spans="1:26" ht="14.25" customHeight="1">
      <c r="A63" s="32"/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</row>
    <row r="64" spans="1:26" ht="14.25" customHeight="1">
      <c r="A64" s="32"/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</row>
    <row r="65" spans="1:26" ht="14.25" customHeight="1">
      <c r="A65" s="32"/>
      <c r="B65" s="32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</row>
    <row r="66" spans="1:26" ht="14.25" customHeight="1">
      <c r="A66" s="32"/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</row>
    <row r="67" spans="1:26" ht="14.25" customHeight="1">
      <c r="A67" s="32"/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</row>
    <row r="68" spans="1:26" ht="14.25" customHeight="1">
      <c r="A68" s="32"/>
      <c r="B68" s="32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</row>
    <row r="69" spans="1:26" ht="14.25" customHeight="1">
      <c r="A69" s="32"/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</row>
    <row r="70" spans="1:26" ht="14.25" customHeight="1">
      <c r="A70" s="32"/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</row>
    <row r="71" spans="1:26" ht="14.25" customHeight="1">
      <c r="A71" s="32"/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</row>
    <row r="72" spans="1:26" ht="14.25" customHeight="1">
      <c r="A72" s="32"/>
      <c r="B72" s="32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</row>
    <row r="73" spans="1:26" ht="14.25" customHeight="1">
      <c r="A73" s="32"/>
      <c r="B73" s="32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</row>
    <row r="74" spans="1:26" ht="14.25" customHeight="1">
      <c r="A74" s="32"/>
      <c r="B74" s="32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</row>
    <row r="75" spans="1:26" ht="14.25" customHeight="1">
      <c r="A75" s="32"/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</row>
    <row r="76" spans="1:26" ht="14.25" customHeight="1">
      <c r="A76" s="32"/>
      <c r="B76" s="32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</row>
    <row r="77" spans="1:26" ht="14.25" customHeight="1">
      <c r="A77" s="32"/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</row>
    <row r="78" spans="1:26" ht="14.25" customHeight="1">
      <c r="A78" s="32"/>
      <c r="B78" s="32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</row>
    <row r="79" spans="1:26" ht="14.25" customHeight="1">
      <c r="A79" s="32"/>
      <c r="B79" s="32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</row>
    <row r="80" spans="1:26" ht="14.25" customHeight="1">
      <c r="A80" s="32"/>
      <c r="B80" s="32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</row>
    <row r="81" spans="1:26" ht="14.25" customHeight="1">
      <c r="A81" s="32"/>
      <c r="B81" s="32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</row>
    <row r="82" spans="1:26" ht="14.25" customHeight="1">
      <c r="A82" s="32"/>
      <c r="B82" s="32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</row>
    <row r="83" spans="1:26" ht="14.25" customHeight="1">
      <c r="A83" s="32"/>
      <c r="B83" s="32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</row>
    <row r="84" spans="1:26" ht="14.25" customHeight="1">
      <c r="A84" s="32"/>
      <c r="B84" s="32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</row>
    <row r="85" spans="1:26" ht="14.25" customHeight="1">
      <c r="A85" s="32"/>
      <c r="B85" s="32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</row>
    <row r="86" spans="1:26" ht="14.25" customHeight="1">
      <c r="A86" s="32"/>
      <c r="B86" s="32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</row>
    <row r="87" spans="1:26" ht="14.25" customHeight="1">
      <c r="A87" s="32"/>
      <c r="B87" s="32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</row>
    <row r="88" spans="1:26" ht="14.25" customHeight="1">
      <c r="A88" s="32"/>
      <c r="B88" s="32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</row>
    <row r="89" spans="1:26" ht="14.25" customHeight="1">
      <c r="A89" s="32"/>
      <c r="B89" s="32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</row>
    <row r="90" spans="1:26" ht="14.25" customHeight="1">
      <c r="A90" s="32"/>
      <c r="B90" s="32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</row>
    <row r="91" spans="1:26" ht="14.25" customHeight="1">
      <c r="A91" s="32"/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</row>
    <row r="92" spans="1:26" ht="14.25" customHeight="1">
      <c r="A92" s="32"/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</row>
    <row r="93" spans="1:26" ht="14.25" customHeight="1">
      <c r="A93" s="32"/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</row>
    <row r="94" spans="1:26" ht="14.25" customHeight="1">
      <c r="A94" s="32"/>
      <c r="B94" s="32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</row>
    <row r="95" spans="1:26" ht="14.25" customHeight="1">
      <c r="A95" s="32"/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</row>
    <row r="96" spans="1:26" ht="14.25" customHeight="1">
      <c r="A96" s="32"/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</row>
    <row r="97" spans="1:26" ht="14.25" customHeight="1">
      <c r="A97" s="32"/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</row>
    <row r="98" spans="1:26" ht="14.25" customHeight="1">
      <c r="A98" s="32"/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</row>
    <row r="99" spans="1:26" ht="14.25" customHeight="1">
      <c r="A99" s="32"/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</row>
    <row r="100" spans="1:26" ht="14.25" customHeight="1">
      <c r="A100" s="32"/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</row>
    <row r="101" spans="1:26" ht="14.25" customHeight="1">
      <c r="A101" s="32"/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</row>
    <row r="102" spans="1:26" ht="14.25" customHeight="1">
      <c r="A102" s="32"/>
      <c r="B102" s="32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</row>
    <row r="103" spans="1:26" ht="14.25" customHeight="1">
      <c r="A103" s="32"/>
      <c r="B103" s="32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</row>
    <row r="104" spans="1:26" ht="14.25" customHeight="1">
      <c r="A104" s="32"/>
      <c r="B104" s="32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</row>
    <row r="105" spans="1:26" ht="14.25" customHeight="1">
      <c r="A105" s="32"/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</row>
    <row r="106" spans="1:26" ht="14.25" customHeight="1">
      <c r="A106" s="32"/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</row>
    <row r="107" spans="1:26" ht="14.25" customHeight="1">
      <c r="A107" s="32"/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</row>
    <row r="108" spans="1:26" ht="14.25" customHeight="1">
      <c r="A108" s="32"/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</row>
    <row r="109" spans="1:26" ht="14.25" customHeight="1">
      <c r="A109" s="32"/>
      <c r="B109" s="32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</row>
    <row r="110" spans="1:26" ht="14.25" customHeight="1">
      <c r="A110" s="32"/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</row>
    <row r="111" spans="1:26" ht="14.25" customHeight="1">
      <c r="A111" s="32"/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</row>
    <row r="112" spans="1:26" ht="14.25" customHeight="1">
      <c r="A112" s="32"/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</row>
    <row r="113" spans="1:26" ht="14.25" customHeight="1">
      <c r="A113" s="32"/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</row>
    <row r="114" spans="1:26" ht="14.25" customHeight="1">
      <c r="A114" s="32"/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</row>
    <row r="115" spans="1:26" ht="14.25" customHeight="1">
      <c r="A115" s="32"/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</row>
    <row r="116" spans="1:26" ht="14.25" customHeight="1">
      <c r="A116" s="32"/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</row>
    <row r="117" spans="1:26" ht="14.25" customHeight="1">
      <c r="A117" s="32"/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</row>
    <row r="118" spans="1:26" ht="14.25" customHeight="1">
      <c r="A118" s="32"/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</row>
    <row r="119" spans="1:26" ht="14.25" customHeight="1">
      <c r="A119" s="32"/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</row>
    <row r="120" spans="1:26" ht="14.25" customHeight="1">
      <c r="A120" s="32"/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</row>
    <row r="121" spans="1:26" ht="14.25" customHeight="1">
      <c r="A121" s="32"/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</row>
    <row r="122" spans="1:26" ht="14.25" customHeight="1">
      <c r="A122" s="32"/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</row>
    <row r="123" spans="1:26" ht="14.25" customHeight="1">
      <c r="A123" s="32"/>
      <c r="B123" s="32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</row>
    <row r="124" spans="1:26" ht="14.25" customHeight="1">
      <c r="A124" s="32"/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</row>
    <row r="125" spans="1:26" ht="14.25" customHeight="1">
      <c r="A125" s="32"/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</row>
    <row r="126" spans="1:26" ht="14.25" customHeight="1">
      <c r="A126" s="32"/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</row>
    <row r="127" spans="1:26" ht="14.25" customHeight="1">
      <c r="A127" s="32"/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</row>
    <row r="128" spans="1:26" ht="14.25" customHeight="1">
      <c r="A128" s="32"/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</row>
    <row r="129" spans="1:26" ht="14.25" customHeight="1">
      <c r="A129" s="32"/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</row>
    <row r="130" spans="1:26" ht="14.25" customHeight="1">
      <c r="A130" s="32"/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</row>
    <row r="131" spans="1:26" ht="14.25" customHeight="1">
      <c r="A131" s="32"/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</row>
    <row r="132" spans="1:26" ht="14.25" customHeight="1">
      <c r="A132" s="32"/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</row>
    <row r="133" spans="1:26" ht="14.25" customHeight="1">
      <c r="A133" s="32"/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</row>
    <row r="134" spans="1:26" ht="14.25" customHeight="1">
      <c r="A134" s="32"/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</row>
    <row r="135" spans="1:26" ht="14.25" customHeight="1">
      <c r="A135" s="32"/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</row>
    <row r="136" spans="1:26" ht="14.25" customHeight="1">
      <c r="A136" s="32"/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</row>
    <row r="137" spans="1:26" ht="14.25" customHeight="1">
      <c r="A137" s="32"/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</row>
    <row r="138" spans="1:26" ht="14.25" customHeight="1">
      <c r="A138" s="32"/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</row>
    <row r="139" spans="1:26" ht="14.25" customHeight="1">
      <c r="A139" s="32"/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</row>
    <row r="140" spans="1:26" ht="14.25" customHeight="1">
      <c r="A140" s="32"/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</row>
    <row r="141" spans="1:26" ht="14.25" customHeight="1">
      <c r="A141" s="32"/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</row>
    <row r="142" spans="1:26" ht="14.25" customHeight="1">
      <c r="A142" s="32"/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</row>
    <row r="143" spans="1:26" ht="14.25" customHeight="1">
      <c r="A143" s="32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</row>
    <row r="144" spans="1:26" ht="14.25" customHeight="1">
      <c r="A144" s="32"/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</row>
    <row r="145" spans="1:26" ht="14.25" customHeight="1">
      <c r="A145" s="32"/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</row>
    <row r="146" spans="1:26" ht="14.25" customHeight="1">
      <c r="A146" s="32"/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</row>
    <row r="147" spans="1:26" ht="14.25" customHeight="1">
      <c r="A147" s="32"/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</row>
    <row r="148" spans="1:26" ht="14.25" customHeight="1">
      <c r="A148" s="32"/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</row>
    <row r="149" spans="1:26" ht="14.25" customHeight="1">
      <c r="A149" s="32"/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</row>
    <row r="150" spans="1:26" ht="14.25" customHeight="1">
      <c r="A150" s="32"/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</row>
    <row r="151" spans="1:26" ht="14.25" customHeight="1">
      <c r="A151" s="32"/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</row>
    <row r="152" spans="1:26" ht="14.25" customHeight="1">
      <c r="A152" s="32"/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</row>
    <row r="153" spans="1:26" ht="14.25" customHeight="1">
      <c r="A153" s="32"/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</row>
    <row r="154" spans="1:26" ht="14.25" customHeight="1">
      <c r="A154" s="32"/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</row>
    <row r="155" spans="1:26" ht="14.25" customHeight="1">
      <c r="A155" s="32"/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</row>
    <row r="156" spans="1:26" ht="14.25" customHeight="1">
      <c r="A156" s="32"/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</row>
    <row r="157" spans="1:26" ht="14.25" customHeight="1">
      <c r="A157" s="32"/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</row>
    <row r="158" spans="1:26" ht="14.25" customHeight="1">
      <c r="A158" s="32"/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</row>
    <row r="159" spans="1:26" ht="14.25" customHeight="1">
      <c r="A159" s="32"/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</row>
    <row r="160" spans="1:26" ht="14.25" customHeight="1">
      <c r="A160" s="32"/>
      <c r="B160" s="32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</row>
    <row r="161" spans="1:26" ht="14.25" customHeight="1">
      <c r="A161" s="32"/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</row>
    <row r="162" spans="1:26" ht="14.25" customHeight="1">
      <c r="A162" s="32"/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</row>
    <row r="163" spans="1:26" ht="14.25" customHeight="1">
      <c r="A163" s="32"/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</row>
    <row r="164" spans="1:26" ht="14.25" customHeight="1">
      <c r="A164" s="32"/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</row>
    <row r="165" spans="1:26" ht="14.25" customHeight="1">
      <c r="A165" s="32"/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</row>
    <row r="166" spans="1:26" ht="14.25" customHeight="1">
      <c r="A166" s="32"/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</row>
    <row r="167" spans="1:26" ht="14.25" customHeight="1">
      <c r="A167" s="32"/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</row>
    <row r="168" spans="1:26" ht="14.25" customHeight="1">
      <c r="A168" s="32"/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</row>
    <row r="169" spans="1:26" ht="14.25" customHeight="1">
      <c r="A169" s="32"/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</row>
    <row r="170" spans="1:26" ht="14.25" customHeight="1">
      <c r="A170" s="32"/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</row>
    <row r="171" spans="1:26" ht="14.25" customHeight="1">
      <c r="A171" s="32"/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</row>
    <row r="172" spans="1:26" ht="14.25" customHeight="1">
      <c r="A172" s="32"/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</row>
    <row r="173" spans="1:26" ht="14.25" customHeight="1">
      <c r="A173" s="32"/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</row>
    <row r="174" spans="1:26" ht="14.25" customHeight="1">
      <c r="A174" s="32"/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</row>
    <row r="175" spans="1:26" ht="14.25" customHeight="1">
      <c r="A175" s="32"/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</row>
    <row r="176" spans="1:26" ht="14.25" customHeight="1">
      <c r="A176" s="32"/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</row>
    <row r="177" spans="1:26" ht="14.25" customHeight="1">
      <c r="A177" s="32"/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</row>
    <row r="178" spans="1:26" ht="14.25" customHeight="1">
      <c r="A178" s="32"/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</row>
    <row r="179" spans="1:26" ht="14.25" customHeight="1">
      <c r="A179" s="32"/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</row>
    <row r="180" spans="1:26" ht="14.25" customHeight="1">
      <c r="A180" s="32"/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</row>
    <row r="181" spans="1:26" ht="14.25" customHeight="1">
      <c r="A181" s="32"/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</row>
    <row r="182" spans="1:26" ht="14.25" customHeight="1">
      <c r="A182" s="32"/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</row>
    <row r="183" spans="1:26" ht="14.25" customHeight="1">
      <c r="A183" s="32"/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</row>
    <row r="184" spans="1:26" ht="14.25" customHeight="1">
      <c r="A184" s="32"/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</row>
    <row r="185" spans="1:26" ht="14.25" customHeight="1">
      <c r="A185" s="32"/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</row>
    <row r="186" spans="1:26" ht="14.25" customHeight="1">
      <c r="A186" s="32"/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</row>
    <row r="187" spans="1:26" ht="14.25" customHeight="1">
      <c r="A187" s="32"/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</row>
    <row r="188" spans="1:26" ht="14.25" customHeight="1">
      <c r="A188" s="32"/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</row>
    <row r="189" spans="1:26" ht="14.25" customHeight="1">
      <c r="A189" s="32"/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</row>
    <row r="190" spans="1:26" ht="14.25" customHeight="1">
      <c r="A190" s="32"/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</row>
    <row r="191" spans="1:26" ht="14.25" customHeight="1">
      <c r="A191" s="32"/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</row>
    <row r="192" spans="1:26" ht="14.25" customHeight="1">
      <c r="A192" s="32"/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</row>
    <row r="193" spans="1:26" ht="14.25" customHeight="1">
      <c r="A193" s="32"/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</row>
    <row r="194" spans="1:26" ht="14.25" customHeight="1">
      <c r="A194" s="32"/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</row>
    <row r="195" spans="1:26" ht="14.25" customHeight="1">
      <c r="A195" s="32"/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</row>
    <row r="196" spans="1:26" ht="14.25" customHeight="1">
      <c r="A196" s="32"/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</row>
    <row r="197" spans="1:26" ht="14.25" customHeight="1">
      <c r="A197" s="32"/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</row>
    <row r="198" spans="1:26" ht="14.25" customHeight="1">
      <c r="A198" s="32"/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</row>
    <row r="199" spans="1:26" ht="14.25" customHeight="1">
      <c r="A199" s="32"/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</row>
    <row r="200" spans="1:26" ht="14.25" customHeight="1">
      <c r="A200" s="32"/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</row>
    <row r="201" spans="1:26" ht="14.25" customHeight="1">
      <c r="A201" s="32"/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</row>
    <row r="202" spans="1:26" ht="14.25" customHeight="1">
      <c r="A202" s="32"/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</row>
    <row r="203" spans="1:26" ht="14.25" customHeight="1">
      <c r="A203" s="32"/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</row>
    <row r="204" spans="1:26" ht="14.25" customHeight="1">
      <c r="A204" s="32"/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</row>
    <row r="205" spans="1:26" ht="14.25" customHeight="1">
      <c r="A205" s="32"/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</row>
    <row r="206" spans="1:26" ht="14.25" customHeight="1">
      <c r="A206" s="32"/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</row>
    <row r="207" spans="1:26" ht="14.25" customHeight="1">
      <c r="A207" s="32"/>
      <c r="B207" s="32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</row>
    <row r="208" spans="1:26" ht="14.25" customHeight="1">
      <c r="A208" s="32"/>
      <c r="B208" s="32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</row>
    <row r="209" spans="1:26" ht="14.25" customHeight="1">
      <c r="A209" s="32"/>
      <c r="B209" s="32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</row>
    <row r="210" spans="1:26" ht="14.25" customHeight="1">
      <c r="A210" s="32"/>
      <c r="B210" s="32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</row>
    <row r="211" spans="1:26" ht="14.25" customHeight="1">
      <c r="A211" s="32"/>
      <c r="B211" s="32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</row>
    <row r="212" spans="1:26" ht="14.25" customHeight="1">
      <c r="A212" s="32"/>
      <c r="B212" s="32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</row>
    <row r="213" spans="1:26" ht="14.25" customHeight="1">
      <c r="A213" s="32"/>
      <c r="B213" s="32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</row>
    <row r="214" spans="1:26" ht="14.25" customHeight="1">
      <c r="A214" s="32"/>
      <c r="B214" s="32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</row>
    <row r="215" spans="1:26" ht="14.25" customHeight="1">
      <c r="A215" s="32"/>
      <c r="B215" s="32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</row>
    <row r="216" spans="1:26" ht="14.25" customHeight="1">
      <c r="A216" s="32"/>
      <c r="B216" s="32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</row>
    <row r="217" spans="1:26" ht="14.25" customHeight="1">
      <c r="A217" s="32"/>
      <c r="B217" s="32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</row>
    <row r="218" spans="1:26" ht="14.25" customHeight="1">
      <c r="A218" s="32"/>
      <c r="B218" s="32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</row>
    <row r="219" spans="1:26" ht="14.25" customHeight="1">
      <c r="A219" s="32"/>
      <c r="B219" s="32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</row>
    <row r="220" spans="1:26" ht="14.25" customHeight="1">
      <c r="A220" s="32"/>
      <c r="B220" s="32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</row>
    <row r="221" spans="1:26" ht="14.25" customHeight="1">
      <c r="A221" s="32"/>
      <c r="B221" s="32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</row>
    <row r="222" spans="1:26" ht="14.25" customHeight="1">
      <c r="A222" s="32"/>
      <c r="B222" s="32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</row>
    <row r="223" spans="1:26" ht="14.25" customHeight="1">
      <c r="A223" s="32"/>
      <c r="B223" s="32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</row>
    <row r="224" spans="1:26" ht="14.25" customHeight="1">
      <c r="A224" s="32"/>
      <c r="B224" s="32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</row>
    <row r="225" spans="1:26" ht="14.25" customHeight="1">
      <c r="A225" s="32"/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</row>
    <row r="226" spans="1:26" ht="14.25" customHeight="1">
      <c r="A226" s="32"/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</row>
    <row r="227" spans="1:26" ht="14.25" customHeight="1">
      <c r="A227" s="32"/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</row>
    <row r="228" spans="1:26" ht="14.25" customHeight="1">
      <c r="A228" s="32"/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</row>
    <row r="229" spans="1:26" ht="14.25" customHeight="1">
      <c r="A229" s="32"/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</row>
    <row r="230" spans="1:26" ht="14.25" customHeight="1">
      <c r="A230" s="32"/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</row>
    <row r="231" spans="1:26" ht="14.25" customHeight="1">
      <c r="A231" s="32"/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</row>
    <row r="232" spans="1:26" ht="14.25" customHeight="1">
      <c r="A232" s="32"/>
      <c r="B232" s="32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</row>
    <row r="233" spans="1:26" ht="14.25" customHeight="1">
      <c r="A233" s="32"/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</row>
    <row r="234" spans="1:26" ht="14.25" customHeight="1">
      <c r="A234" s="32"/>
      <c r="B234" s="32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</row>
    <row r="235" spans="1:26" ht="14.25" customHeight="1">
      <c r="A235" s="32"/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</row>
    <row r="236" spans="1:26" ht="14.25" customHeight="1">
      <c r="A236" s="32"/>
      <c r="B236" s="32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</row>
    <row r="237" spans="1:26" ht="14.25" customHeight="1">
      <c r="A237" s="32"/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</row>
    <row r="238" spans="1:26" ht="14.25" customHeight="1">
      <c r="A238" s="32"/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</row>
    <row r="239" spans="1:26" ht="14.25" customHeight="1">
      <c r="A239" s="32"/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</row>
    <row r="240" spans="1:26" ht="14.25" customHeight="1">
      <c r="A240" s="32"/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</row>
    <row r="241" spans="1:26" ht="14.25" customHeight="1">
      <c r="A241" s="32"/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</row>
    <row r="242" spans="1:26" ht="14.25" customHeight="1">
      <c r="A242" s="32"/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</row>
    <row r="243" spans="1:26" ht="14.25" customHeight="1">
      <c r="A243" s="32"/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</row>
    <row r="244" spans="1:26" ht="14.25" customHeight="1">
      <c r="A244" s="32"/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</row>
    <row r="245" spans="1:26" ht="14.25" customHeight="1">
      <c r="A245" s="32"/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</row>
    <row r="246" spans="1:26" ht="14.25" customHeight="1">
      <c r="A246" s="32"/>
      <c r="B246" s="32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</row>
    <row r="247" spans="1:26" ht="14.25" customHeight="1">
      <c r="A247" s="32"/>
      <c r="B247" s="32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</row>
    <row r="248" spans="1:26" ht="14.25" customHeight="1">
      <c r="A248" s="32"/>
      <c r="B248" s="32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</row>
    <row r="249" spans="1:26" ht="14.25" customHeight="1">
      <c r="A249" s="32"/>
      <c r="B249" s="32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</row>
    <row r="250" spans="1:26" ht="14.25" customHeight="1">
      <c r="A250" s="32"/>
      <c r="B250" s="32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</row>
    <row r="251" spans="1:26" ht="14.25" customHeight="1">
      <c r="A251" s="32"/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</row>
    <row r="252" spans="1:26" ht="14.25" customHeight="1">
      <c r="A252" s="32"/>
      <c r="B252" s="32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</row>
    <row r="253" spans="1:26" ht="14.25" customHeight="1">
      <c r="A253" s="32"/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</row>
    <row r="254" spans="1:26" ht="14.25" customHeight="1">
      <c r="A254" s="32"/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</row>
    <row r="255" spans="1:26" ht="14.25" customHeight="1">
      <c r="A255" s="32"/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</row>
    <row r="256" spans="1:26" ht="14.25" customHeight="1">
      <c r="A256" s="32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</row>
    <row r="257" spans="1:26" ht="14.25" customHeight="1">
      <c r="A257" s="32"/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</row>
    <row r="258" spans="1:26" ht="14.25" customHeight="1">
      <c r="A258" s="32"/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</row>
    <row r="259" spans="1:26" ht="14.25" customHeight="1">
      <c r="A259" s="32"/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</row>
    <row r="260" spans="1:26" ht="14.25" customHeight="1">
      <c r="A260" s="32"/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</row>
    <row r="261" spans="1:26" ht="14.25" customHeight="1">
      <c r="A261" s="32"/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</row>
    <row r="262" spans="1:26" ht="14.25" customHeight="1">
      <c r="A262" s="32"/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</row>
    <row r="263" spans="1:26" ht="14.25" customHeight="1">
      <c r="A263" s="32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</row>
    <row r="264" spans="1:26" ht="14.25" customHeight="1">
      <c r="A264" s="32"/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</row>
    <row r="265" spans="1:26" ht="14.25" customHeight="1">
      <c r="A265" s="32"/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</row>
    <row r="266" spans="1:26" ht="14.25" customHeight="1">
      <c r="A266" s="32"/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</row>
    <row r="267" spans="1:26" ht="14.25" customHeight="1">
      <c r="A267" s="32"/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</row>
    <row r="268" spans="1:26" ht="14.25" customHeight="1">
      <c r="A268" s="32"/>
      <c r="B268" s="32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</row>
    <row r="269" spans="1:26" ht="14.25" customHeight="1">
      <c r="A269" s="32"/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</row>
    <row r="270" spans="1:26" ht="14.25" customHeight="1">
      <c r="A270" s="32"/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</row>
    <row r="271" spans="1:26" ht="14.25" customHeight="1">
      <c r="A271" s="32"/>
      <c r="B271" s="32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</row>
    <row r="272" spans="1:26" ht="14.25" customHeight="1">
      <c r="A272" s="32"/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</row>
    <row r="273" spans="1:26" ht="14.25" customHeight="1">
      <c r="A273" s="32"/>
      <c r="B273" s="32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</row>
    <row r="274" spans="1:26" ht="14.25" customHeight="1">
      <c r="A274" s="32"/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</row>
    <row r="275" spans="1:26" ht="14.25" customHeight="1">
      <c r="A275" s="32"/>
      <c r="B275" s="32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</row>
    <row r="276" spans="1:26" ht="14.25" customHeight="1">
      <c r="A276" s="32"/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</row>
    <row r="277" spans="1:26" ht="14.25" customHeight="1">
      <c r="A277" s="32"/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</row>
    <row r="278" spans="1:26" ht="14.25" customHeight="1">
      <c r="A278" s="32"/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</row>
    <row r="279" spans="1:26" ht="14.25" customHeight="1">
      <c r="A279" s="32"/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</row>
    <row r="280" spans="1:26" ht="14.25" customHeight="1">
      <c r="A280" s="32"/>
      <c r="B280" s="32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</row>
    <row r="281" spans="1:26" ht="14.25" customHeight="1">
      <c r="A281" s="32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</row>
    <row r="282" spans="1:26" ht="14.25" customHeight="1">
      <c r="A282" s="32"/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</row>
    <row r="283" spans="1:26" ht="14.25" customHeight="1">
      <c r="A283" s="32"/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</row>
    <row r="284" spans="1:26" ht="14.25" customHeight="1">
      <c r="A284" s="32"/>
      <c r="B284" s="32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</row>
    <row r="285" spans="1:26" ht="14.25" customHeight="1">
      <c r="A285" s="32"/>
      <c r="B285" s="32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</row>
    <row r="286" spans="1:26" ht="14.25" customHeight="1">
      <c r="A286" s="32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</row>
    <row r="287" spans="1:26" ht="14.25" customHeight="1">
      <c r="A287" s="32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</row>
    <row r="288" spans="1:26" ht="14.25" customHeight="1">
      <c r="A288" s="32"/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</row>
    <row r="289" spans="1:26" ht="14.25" customHeight="1">
      <c r="A289" s="32"/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</row>
    <row r="290" spans="1:26" ht="14.25" customHeight="1">
      <c r="A290" s="32"/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</row>
    <row r="291" spans="1:26" ht="14.25" customHeight="1">
      <c r="A291" s="32"/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</row>
    <row r="292" spans="1:26" ht="14.25" customHeight="1">
      <c r="A292" s="32"/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</row>
    <row r="293" spans="1:26" ht="14.25" customHeight="1">
      <c r="A293" s="32"/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</row>
    <row r="294" spans="1:26" ht="14.25" customHeight="1">
      <c r="A294" s="32"/>
      <c r="B294" s="32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</row>
    <row r="295" spans="1:26" ht="14.25" customHeight="1">
      <c r="A295" s="32"/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</row>
    <row r="296" spans="1:26" ht="14.25" customHeight="1">
      <c r="A296" s="32"/>
      <c r="B296" s="32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</row>
    <row r="297" spans="1:26" ht="14.25" customHeight="1">
      <c r="A297" s="32"/>
      <c r="B297" s="32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</row>
    <row r="298" spans="1:26" ht="14.25" customHeight="1">
      <c r="A298" s="32"/>
      <c r="B298" s="32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</row>
    <row r="299" spans="1:26" ht="14.25" customHeight="1">
      <c r="A299" s="32"/>
      <c r="B299" s="32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</row>
    <row r="300" spans="1:26" ht="14.25" customHeight="1">
      <c r="A300" s="32"/>
      <c r="B300" s="32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</row>
    <row r="301" spans="1:26" ht="14.25" customHeight="1">
      <c r="A301" s="32"/>
      <c r="B301" s="32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</row>
    <row r="302" spans="1:26" ht="14.25" customHeight="1">
      <c r="A302" s="32"/>
      <c r="B302" s="32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</row>
    <row r="303" spans="1:26" ht="14.25" customHeight="1">
      <c r="A303" s="32"/>
      <c r="B303" s="32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</row>
    <row r="304" spans="1:26" ht="14.25" customHeight="1">
      <c r="A304" s="32"/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</row>
    <row r="305" spans="1:26" ht="14.25" customHeight="1">
      <c r="A305" s="32"/>
      <c r="B305" s="32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</row>
    <row r="306" spans="1:26" ht="14.25" customHeight="1">
      <c r="A306" s="32"/>
      <c r="B306" s="32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</row>
    <row r="307" spans="1:26" ht="14.25" customHeight="1">
      <c r="A307" s="32"/>
      <c r="B307" s="32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</row>
    <row r="308" spans="1:26" ht="14.25" customHeight="1">
      <c r="A308" s="32"/>
      <c r="B308" s="32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</row>
    <row r="309" spans="1:26" ht="14.25" customHeight="1">
      <c r="A309" s="32"/>
      <c r="B309" s="32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</row>
    <row r="310" spans="1:26" ht="14.25" customHeight="1">
      <c r="A310" s="32"/>
      <c r="B310" s="32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</row>
    <row r="311" spans="1:26" ht="14.25" customHeight="1">
      <c r="A311" s="32"/>
      <c r="B311" s="32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</row>
    <row r="312" spans="1:26" ht="14.25" customHeight="1">
      <c r="A312" s="32"/>
      <c r="B312" s="32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</row>
    <row r="313" spans="1:26" ht="14.25" customHeight="1">
      <c r="A313" s="32"/>
      <c r="B313" s="32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</row>
    <row r="314" spans="1:26" ht="14.25" customHeight="1">
      <c r="A314" s="32"/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</row>
    <row r="315" spans="1:26" ht="14.25" customHeight="1">
      <c r="A315" s="32"/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</row>
    <row r="316" spans="1:26" ht="14.25" customHeight="1">
      <c r="A316" s="32"/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</row>
    <row r="317" spans="1:26" ht="14.25" customHeight="1">
      <c r="A317" s="32"/>
      <c r="B317" s="32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</row>
    <row r="318" spans="1:26" ht="14.25" customHeight="1">
      <c r="A318" s="32"/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</row>
    <row r="319" spans="1:26" ht="14.25" customHeight="1">
      <c r="A319" s="32"/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</row>
    <row r="320" spans="1:26" ht="14.25" customHeight="1">
      <c r="A320" s="32"/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</row>
    <row r="321" spans="1:26" ht="14.25" customHeight="1">
      <c r="A321" s="32"/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</row>
    <row r="322" spans="1:26" ht="14.25" customHeight="1">
      <c r="A322" s="32"/>
      <c r="B322" s="32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</row>
    <row r="323" spans="1:26" ht="14.25" customHeight="1">
      <c r="A323" s="32"/>
      <c r="B323" s="32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</row>
    <row r="324" spans="1:26" ht="14.25" customHeight="1">
      <c r="A324" s="32"/>
      <c r="B324" s="32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</row>
    <row r="325" spans="1:26" ht="14.25" customHeight="1">
      <c r="A325" s="32"/>
      <c r="B325" s="32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</row>
    <row r="326" spans="1:26" ht="14.25" customHeight="1">
      <c r="A326" s="32"/>
      <c r="B326" s="32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</row>
    <row r="327" spans="1:26" ht="14.25" customHeight="1">
      <c r="A327" s="32"/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</row>
    <row r="328" spans="1:26" ht="14.25" customHeight="1">
      <c r="A328" s="32"/>
      <c r="B328" s="32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</row>
    <row r="329" spans="1:26" ht="14.25" customHeight="1">
      <c r="A329" s="32"/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</row>
    <row r="330" spans="1:26" ht="14.25" customHeight="1">
      <c r="A330" s="32"/>
      <c r="B330" s="32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</row>
    <row r="331" spans="1:26" ht="14.25" customHeight="1">
      <c r="A331" s="32"/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</row>
    <row r="332" spans="1:26" ht="14.25" customHeight="1">
      <c r="A332" s="32"/>
      <c r="B332" s="32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</row>
    <row r="333" spans="1:26" ht="14.25" customHeight="1">
      <c r="A333" s="32"/>
      <c r="B333" s="32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</row>
    <row r="334" spans="1:26" ht="14.25" customHeight="1">
      <c r="A334" s="32"/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</row>
    <row r="335" spans="1:26" ht="14.25" customHeight="1">
      <c r="A335" s="32"/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</row>
    <row r="336" spans="1:26" ht="14.25" customHeight="1">
      <c r="A336" s="32"/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</row>
    <row r="337" spans="1:26" ht="14.25" customHeight="1">
      <c r="A337" s="32"/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</row>
    <row r="338" spans="1:26" ht="14.25" customHeight="1">
      <c r="A338" s="32"/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</row>
    <row r="339" spans="1:26" ht="14.25" customHeight="1">
      <c r="A339" s="32"/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</row>
    <row r="340" spans="1:26" ht="14.25" customHeight="1">
      <c r="A340" s="32"/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</row>
    <row r="341" spans="1:26" ht="14.25" customHeight="1">
      <c r="A341" s="32"/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</row>
    <row r="342" spans="1:26" ht="14.25" customHeight="1">
      <c r="A342" s="32"/>
      <c r="B342" s="32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</row>
    <row r="343" spans="1:26" ht="14.25" customHeight="1">
      <c r="A343" s="32"/>
      <c r="B343" s="32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</row>
    <row r="344" spans="1:26" ht="14.25" customHeight="1">
      <c r="A344" s="32"/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</row>
    <row r="345" spans="1:26" ht="14.25" customHeight="1">
      <c r="A345" s="32"/>
      <c r="B345" s="32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</row>
    <row r="346" spans="1:26" ht="14.25" customHeight="1">
      <c r="A346" s="32"/>
      <c r="B346" s="32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</row>
    <row r="347" spans="1:26" ht="14.25" customHeight="1">
      <c r="A347" s="32"/>
      <c r="B347" s="32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</row>
    <row r="348" spans="1:26" ht="14.25" customHeight="1">
      <c r="A348" s="32"/>
      <c r="B348" s="32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</row>
    <row r="349" spans="1:26" ht="14.25" customHeight="1">
      <c r="A349" s="32"/>
      <c r="B349" s="32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</row>
    <row r="350" spans="1:26" ht="14.25" customHeight="1">
      <c r="A350" s="32"/>
      <c r="B350" s="32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</row>
    <row r="351" spans="1:26" ht="14.25" customHeight="1">
      <c r="A351" s="32"/>
      <c r="B351" s="32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</row>
    <row r="352" spans="1:26" ht="14.25" customHeight="1">
      <c r="A352" s="32"/>
      <c r="B352" s="32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</row>
    <row r="353" spans="1:26" ht="14.25" customHeight="1">
      <c r="A353" s="32"/>
      <c r="B353" s="32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</row>
    <row r="354" spans="1:26" ht="14.25" customHeight="1">
      <c r="A354" s="32"/>
      <c r="B354" s="32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</row>
    <row r="355" spans="1:26" ht="14.25" customHeight="1">
      <c r="A355" s="32"/>
      <c r="B355" s="32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</row>
    <row r="356" spans="1:26" ht="14.25" customHeight="1">
      <c r="A356" s="32"/>
      <c r="B356" s="32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</row>
    <row r="357" spans="1:26" ht="14.25" customHeight="1">
      <c r="A357" s="32"/>
      <c r="B357" s="32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</row>
    <row r="358" spans="1:26" ht="14.25" customHeight="1">
      <c r="A358" s="32"/>
      <c r="B358" s="32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</row>
    <row r="359" spans="1:26" ht="14.25" customHeight="1">
      <c r="A359" s="32"/>
      <c r="B359" s="32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</row>
    <row r="360" spans="1:26" ht="14.25" customHeight="1">
      <c r="A360" s="32"/>
      <c r="B360" s="32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</row>
    <row r="361" spans="1:26" ht="14.25" customHeight="1">
      <c r="A361" s="32"/>
      <c r="B361" s="32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</row>
    <row r="362" spans="1:26" ht="14.25" customHeight="1">
      <c r="A362" s="32"/>
      <c r="B362" s="32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</row>
    <row r="363" spans="1:26" ht="14.25" customHeight="1">
      <c r="A363" s="32"/>
      <c r="B363" s="32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</row>
    <row r="364" spans="1:26" ht="14.25" customHeight="1">
      <c r="A364" s="32"/>
      <c r="B364" s="32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</row>
    <row r="365" spans="1:26" ht="14.25" customHeight="1">
      <c r="A365" s="32"/>
      <c r="B365" s="32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</row>
    <row r="366" spans="1:26" ht="14.25" customHeight="1">
      <c r="A366" s="32"/>
      <c r="B366" s="32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</row>
    <row r="367" spans="1:26" ht="14.25" customHeight="1">
      <c r="A367" s="32"/>
      <c r="B367" s="32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</row>
    <row r="368" spans="1:26" ht="14.25" customHeight="1">
      <c r="A368" s="32"/>
      <c r="B368" s="32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</row>
    <row r="369" spans="1:26" ht="14.25" customHeight="1">
      <c r="A369" s="32"/>
      <c r="B369" s="32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</row>
    <row r="370" spans="1:26" ht="14.25" customHeight="1">
      <c r="A370" s="32"/>
      <c r="B370" s="32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</row>
    <row r="371" spans="1:26" ht="14.25" customHeight="1">
      <c r="A371" s="32"/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</row>
    <row r="372" spans="1:26" ht="14.25" customHeight="1">
      <c r="A372" s="32"/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</row>
    <row r="373" spans="1:26" ht="14.25" customHeight="1">
      <c r="A373" s="32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</row>
    <row r="374" spans="1:26" ht="14.25" customHeight="1">
      <c r="A374" s="32"/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</row>
    <row r="375" spans="1:26" ht="14.25" customHeight="1">
      <c r="A375" s="32"/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</row>
    <row r="376" spans="1:26" ht="14.25" customHeight="1">
      <c r="A376" s="32"/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</row>
    <row r="377" spans="1:26" ht="14.25" customHeight="1">
      <c r="A377" s="32"/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</row>
    <row r="378" spans="1:26" ht="14.25" customHeight="1">
      <c r="A378" s="32"/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</row>
    <row r="379" spans="1:26" ht="14.25" customHeight="1">
      <c r="A379" s="32"/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</row>
    <row r="380" spans="1:26" ht="14.25" customHeight="1">
      <c r="A380" s="32"/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</row>
    <row r="381" spans="1:26" ht="14.25" customHeight="1">
      <c r="A381" s="32"/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</row>
    <row r="382" spans="1:26" ht="14.25" customHeight="1">
      <c r="A382" s="32"/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</row>
    <row r="383" spans="1:26" ht="14.25" customHeight="1">
      <c r="A383" s="32"/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</row>
    <row r="384" spans="1:26" ht="14.25" customHeight="1">
      <c r="A384" s="32"/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</row>
    <row r="385" spans="1:26" ht="14.25" customHeight="1">
      <c r="A385" s="32"/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</row>
    <row r="386" spans="1:26" ht="14.25" customHeight="1">
      <c r="A386" s="32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</row>
    <row r="387" spans="1:26" ht="14.25" customHeight="1">
      <c r="A387" s="32"/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</row>
    <row r="388" spans="1:26" ht="14.25" customHeight="1">
      <c r="A388" s="32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</row>
    <row r="389" spans="1:26" ht="14.25" customHeight="1">
      <c r="A389" s="32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</row>
    <row r="390" spans="1:26" ht="14.25" customHeight="1">
      <c r="A390" s="32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</row>
    <row r="391" spans="1:26" ht="14.25" customHeight="1">
      <c r="A391" s="32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</row>
    <row r="392" spans="1:26" ht="14.25" customHeight="1">
      <c r="A392" s="32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</row>
    <row r="393" spans="1:26" ht="14.25" customHeight="1">
      <c r="A393" s="32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</row>
    <row r="394" spans="1:26" ht="14.25" customHeight="1">
      <c r="A394" s="32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</row>
    <row r="395" spans="1:26" ht="14.25" customHeight="1">
      <c r="A395" s="32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</row>
    <row r="396" spans="1:26" ht="14.25" customHeight="1">
      <c r="A396" s="32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</row>
    <row r="397" spans="1:26" ht="14.25" customHeight="1">
      <c r="A397" s="32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</row>
    <row r="398" spans="1:26" ht="14.25" customHeight="1">
      <c r="A398" s="32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</row>
    <row r="399" spans="1:26" ht="14.25" customHeight="1">
      <c r="A399" s="32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</row>
    <row r="400" spans="1:26" ht="14.25" customHeight="1">
      <c r="A400" s="32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</row>
    <row r="401" spans="1:26" ht="14.25" customHeight="1">
      <c r="A401" s="32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</row>
    <row r="402" spans="1:26" ht="14.25" customHeight="1">
      <c r="A402" s="32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</row>
    <row r="403" spans="1:26" ht="14.25" customHeight="1">
      <c r="A403" s="32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</row>
    <row r="404" spans="1:26" ht="14.25" customHeight="1">
      <c r="A404" s="32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</row>
    <row r="405" spans="1:26" ht="14.25" customHeight="1">
      <c r="A405" s="32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</row>
    <row r="406" spans="1:26" ht="14.25" customHeight="1">
      <c r="A406" s="32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</row>
    <row r="407" spans="1:26" ht="14.25" customHeight="1">
      <c r="A407" s="32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</row>
    <row r="408" spans="1:26" ht="14.25" customHeight="1">
      <c r="A408" s="32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</row>
    <row r="409" spans="1:26" ht="14.25" customHeight="1">
      <c r="A409" s="32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</row>
    <row r="410" spans="1:26" ht="14.25" customHeight="1">
      <c r="A410" s="32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</row>
    <row r="411" spans="1:26" ht="14.25" customHeight="1">
      <c r="A411" s="32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</row>
    <row r="412" spans="1:26" ht="14.25" customHeight="1">
      <c r="A412" s="32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</row>
    <row r="413" spans="1:26" ht="14.25" customHeight="1">
      <c r="A413" s="32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</row>
    <row r="414" spans="1:26" ht="14.25" customHeight="1">
      <c r="A414" s="32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</row>
    <row r="415" spans="1:26" ht="14.25" customHeight="1">
      <c r="A415" s="32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</row>
    <row r="416" spans="1:26" ht="14.25" customHeight="1">
      <c r="A416" s="32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</row>
    <row r="417" spans="1:26" ht="14.25" customHeight="1">
      <c r="A417" s="32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</row>
    <row r="418" spans="1:26" ht="14.25" customHeight="1">
      <c r="A418" s="32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</row>
    <row r="419" spans="1:26" ht="14.25" customHeight="1">
      <c r="A419" s="32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</row>
    <row r="420" spans="1:26" ht="14.25" customHeight="1">
      <c r="A420" s="32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</row>
    <row r="421" spans="1:26" ht="14.25" customHeight="1">
      <c r="A421" s="32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</row>
    <row r="422" spans="1:26" ht="14.25" customHeight="1">
      <c r="A422" s="32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</row>
    <row r="423" spans="1:26" ht="14.25" customHeight="1">
      <c r="A423" s="32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</row>
    <row r="424" spans="1:26" ht="14.25" customHeight="1">
      <c r="A424" s="32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</row>
    <row r="425" spans="1:26" ht="14.25" customHeight="1">
      <c r="A425" s="32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</row>
    <row r="426" spans="1:26" ht="14.25" customHeight="1">
      <c r="A426" s="32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</row>
    <row r="427" spans="1:26" ht="14.25" customHeight="1">
      <c r="A427" s="32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</row>
    <row r="428" spans="1:26" ht="14.25" customHeight="1">
      <c r="A428" s="32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</row>
    <row r="429" spans="1:26" ht="14.25" customHeight="1">
      <c r="A429" s="32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</row>
    <row r="430" spans="1:26" ht="14.25" customHeight="1">
      <c r="A430" s="32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</row>
    <row r="431" spans="1:26" ht="14.25" customHeight="1">
      <c r="A431" s="32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</row>
    <row r="432" spans="1:26" ht="14.25" customHeight="1">
      <c r="A432" s="32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</row>
    <row r="433" spans="1:26" ht="14.25" customHeight="1">
      <c r="A433" s="32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</row>
    <row r="434" spans="1:26" ht="14.25" customHeight="1">
      <c r="A434" s="32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</row>
    <row r="435" spans="1:26" ht="14.25" customHeight="1">
      <c r="A435" s="32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</row>
    <row r="436" spans="1:26" ht="14.25" customHeight="1">
      <c r="A436" s="32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</row>
    <row r="437" spans="1:26" ht="14.25" customHeight="1">
      <c r="A437" s="32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</row>
    <row r="438" spans="1:26" ht="14.25" customHeight="1">
      <c r="A438" s="32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</row>
    <row r="439" spans="1:26" ht="14.25" customHeight="1">
      <c r="A439" s="32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</row>
    <row r="440" spans="1:26" ht="14.25" customHeight="1">
      <c r="A440" s="32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</row>
    <row r="441" spans="1:26" ht="14.25" customHeight="1">
      <c r="A441" s="32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</row>
    <row r="442" spans="1:26" ht="14.25" customHeight="1">
      <c r="A442" s="32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</row>
    <row r="443" spans="1:26" ht="14.25" customHeight="1">
      <c r="A443" s="32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</row>
    <row r="444" spans="1:26" ht="14.25" customHeight="1">
      <c r="A444" s="32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</row>
    <row r="445" spans="1:26" ht="14.25" customHeight="1">
      <c r="A445" s="32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</row>
    <row r="446" spans="1:26" ht="14.25" customHeight="1">
      <c r="A446" s="32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</row>
    <row r="447" spans="1:26" ht="14.25" customHeight="1">
      <c r="A447" s="32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</row>
    <row r="448" spans="1:26" ht="14.25" customHeight="1">
      <c r="A448" s="32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</row>
    <row r="449" spans="1:26" ht="14.25" customHeight="1">
      <c r="A449" s="32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</row>
    <row r="450" spans="1:26" ht="14.25" customHeight="1">
      <c r="A450" s="32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</row>
    <row r="451" spans="1:26" ht="14.25" customHeight="1">
      <c r="A451" s="32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</row>
    <row r="452" spans="1:26" ht="14.25" customHeight="1">
      <c r="A452" s="32"/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</row>
    <row r="453" spans="1:26" ht="14.25" customHeight="1">
      <c r="A453" s="32"/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</row>
    <row r="454" spans="1:26" ht="14.25" customHeight="1">
      <c r="A454" s="32"/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</row>
    <row r="455" spans="1:26" ht="14.25" customHeight="1">
      <c r="A455" s="32"/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</row>
    <row r="456" spans="1:26" ht="14.25" customHeight="1">
      <c r="A456" s="32"/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</row>
    <row r="457" spans="1:26" ht="14.25" customHeight="1">
      <c r="A457" s="32"/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</row>
    <row r="458" spans="1:26" ht="14.25" customHeight="1">
      <c r="A458" s="32"/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</row>
    <row r="459" spans="1:26" ht="14.25" customHeight="1">
      <c r="A459" s="32"/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</row>
    <row r="460" spans="1:26" ht="14.25" customHeight="1">
      <c r="A460" s="32"/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</row>
    <row r="461" spans="1:26" ht="14.25" customHeight="1">
      <c r="A461" s="32"/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</row>
    <row r="462" spans="1:26" ht="14.25" customHeight="1">
      <c r="A462" s="32"/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</row>
    <row r="463" spans="1:26" ht="14.25" customHeight="1">
      <c r="A463" s="32"/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</row>
    <row r="464" spans="1:26" ht="14.25" customHeight="1">
      <c r="A464" s="32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</row>
    <row r="465" spans="1:26" ht="14.25" customHeight="1">
      <c r="A465" s="32"/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</row>
    <row r="466" spans="1:26" ht="14.25" customHeight="1">
      <c r="A466" s="32"/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</row>
    <row r="467" spans="1:26" ht="14.25" customHeight="1">
      <c r="A467" s="32"/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</row>
    <row r="468" spans="1:26" ht="14.25" customHeight="1">
      <c r="A468" s="32"/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</row>
    <row r="469" spans="1:26" ht="14.25" customHeight="1">
      <c r="A469" s="32"/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</row>
    <row r="470" spans="1:26" ht="14.25" customHeight="1">
      <c r="A470" s="32"/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</row>
    <row r="471" spans="1:26" ht="14.25" customHeight="1">
      <c r="A471" s="32"/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</row>
    <row r="472" spans="1:26" ht="14.25" customHeight="1">
      <c r="A472" s="32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</row>
    <row r="473" spans="1:26" ht="14.25" customHeight="1">
      <c r="A473" s="32"/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</row>
    <row r="474" spans="1:26" ht="14.25" customHeight="1">
      <c r="A474" s="32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</row>
    <row r="475" spans="1:26" ht="14.25" customHeight="1">
      <c r="A475" s="32"/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</row>
    <row r="476" spans="1:26" ht="14.25" customHeight="1">
      <c r="A476" s="32"/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</row>
    <row r="477" spans="1:26" ht="14.25" customHeight="1">
      <c r="A477" s="32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</row>
    <row r="478" spans="1:26" ht="14.25" customHeight="1">
      <c r="A478" s="32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</row>
    <row r="479" spans="1:26" ht="14.25" customHeight="1">
      <c r="A479" s="32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</row>
    <row r="480" spans="1:26" ht="14.25" customHeight="1">
      <c r="A480" s="32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</row>
    <row r="481" spans="1:26" ht="14.25" customHeight="1">
      <c r="A481" s="32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</row>
    <row r="482" spans="1:26" ht="14.25" customHeight="1">
      <c r="A482" s="32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</row>
    <row r="483" spans="1:26" ht="14.25" customHeight="1">
      <c r="A483" s="32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</row>
    <row r="484" spans="1:26" ht="14.25" customHeight="1">
      <c r="A484" s="32"/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</row>
    <row r="485" spans="1:26" ht="14.25" customHeight="1">
      <c r="A485" s="32"/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</row>
    <row r="486" spans="1:26" ht="14.25" customHeight="1">
      <c r="A486" s="32"/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</row>
    <row r="487" spans="1:26" ht="14.25" customHeight="1">
      <c r="A487" s="32"/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</row>
    <row r="488" spans="1:26" ht="14.25" customHeight="1">
      <c r="A488" s="32"/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</row>
    <row r="489" spans="1:26" ht="14.25" customHeight="1">
      <c r="A489" s="32"/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</row>
    <row r="490" spans="1:26" ht="14.25" customHeight="1">
      <c r="A490" s="32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</row>
    <row r="491" spans="1:26" ht="14.25" customHeight="1">
      <c r="A491" s="32"/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</row>
    <row r="492" spans="1:26" ht="14.25" customHeight="1">
      <c r="A492" s="32"/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</row>
    <row r="493" spans="1:26" ht="14.25" customHeight="1">
      <c r="A493" s="32"/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</row>
    <row r="494" spans="1:26" ht="14.25" customHeight="1">
      <c r="A494" s="32"/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</row>
    <row r="495" spans="1:26" ht="14.25" customHeight="1">
      <c r="A495" s="32"/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</row>
    <row r="496" spans="1:26" ht="14.25" customHeight="1">
      <c r="A496" s="32"/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</row>
    <row r="497" spans="1:26" ht="14.25" customHeight="1">
      <c r="A497" s="32"/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</row>
    <row r="498" spans="1:26" ht="14.25" customHeight="1">
      <c r="A498" s="32"/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</row>
    <row r="499" spans="1:26" ht="14.25" customHeight="1">
      <c r="A499" s="32"/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</row>
    <row r="500" spans="1:26" ht="14.25" customHeight="1">
      <c r="A500" s="32"/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</row>
    <row r="501" spans="1:26" ht="14.25" customHeight="1">
      <c r="A501" s="32"/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</row>
    <row r="502" spans="1:26" ht="14.25" customHeight="1">
      <c r="A502" s="32"/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</row>
    <row r="503" spans="1:26" ht="14.25" customHeight="1">
      <c r="A503" s="32"/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</row>
    <row r="504" spans="1:26" ht="14.25" customHeight="1">
      <c r="A504" s="32"/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</row>
    <row r="505" spans="1:26" ht="14.25" customHeight="1">
      <c r="A505" s="32"/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</row>
    <row r="506" spans="1:26" ht="14.25" customHeight="1">
      <c r="A506" s="32"/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</row>
    <row r="507" spans="1:26" ht="14.25" customHeight="1">
      <c r="A507" s="32"/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</row>
    <row r="508" spans="1:26" ht="14.25" customHeight="1">
      <c r="A508" s="32"/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</row>
    <row r="509" spans="1:26" ht="14.25" customHeight="1">
      <c r="A509" s="32"/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</row>
    <row r="510" spans="1:26" ht="14.25" customHeight="1">
      <c r="A510" s="32"/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</row>
    <row r="511" spans="1:26" ht="14.25" customHeight="1">
      <c r="A511" s="32"/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</row>
    <row r="512" spans="1:26" ht="14.25" customHeight="1">
      <c r="A512" s="32"/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</row>
    <row r="513" spans="1:26" ht="14.25" customHeight="1">
      <c r="A513" s="32"/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</row>
    <row r="514" spans="1:26" ht="14.25" customHeight="1">
      <c r="A514" s="32"/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</row>
    <row r="515" spans="1:26" ht="14.25" customHeight="1">
      <c r="A515" s="32"/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</row>
    <row r="516" spans="1:26" ht="14.25" customHeight="1">
      <c r="A516" s="32"/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</row>
    <row r="517" spans="1:26" ht="14.25" customHeight="1">
      <c r="A517" s="32"/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</row>
    <row r="518" spans="1:26" ht="14.25" customHeight="1">
      <c r="A518" s="32"/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</row>
    <row r="519" spans="1:26" ht="14.25" customHeight="1">
      <c r="A519" s="32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</row>
    <row r="520" spans="1:26" ht="14.25" customHeight="1">
      <c r="A520" s="32"/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</row>
    <row r="521" spans="1:26" ht="14.25" customHeight="1">
      <c r="A521" s="32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</row>
    <row r="522" spans="1:26" ht="14.25" customHeight="1">
      <c r="A522" s="32"/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</row>
    <row r="523" spans="1:26" ht="14.25" customHeight="1">
      <c r="A523" s="32"/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</row>
    <row r="524" spans="1:26" ht="14.25" customHeight="1">
      <c r="A524" s="32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</row>
    <row r="525" spans="1:26" ht="14.25" customHeight="1">
      <c r="A525" s="32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</row>
    <row r="526" spans="1:26" ht="14.25" customHeight="1">
      <c r="A526" s="32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</row>
    <row r="527" spans="1:26" ht="14.25" customHeight="1">
      <c r="A527" s="32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</row>
    <row r="528" spans="1:26" ht="14.25" customHeight="1">
      <c r="A528" s="32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</row>
    <row r="529" spans="1:26" ht="14.25" customHeight="1">
      <c r="A529" s="32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</row>
    <row r="530" spans="1:26" ht="14.25" customHeight="1">
      <c r="A530" s="32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</row>
    <row r="531" spans="1:26" ht="14.25" customHeight="1">
      <c r="A531" s="32"/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</row>
    <row r="532" spans="1:26" ht="14.25" customHeight="1">
      <c r="A532" s="32"/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</row>
    <row r="533" spans="1:26" ht="14.25" customHeight="1">
      <c r="A533" s="32"/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</row>
    <row r="534" spans="1:26" ht="14.25" customHeight="1">
      <c r="A534" s="32"/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</row>
    <row r="535" spans="1:26" ht="14.25" customHeight="1">
      <c r="A535" s="32"/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</row>
    <row r="536" spans="1:26" ht="14.25" customHeight="1">
      <c r="A536" s="32"/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</row>
    <row r="537" spans="1:26" ht="14.25" customHeight="1">
      <c r="A537" s="32"/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</row>
    <row r="538" spans="1:26" ht="14.25" customHeight="1">
      <c r="A538" s="32"/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</row>
    <row r="539" spans="1:26" ht="14.25" customHeight="1">
      <c r="A539" s="32"/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</row>
    <row r="540" spans="1:26" ht="14.25" customHeight="1">
      <c r="A540" s="32"/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</row>
    <row r="541" spans="1:26" ht="14.25" customHeight="1">
      <c r="A541" s="32"/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</row>
    <row r="542" spans="1:26" ht="14.25" customHeight="1">
      <c r="A542" s="32"/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</row>
    <row r="543" spans="1:26" ht="14.25" customHeight="1">
      <c r="A543" s="32"/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</row>
    <row r="544" spans="1:26" ht="14.25" customHeight="1">
      <c r="A544" s="32"/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</row>
    <row r="545" spans="1:26" ht="14.25" customHeight="1">
      <c r="A545" s="32"/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</row>
    <row r="546" spans="1:26" ht="14.25" customHeight="1">
      <c r="A546" s="32"/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</row>
    <row r="547" spans="1:26" ht="14.25" customHeight="1">
      <c r="A547" s="32"/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</row>
    <row r="548" spans="1:26" ht="14.25" customHeight="1">
      <c r="A548" s="32"/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</row>
    <row r="549" spans="1:26" ht="14.25" customHeight="1">
      <c r="A549" s="32"/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</row>
    <row r="550" spans="1:26" ht="14.25" customHeight="1">
      <c r="A550" s="32"/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</row>
    <row r="551" spans="1:26" ht="14.25" customHeight="1">
      <c r="A551" s="32"/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</row>
    <row r="552" spans="1:26" ht="14.25" customHeight="1">
      <c r="A552" s="32"/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</row>
    <row r="553" spans="1:26" ht="14.25" customHeight="1">
      <c r="A553" s="32"/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</row>
    <row r="554" spans="1:26" ht="14.25" customHeight="1">
      <c r="A554" s="32"/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</row>
    <row r="555" spans="1:26" ht="14.25" customHeight="1">
      <c r="A555" s="32"/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</row>
    <row r="556" spans="1:26" ht="14.25" customHeight="1">
      <c r="A556" s="32"/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</row>
    <row r="557" spans="1:26" ht="14.25" customHeight="1">
      <c r="A557" s="32"/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</row>
    <row r="558" spans="1:26" ht="14.25" customHeight="1">
      <c r="A558" s="32"/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</row>
    <row r="559" spans="1:26" ht="14.25" customHeight="1">
      <c r="A559" s="32"/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</row>
    <row r="560" spans="1:26" ht="14.25" customHeight="1">
      <c r="A560" s="32"/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</row>
    <row r="561" spans="1:26" ht="14.25" customHeight="1">
      <c r="A561" s="32"/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</row>
    <row r="562" spans="1:26" ht="14.25" customHeight="1">
      <c r="A562" s="32"/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</row>
    <row r="563" spans="1:26" ht="14.25" customHeight="1">
      <c r="A563" s="32"/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</row>
    <row r="564" spans="1:26" ht="14.25" customHeight="1">
      <c r="A564" s="32"/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</row>
    <row r="565" spans="1:26" ht="14.25" customHeight="1">
      <c r="A565" s="32"/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</row>
    <row r="566" spans="1:26" ht="14.25" customHeight="1">
      <c r="A566" s="32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</row>
    <row r="567" spans="1:26" ht="14.25" customHeight="1">
      <c r="A567" s="32"/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</row>
    <row r="568" spans="1:26" ht="14.25" customHeight="1">
      <c r="A568" s="32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</row>
    <row r="569" spans="1:26" ht="14.25" customHeight="1">
      <c r="A569" s="32"/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</row>
    <row r="570" spans="1:26" ht="14.25" customHeight="1">
      <c r="A570" s="32"/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</row>
    <row r="571" spans="1:26" ht="14.25" customHeight="1">
      <c r="A571" s="32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</row>
    <row r="572" spans="1:26" ht="14.25" customHeight="1">
      <c r="A572" s="32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</row>
    <row r="573" spans="1:26" ht="14.25" customHeight="1">
      <c r="A573" s="32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</row>
    <row r="574" spans="1:26" ht="14.25" customHeight="1">
      <c r="A574" s="32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</row>
    <row r="575" spans="1:26" ht="14.25" customHeight="1">
      <c r="A575" s="32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</row>
    <row r="576" spans="1:26" ht="14.25" customHeight="1">
      <c r="A576" s="32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</row>
    <row r="577" spans="1:26" ht="14.25" customHeight="1">
      <c r="A577" s="32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</row>
    <row r="578" spans="1:26" ht="14.25" customHeight="1">
      <c r="A578" s="32"/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</row>
    <row r="579" spans="1:26" ht="14.25" customHeight="1">
      <c r="A579" s="32"/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</row>
    <row r="580" spans="1:26" ht="14.25" customHeight="1">
      <c r="A580" s="32"/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</row>
    <row r="581" spans="1:26" ht="14.25" customHeight="1">
      <c r="A581" s="32"/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</row>
    <row r="582" spans="1:26" ht="14.25" customHeight="1">
      <c r="A582" s="32"/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</row>
    <row r="583" spans="1:26" ht="14.25" customHeight="1">
      <c r="A583" s="32"/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</row>
    <row r="584" spans="1:26" ht="14.25" customHeight="1">
      <c r="A584" s="32"/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</row>
    <row r="585" spans="1:26" ht="14.25" customHeight="1">
      <c r="A585" s="32"/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</row>
    <row r="586" spans="1:26" ht="14.25" customHeight="1">
      <c r="A586" s="32"/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</row>
    <row r="587" spans="1:26" ht="14.25" customHeight="1">
      <c r="A587" s="32"/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</row>
    <row r="588" spans="1:26" ht="14.25" customHeight="1">
      <c r="A588" s="32"/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</row>
    <row r="589" spans="1:26" ht="14.25" customHeight="1">
      <c r="A589" s="32"/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</row>
    <row r="590" spans="1:26" ht="14.25" customHeight="1">
      <c r="A590" s="32"/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</row>
    <row r="591" spans="1:26" ht="14.25" customHeight="1">
      <c r="A591" s="32"/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</row>
    <row r="592" spans="1:26" ht="14.25" customHeight="1">
      <c r="A592" s="32"/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</row>
    <row r="593" spans="1:26" ht="14.25" customHeight="1">
      <c r="A593" s="32"/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</row>
    <row r="594" spans="1:26" ht="14.25" customHeight="1">
      <c r="A594" s="32"/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</row>
    <row r="595" spans="1:26" ht="14.25" customHeight="1">
      <c r="A595" s="32"/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</row>
    <row r="596" spans="1:26" ht="14.25" customHeight="1">
      <c r="A596" s="32"/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</row>
    <row r="597" spans="1:26" ht="14.25" customHeight="1">
      <c r="A597" s="32"/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</row>
    <row r="598" spans="1:26" ht="14.25" customHeight="1">
      <c r="A598" s="32"/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</row>
    <row r="599" spans="1:26" ht="14.25" customHeight="1">
      <c r="A599" s="32"/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</row>
    <row r="600" spans="1:26" ht="14.25" customHeight="1">
      <c r="A600" s="32"/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</row>
    <row r="601" spans="1:26" ht="14.25" customHeight="1">
      <c r="A601" s="32"/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</row>
    <row r="602" spans="1:26" ht="14.25" customHeight="1">
      <c r="A602" s="32"/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</row>
    <row r="603" spans="1:26" ht="14.25" customHeight="1">
      <c r="A603" s="32"/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</row>
    <row r="604" spans="1:26" ht="14.25" customHeight="1">
      <c r="A604" s="32"/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</row>
    <row r="605" spans="1:26" ht="14.25" customHeight="1">
      <c r="A605" s="32"/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</row>
    <row r="606" spans="1:26" ht="14.25" customHeight="1">
      <c r="A606" s="32"/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</row>
    <row r="607" spans="1:26" ht="14.25" customHeight="1">
      <c r="A607" s="32"/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</row>
    <row r="608" spans="1:26" ht="14.25" customHeight="1">
      <c r="A608" s="32"/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</row>
    <row r="609" spans="1:26" ht="14.25" customHeight="1">
      <c r="A609" s="32"/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</row>
    <row r="610" spans="1:26" ht="14.25" customHeight="1">
      <c r="A610" s="32"/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</row>
    <row r="611" spans="1:26" ht="14.25" customHeight="1">
      <c r="A611" s="32"/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</row>
    <row r="612" spans="1:26" ht="14.25" customHeight="1">
      <c r="A612" s="32"/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</row>
    <row r="613" spans="1:26" ht="14.25" customHeight="1">
      <c r="A613" s="32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</row>
    <row r="614" spans="1:26" ht="14.25" customHeight="1">
      <c r="A614" s="32"/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</row>
    <row r="615" spans="1:26" ht="14.25" customHeight="1">
      <c r="A615" s="32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</row>
    <row r="616" spans="1:26" ht="14.25" customHeight="1">
      <c r="A616" s="32"/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</row>
    <row r="617" spans="1:26" ht="14.25" customHeight="1">
      <c r="A617" s="32"/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</row>
    <row r="618" spans="1:26" ht="14.25" customHeight="1">
      <c r="A618" s="32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</row>
    <row r="619" spans="1:26" ht="14.25" customHeight="1">
      <c r="A619" s="32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</row>
    <row r="620" spans="1:26" ht="14.25" customHeight="1">
      <c r="A620" s="32"/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</row>
    <row r="621" spans="1:26" ht="14.25" customHeight="1">
      <c r="A621" s="32"/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</row>
    <row r="622" spans="1:26" ht="14.25" customHeight="1">
      <c r="A622" s="32"/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</row>
    <row r="623" spans="1:26" ht="14.25" customHeight="1">
      <c r="A623" s="32"/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</row>
    <row r="624" spans="1:26" ht="14.25" customHeight="1">
      <c r="A624" s="32"/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</row>
    <row r="625" spans="1:26" ht="14.25" customHeight="1">
      <c r="A625" s="32"/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</row>
    <row r="626" spans="1:26" ht="14.25" customHeight="1">
      <c r="A626" s="32"/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</row>
    <row r="627" spans="1:26" ht="14.25" customHeight="1">
      <c r="A627" s="32"/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</row>
    <row r="628" spans="1:26" ht="14.25" customHeight="1">
      <c r="A628" s="32"/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</row>
    <row r="629" spans="1:26" ht="14.25" customHeight="1">
      <c r="A629" s="32"/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</row>
    <row r="630" spans="1:26" ht="14.25" customHeight="1">
      <c r="A630" s="32"/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</row>
    <row r="631" spans="1:26" ht="14.25" customHeight="1">
      <c r="A631" s="32"/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</row>
    <row r="632" spans="1:26" ht="14.25" customHeight="1">
      <c r="A632" s="32"/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</row>
    <row r="633" spans="1:26" ht="14.25" customHeight="1">
      <c r="A633" s="32"/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</row>
    <row r="634" spans="1:26" ht="14.25" customHeight="1">
      <c r="A634" s="32"/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</row>
    <row r="635" spans="1:26" ht="14.25" customHeight="1">
      <c r="A635" s="32"/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</row>
    <row r="636" spans="1:26" ht="14.25" customHeight="1">
      <c r="A636" s="32"/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</row>
    <row r="637" spans="1:26" ht="14.25" customHeight="1">
      <c r="A637" s="32"/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</row>
    <row r="638" spans="1:26" ht="14.25" customHeight="1">
      <c r="A638" s="32"/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</row>
    <row r="639" spans="1:26" ht="14.25" customHeight="1">
      <c r="A639" s="32"/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</row>
    <row r="640" spans="1:26" ht="14.25" customHeight="1">
      <c r="A640" s="32"/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</row>
    <row r="641" spans="1:26" ht="14.25" customHeight="1">
      <c r="A641" s="32"/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</row>
    <row r="642" spans="1:26" ht="14.25" customHeight="1">
      <c r="A642" s="32"/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</row>
    <row r="643" spans="1:26" ht="14.25" customHeight="1">
      <c r="A643" s="32"/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</row>
    <row r="644" spans="1:26" ht="14.25" customHeight="1">
      <c r="A644" s="32"/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</row>
    <row r="645" spans="1:26" ht="14.25" customHeight="1">
      <c r="A645" s="32"/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</row>
    <row r="646" spans="1:26" ht="14.25" customHeight="1">
      <c r="A646" s="32"/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</row>
    <row r="647" spans="1:26" ht="14.25" customHeight="1">
      <c r="A647" s="32"/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</row>
    <row r="648" spans="1:26" ht="14.25" customHeight="1">
      <c r="A648" s="32"/>
      <c r="B648" s="32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</row>
    <row r="649" spans="1:26" ht="14.25" customHeight="1">
      <c r="A649" s="32"/>
      <c r="B649" s="32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</row>
    <row r="650" spans="1:26" ht="14.25" customHeight="1">
      <c r="A650" s="32"/>
      <c r="B650" s="32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</row>
    <row r="651" spans="1:26" ht="14.25" customHeight="1">
      <c r="A651" s="32"/>
      <c r="B651" s="32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</row>
    <row r="652" spans="1:26" ht="14.25" customHeight="1">
      <c r="A652" s="32"/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</row>
    <row r="653" spans="1:26" ht="14.25" customHeight="1">
      <c r="A653" s="32"/>
      <c r="B653" s="32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</row>
    <row r="654" spans="1:26" ht="14.25" customHeight="1">
      <c r="A654" s="32"/>
      <c r="B654" s="32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</row>
    <row r="655" spans="1:26" ht="14.25" customHeight="1">
      <c r="A655" s="32"/>
      <c r="B655" s="32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</row>
    <row r="656" spans="1:26" ht="14.25" customHeight="1">
      <c r="A656" s="32"/>
      <c r="B656" s="32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</row>
    <row r="657" spans="1:26" ht="14.25" customHeight="1">
      <c r="A657" s="32"/>
      <c r="B657" s="32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</row>
    <row r="658" spans="1:26" ht="14.25" customHeight="1">
      <c r="A658" s="32"/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</row>
    <row r="659" spans="1:26" ht="14.25" customHeight="1">
      <c r="A659" s="32"/>
      <c r="B659" s="32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</row>
    <row r="660" spans="1:26" ht="14.25" customHeight="1">
      <c r="A660" s="32"/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</row>
    <row r="661" spans="1:26" ht="14.25" customHeight="1">
      <c r="A661" s="32"/>
      <c r="B661" s="32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</row>
    <row r="662" spans="1:26" ht="14.25" customHeight="1">
      <c r="A662" s="32"/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</row>
    <row r="663" spans="1:26" ht="14.25" customHeight="1">
      <c r="A663" s="32"/>
      <c r="B663" s="32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</row>
    <row r="664" spans="1:26" ht="14.25" customHeight="1">
      <c r="A664" s="32"/>
      <c r="B664" s="32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</row>
    <row r="665" spans="1:26" ht="14.25" customHeight="1">
      <c r="A665" s="32"/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</row>
    <row r="666" spans="1:26" ht="14.25" customHeight="1">
      <c r="A666" s="32"/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</row>
    <row r="667" spans="1:26" ht="14.25" customHeight="1">
      <c r="A667" s="32"/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</row>
    <row r="668" spans="1:26" ht="14.25" customHeight="1">
      <c r="A668" s="32"/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</row>
    <row r="669" spans="1:26" ht="14.25" customHeight="1">
      <c r="A669" s="32"/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</row>
    <row r="670" spans="1:26" ht="14.25" customHeight="1">
      <c r="A670" s="32"/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</row>
    <row r="671" spans="1:26" ht="14.25" customHeight="1">
      <c r="A671" s="32"/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</row>
    <row r="672" spans="1:26" ht="14.25" customHeight="1">
      <c r="A672" s="32"/>
      <c r="B672" s="32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</row>
    <row r="673" spans="1:26" ht="14.25" customHeight="1">
      <c r="A673" s="32"/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</row>
    <row r="674" spans="1:26" ht="14.25" customHeight="1">
      <c r="A674" s="32"/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</row>
    <row r="675" spans="1:26" ht="14.25" customHeight="1">
      <c r="A675" s="32"/>
      <c r="B675" s="32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</row>
    <row r="676" spans="1:26" ht="14.25" customHeight="1">
      <c r="A676" s="32"/>
      <c r="B676" s="32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</row>
    <row r="677" spans="1:26" ht="14.25" customHeight="1">
      <c r="A677" s="32"/>
      <c r="B677" s="32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</row>
    <row r="678" spans="1:26" ht="14.25" customHeight="1">
      <c r="A678" s="32"/>
      <c r="B678" s="32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</row>
    <row r="679" spans="1:26" ht="14.25" customHeight="1">
      <c r="A679" s="32"/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</row>
    <row r="680" spans="1:26" ht="14.25" customHeight="1">
      <c r="A680" s="32"/>
      <c r="B680" s="32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</row>
    <row r="681" spans="1:26" ht="14.25" customHeight="1">
      <c r="A681" s="32"/>
      <c r="B681" s="32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</row>
    <row r="682" spans="1:26" ht="14.25" customHeight="1">
      <c r="A682" s="32"/>
      <c r="B682" s="32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</row>
    <row r="683" spans="1:26" ht="14.25" customHeight="1">
      <c r="A683" s="32"/>
      <c r="B683" s="32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</row>
    <row r="684" spans="1:26" ht="14.25" customHeight="1">
      <c r="A684" s="32"/>
      <c r="B684" s="32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</row>
    <row r="685" spans="1:26" ht="14.25" customHeight="1">
      <c r="A685" s="32"/>
      <c r="B685" s="32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</row>
    <row r="686" spans="1:26" ht="14.25" customHeight="1">
      <c r="A686" s="32"/>
      <c r="B686" s="32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</row>
    <row r="687" spans="1:26" ht="14.25" customHeight="1">
      <c r="A687" s="32"/>
      <c r="B687" s="32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</row>
    <row r="688" spans="1:26" ht="14.25" customHeight="1">
      <c r="A688" s="32"/>
      <c r="B688" s="32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</row>
    <row r="689" spans="1:26" ht="14.25" customHeight="1">
      <c r="A689" s="32"/>
      <c r="B689" s="32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</row>
    <row r="690" spans="1:26" ht="14.25" customHeight="1">
      <c r="A690" s="32"/>
      <c r="B690" s="32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</row>
    <row r="691" spans="1:26" ht="14.25" customHeight="1">
      <c r="A691" s="32"/>
      <c r="B691" s="32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</row>
    <row r="692" spans="1:26" ht="14.25" customHeight="1">
      <c r="A692" s="32"/>
      <c r="B692" s="32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</row>
    <row r="693" spans="1:26" ht="14.25" customHeight="1">
      <c r="A693" s="32"/>
      <c r="B693" s="32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</row>
    <row r="694" spans="1:26" ht="14.25" customHeight="1">
      <c r="A694" s="32"/>
      <c r="B694" s="32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</row>
    <row r="695" spans="1:26" ht="14.25" customHeight="1">
      <c r="A695" s="32"/>
      <c r="B695" s="32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</row>
    <row r="696" spans="1:26" ht="14.25" customHeight="1">
      <c r="A696" s="32"/>
      <c r="B696" s="32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</row>
    <row r="697" spans="1:26" ht="14.25" customHeight="1">
      <c r="A697" s="32"/>
      <c r="B697" s="32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</row>
    <row r="698" spans="1:26" ht="14.25" customHeight="1">
      <c r="A698" s="32"/>
      <c r="B698" s="32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</row>
    <row r="699" spans="1:26" ht="14.25" customHeight="1">
      <c r="A699" s="32"/>
      <c r="B699" s="32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</row>
    <row r="700" spans="1:26" ht="14.25" customHeight="1">
      <c r="A700" s="32"/>
      <c r="B700" s="32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</row>
    <row r="701" spans="1:26" ht="14.25" customHeight="1">
      <c r="A701" s="32"/>
      <c r="B701" s="32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</row>
    <row r="702" spans="1:26" ht="14.25" customHeight="1">
      <c r="A702" s="32"/>
      <c r="B702" s="32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</row>
    <row r="703" spans="1:26" ht="14.25" customHeight="1">
      <c r="A703" s="32"/>
      <c r="B703" s="32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</row>
    <row r="704" spans="1:26" ht="14.25" customHeight="1">
      <c r="A704" s="32"/>
      <c r="B704" s="32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</row>
    <row r="705" spans="1:26" ht="14.25" customHeight="1">
      <c r="A705" s="32"/>
      <c r="B705" s="32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</row>
    <row r="706" spans="1:26" ht="14.25" customHeight="1">
      <c r="A706" s="32"/>
      <c r="B706" s="32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</row>
    <row r="707" spans="1:26" ht="14.25" customHeight="1">
      <c r="A707" s="32"/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</row>
    <row r="708" spans="1:26" ht="14.25" customHeight="1">
      <c r="A708" s="32"/>
      <c r="B708" s="32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</row>
    <row r="709" spans="1:26" ht="14.25" customHeight="1">
      <c r="A709" s="32"/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</row>
    <row r="710" spans="1:26" ht="14.25" customHeight="1">
      <c r="A710" s="32"/>
      <c r="B710" s="32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</row>
    <row r="711" spans="1:26" ht="14.25" customHeight="1">
      <c r="A711" s="32"/>
      <c r="B711" s="32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</row>
    <row r="712" spans="1:26" ht="14.25" customHeight="1">
      <c r="A712" s="32"/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</row>
    <row r="713" spans="1:26" ht="14.25" customHeight="1">
      <c r="A713" s="32"/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</row>
    <row r="714" spans="1:26" ht="14.25" customHeight="1">
      <c r="A714" s="32"/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</row>
    <row r="715" spans="1:26" ht="14.25" customHeight="1">
      <c r="A715" s="32"/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</row>
    <row r="716" spans="1:26" ht="14.25" customHeight="1">
      <c r="A716" s="32"/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</row>
    <row r="717" spans="1:26" ht="14.25" customHeight="1">
      <c r="A717" s="32"/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</row>
    <row r="718" spans="1:26" ht="14.25" customHeight="1">
      <c r="A718" s="32"/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</row>
    <row r="719" spans="1:26" ht="14.25" customHeight="1">
      <c r="A719" s="32"/>
      <c r="B719" s="32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</row>
    <row r="720" spans="1:26" ht="14.25" customHeight="1">
      <c r="A720" s="32"/>
      <c r="B720" s="32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</row>
    <row r="721" spans="1:26" ht="14.25" customHeight="1">
      <c r="A721" s="32"/>
      <c r="B721" s="32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</row>
    <row r="722" spans="1:26" ht="14.25" customHeight="1">
      <c r="A722" s="32"/>
      <c r="B722" s="32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</row>
    <row r="723" spans="1:26" ht="14.25" customHeight="1">
      <c r="A723" s="32"/>
      <c r="B723" s="32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</row>
    <row r="724" spans="1:26" ht="14.25" customHeight="1">
      <c r="A724" s="32"/>
      <c r="B724" s="32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</row>
    <row r="725" spans="1:26" ht="14.25" customHeight="1">
      <c r="A725" s="32"/>
      <c r="B725" s="32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</row>
    <row r="726" spans="1:26" ht="14.25" customHeight="1">
      <c r="A726" s="32"/>
      <c r="B726" s="32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</row>
    <row r="727" spans="1:26" ht="14.25" customHeight="1">
      <c r="A727" s="32"/>
      <c r="B727" s="32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</row>
    <row r="728" spans="1:26" ht="14.25" customHeight="1">
      <c r="A728" s="32"/>
      <c r="B728" s="32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</row>
    <row r="729" spans="1:26" ht="14.25" customHeight="1">
      <c r="A729" s="32"/>
      <c r="B729" s="32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</row>
    <row r="730" spans="1:26" ht="14.25" customHeight="1">
      <c r="A730" s="32"/>
      <c r="B730" s="32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</row>
    <row r="731" spans="1:26" ht="14.25" customHeight="1">
      <c r="A731" s="32"/>
      <c r="B731" s="32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</row>
    <row r="732" spans="1:26" ht="14.25" customHeight="1">
      <c r="A732" s="32"/>
      <c r="B732" s="32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</row>
    <row r="733" spans="1:26" ht="14.25" customHeight="1">
      <c r="A733" s="32"/>
      <c r="B733" s="32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</row>
    <row r="734" spans="1:26" ht="14.25" customHeight="1">
      <c r="A734" s="32"/>
      <c r="B734" s="32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</row>
    <row r="735" spans="1:26" ht="14.25" customHeight="1">
      <c r="A735" s="32"/>
      <c r="B735" s="32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</row>
    <row r="736" spans="1:26" ht="14.25" customHeight="1">
      <c r="A736" s="32"/>
      <c r="B736" s="32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</row>
    <row r="737" spans="1:26" ht="14.25" customHeight="1">
      <c r="A737" s="32"/>
      <c r="B737" s="32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</row>
    <row r="738" spans="1:26" ht="14.25" customHeight="1">
      <c r="A738" s="32"/>
      <c r="B738" s="32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</row>
    <row r="739" spans="1:26" ht="14.25" customHeight="1">
      <c r="A739" s="32"/>
      <c r="B739" s="32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</row>
    <row r="740" spans="1:26" ht="14.25" customHeight="1">
      <c r="A740" s="32"/>
      <c r="B740" s="32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</row>
    <row r="741" spans="1:26" ht="14.25" customHeight="1">
      <c r="A741" s="32"/>
      <c r="B741" s="32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</row>
    <row r="742" spans="1:26" ht="14.25" customHeight="1">
      <c r="A742" s="32"/>
      <c r="B742" s="32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</row>
    <row r="743" spans="1:26" ht="14.25" customHeight="1">
      <c r="A743" s="32"/>
      <c r="B743" s="32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</row>
    <row r="744" spans="1:26" ht="14.25" customHeight="1">
      <c r="A744" s="32"/>
      <c r="B744" s="32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</row>
    <row r="745" spans="1:26" ht="14.25" customHeight="1">
      <c r="A745" s="32"/>
      <c r="B745" s="32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</row>
    <row r="746" spans="1:26" ht="14.25" customHeight="1">
      <c r="A746" s="32"/>
      <c r="B746" s="32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</row>
    <row r="747" spans="1:26" ht="14.25" customHeight="1">
      <c r="A747" s="32"/>
      <c r="B747" s="32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</row>
    <row r="748" spans="1:26" ht="14.25" customHeight="1">
      <c r="A748" s="32"/>
      <c r="B748" s="32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</row>
    <row r="749" spans="1:26" ht="14.25" customHeight="1">
      <c r="A749" s="32"/>
      <c r="B749" s="32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</row>
    <row r="750" spans="1:26" ht="14.25" customHeight="1">
      <c r="A750" s="32"/>
      <c r="B750" s="32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</row>
    <row r="751" spans="1:26" ht="14.25" customHeight="1">
      <c r="A751" s="32"/>
      <c r="B751" s="32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</row>
    <row r="752" spans="1:26" ht="14.25" customHeight="1">
      <c r="A752" s="32"/>
      <c r="B752" s="32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</row>
    <row r="753" spans="1:26" ht="14.25" customHeight="1">
      <c r="A753" s="32"/>
      <c r="B753" s="32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</row>
    <row r="754" spans="1:26" ht="14.25" customHeight="1">
      <c r="A754" s="32"/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</row>
    <row r="755" spans="1:26" ht="14.25" customHeight="1">
      <c r="A755" s="32"/>
      <c r="B755" s="32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</row>
    <row r="756" spans="1:26" ht="14.25" customHeight="1">
      <c r="A756" s="32"/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</row>
    <row r="757" spans="1:26" ht="14.25" customHeight="1">
      <c r="A757" s="32"/>
      <c r="B757" s="32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</row>
    <row r="758" spans="1:26" ht="14.25" customHeight="1">
      <c r="A758" s="32"/>
      <c r="B758" s="32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</row>
    <row r="759" spans="1:26" ht="14.25" customHeight="1">
      <c r="A759" s="32"/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</row>
    <row r="760" spans="1:26" ht="14.25" customHeight="1">
      <c r="A760" s="32"/>
      <c r="B760" s="32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</row>
    <row r="761" spans="1:26" ht="14.25" customHeight="1">
      <c r="A761" s="32"/>
      <c r="B761" s="32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</row>
    <row r="762" spans="1:26" ht="14.25" customHeight="1">
      <c r="A762" s="32"/>
      <c r="B762" s="32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</row>
    <row r="763" spans="1:26" ht="14.25" customHeight="1">
      <c r="A763" s="32"/>
      <c r="B763" s="32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</row>
    <row r="764" spans="1:26" ht="14.25" customHeight="1">
      <c r="A764" s="32"/>
      <c r="B764" s="32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</row>
    <row r="765" spans="1:26" ht="14.25" customHeight="1">
      <c r="A765" s="32"/>
      <c r="B765" s="32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</row>
    <row r="766" spans="1:26" ht="14.25" customHeight="1">
      <c r="A766" s="32"/>
      <c r="B766" s="32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</row>
    <row r="767" spans="1:26" ht="14.25" customHeight="1">
      <c r="A767" s="32"/>
      <c r="B767" s="32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</row>
    <row r="768" spans="1:26" ht="14.25" customHeight="1">
      <c r="A768" s="32"/>
      <c r="B768" s="32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</row>
    <row r="769" spans="1:26" ht="14.25" customHeight="1">
      <c r="A769" s="32"/>
      <c r="B769" s="32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</row>
    <row r="770" spans="1:26" ht="14.25" customHeight="1">
      <c r="A770" s="32"/>
      <c r="B770" s="32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</row>
    <row r="771" spans="1:26" ht="14.25" customHeight="1">
      <c r="A771" s="32"/>
      <c r="B771" s="32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</row>
    <row r="772" spans="1:26" ht="14.25" customHeight="1">
      <c r="A772" s="32"/>
      <c r="B772" s="32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</row>
    <row r="773" spans="1:26" ht="14.25" customHeight="1">
      <c r="A773" s="32"/>
      <c r="B773" s="32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</row>
    <row r="774" spans="1:26" ht="14.25" customHeight="1">
      <c r="A774" s="32"/>
      <c r="B774" s="32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</row>
    <row r="775" spans="1:26" ht="14.25" customHeight="1">
      <c r="A775" s="32"/>
      <c r="B775" s="32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</row>
    <row r="776" spans="1:26" ht="14.25" customHeight="1">
      <c r="A776" s="32"/>
      <c r="B776" s="32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</row>
    <row r="777" spans="1:26" ht="14.25" customHeight="1">
      <c r="A777" s="32"/>
      <c r="B777" s="32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</row>
    <row r="778" spans="1:26" ht="14.25" customHeight="1">
      <c r="A778" s="32"/>
      <c r="B778" s="32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</row>
    <row r="779" spans="1:26" ht="14.25" customHeight="1">
      <c r="A779" s="32"/>
      <c r="B779" s="32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</row>
    <row r="780" spans="1:26" ht="14.25" customHeight="1">
      <c r="A780" s="32"/>
      <c r="B780" s="32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</row>
    <row r="781" spans="1:26" ht="14.25" customHeight="1">
      <c r="A781" s="32"/>
      <c r="B781" s="32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</row>
    <row r="782" spans="1:26" ht="14.25" customHeight="1">
      <c r="A782" s="32"/>
      <c r="B782" s="32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</row>
    <row r="783" spans="1:26" ht="14.25" customHeight="1">
      <c r="A783" s="32"/>
      <c r="B783" s="32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</row>
    <row r="784" spans="1:26" ht="14.25" customHeight="1">
      <c r="A784" s="32"/>
      <c r="B784" s="32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</row>
    <row r="785" spans="1:26" ht="14.25" customHeight="1">
      <c r="A785" s="32"/>
      <c r="B785" s="32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</row>
    <row r="786" spans="1:26" ht="14.25" customHeight="1">
      <c r="A786" s="32"/>
      <c r="B786" s="32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</row>
    <row r="787" spans="1:26" ht="14.25" customHeight="1">
      <c r="A787" s="32"/>
      <c r="B787" s="32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</row>
    <row r="788" spans="1:26" ht="14.25" customHeight="1">
      <c r="A788" s="32"/>
      <c r="B788" s="32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</row>
    <row r="789" spans="1:26" ht="14.25" customHeight="1">
      <c r="A789" s="32"/>
      <c r="B789" s="32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</row>
    <row r="790" spans="1:26" ht="14.25" customHeight="1">
      <c r="A790" s="32"/>
      <c r="B790" s="32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</row>
    <row r="791" spans="1:26" ht="14.25" customHeight="1">
      <c r="A791" s="32"/>
      <c r="B791" s="32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</row>
    <row r="792" spans="1:26" ht="14.25" customHeight="1">
      <c r="A792" s="32"/>
      <c r="B792" s="32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</row>
    <row r="793" spans="1:26" ht="14.25" customHeight="1">
      <c r="A793" s="32"/>
      <c r="B793" s="32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</row>
    <row r="794" spans="1:26" ht="14.25" customHeight="1">
      <c r="A794" s="32"/>
      <c r="B794" s="32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</row>
    <row r="795" spans="1:26" ht="14.25" customHeight="1">
      <c r="A795" s="32"/>
      <c r="B795" s="32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</row>
    <row r="796" spans="1:26" ht="14.25" customHeight="1">
      <c r="A796" s="32"/>
      <c r="B796" s="32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</row>
    <row r="797" spans="1:26" ht="14.25" customHeight="1">
      <c r="A797" s="32"/>
      <c r="B797" s="32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</row>
    <row r="798" spans="1:26" ht="14.25" customHeight="1">
      <c r="A798" s="32"/>
      <c r="B798" s="32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</row>
    <row r="799" spans="1:26" ht="14.25" customHeight="1">
      <c r="A799" s="32"/>
      <c r="B799" s="32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</row>
    <row r="800" spans="1:26" ht="14.25" customHeight="1">
      <c r="A800" s="32"/>
      <c r="B800" s="32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</row>
    <row r="801" spans="1:26" ht="14.25" customHeight="1">
      <c r="A801" s="32"/>
      <c r="B801" s="32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</row>
    <row r="802" spans="1:26" ht="14.25" customHeight="1">
      <c r="A802" s="32"/>
      <c r="B802" s="32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</row>
    <row r="803" spans="1:26" ht="14.25" customHeight="1">
      <c r="A803" s="32"/>
      <c r="B803" s="32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</row>
    <row r="804" spans="1:26" ht="14.25" customHeight="1">
      <c r="A804" s="32"/>
      <c r="B804" s="32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</row>
    <row r="805" spans="1:26" ht="14.25" customHeight="1">
      <c r="A805" s="32"/>
      <c r="B805" s="32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</row>
    <row r="806" spans="1:26" ht="14.25" customHeight="1">
      <c r="A806" s="32"/>
      <c r="B806" s="32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</row>
    <row r="807" spans="1:26" ht="14.25" customHeight="1">
      <c r="A807" s="32"/>
      <c r="B807" s="32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</row>
    <row r="808" spans="1:26" ht="14.25" customHeight="1">
      <c r="A808" s="32"/>
      <c r="B808" s="32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</row>
    <row r="809" spans="1:26" ht="14.25" customHeight="1">
      <c r="A809" s="32"/>
      <c r="B809" s="32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</row>
    <row r="810" spans="1:26" ht="14.25" customHeight="1">
      <c r="A810" s="32"/>
      <c r="B810" s="32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</row>
    <row r="811" spans="1:26" ht="14.25" customHeight="1">
      <c r="A811" s="32"/>
      <c r="B811" s="32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</row>
    <row r="812" spans="1:26" ht="14.25" customHeight="1">
      <c r="A812" s="32"/>
      <c r="B812" s="32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</row>
    <row r="813" spans="1:26" ht="14.25" customHeight="1">
      <c r="A813" s="32"/>
      <c r="B813" s="32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</row>
    <row r="814" spans="1:26" ht="14.25" customHeight="1">
      <c r="A814" s="32"/>
      <c r="B814" s="32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</row>
    <row r="815" spans="1:26" ht="14.25" customHeight="1">
      <c r="A815" s="32"/>
      <c r="B815" s="32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</row>
    <row r="816" spans="1:26" ht="14.25" customHeight="1">
      <c r="A816" s="32"/>
      <c r="B816" s="32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</row>
    <row r="817" spans="1:26" ht="14.25" customHeight="1">
      <c r="A817" s="32"/>
      <c r="B817" s="32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</row>
    <row r="818" spans="1:26" ht="14.25" customHeight="1">
      <c r="A818" s="32"/>
      <c r="B818" s="32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</row>
    <row r="819" spans="1:26" ht="14.25" customHeight="1">
      <c r="A819" s="32"/>
      <c r="B819" s="32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</row>
    <row r="820" spans="1:26" ht="14.25" customHeight="1">
      <c r="A820" s="32"/>
      <c r="B820" s="32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</row>
    <row r="821" spans="1:26" ht="14.25" customHeight="1">
      <c r="A821" s="32"/>
      <c r="B821" s="32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</row>
    <row r="822" spans="1:26" ht="14.25" customHeight="1">
      <c r="A822" s="32"/>
      <c r="B822" s="32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</row>
    <row r="823" spans="1:26" ht="14.25" customHeight="1">
      <c r="A823" s="32"/>
      <c r="B823" s="32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</row>
    <row r="824" spans="1:26" ht="14.25" customHeight="1">
      <c r="A824" s="32"/>
      <c r="B824" s="32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</row>
    <row r="825" spans="1:26" ht="14.25" customHeight="1">
      <c r="A825" s="32"/>
      <c r="B825" s="32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</row>
    <row r="826" spans="1:26" ht="14.25" customHeight="1">
      <c r="A826" s="32"/>
      <c r="B826" s="32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</row>
    <row r="827" spans="1:26" ht="14.25" customHeight="1">
      <c r="A827" s="32"/>
      <c r="B827" s="32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</row>
    <row r="828" spans="1:26" ht="14.25" customHeight="1">
      <c r="A828" s="32"/>
      <c r="B828" s="32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</row>
    <row r="829" spans="1:26" ht="14.25" customHeight="1">
      <c r="A829" s="32"/>
      <c r="B829" s="32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</row>
    <row r="830" spans="1:26" ht="14.25" customHeight="1">
      <c r="A830" s="32"/>
      <c r="B830" s="32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</row>
    <row r="831" spans="1:26" ht="14.25" customHeight="1">
      <c r="A831" s="32"/>
      <c r="B831" s="32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</row>
    <row r="832" spans="1:26" ht="14.25" customHeight="1">
      <c r="A832" s="32"/>
      <c r="B832" s="32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</row>
    <row r="833" spans="1:26" ht="14.25" customHeight="1">
      <c r="A833" s="32"/>
      <c r="B833" s="32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</row>
    <row r="834" spans="1:26" ht="14.25" customHeight="1">
      <c r="A834" s="32"/>
      <c r="B834" s="32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</row>
    <row r="835" spans="1:26" ht="14.25" customHeight="1">
      <c r="A835" s="32"/>
      <c r="B835" s="32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</row>
    <row r="836" spans="1:26" ht="14.25" customHeight="1">
      <c r="A836" s="32"/>
      <c r="B836" s="32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</row>
    <row r="837" spans="1:26" ht="14.25" customHeight="1">
      <c r="A837" s="32"/>
      <c r="B837" s="32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</row>
    <row r="838" spans="1:26" ht="14.25" customHeight="1">
      <c r="A838" s="32"/>
      <c r="B838" s="32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</row>
    <row r="839" spans="1:26" ht="14.25" customHeight="1">
      <c r="A839" s="32"/>
      <c r="B839" s="32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</row>
    <row r="840" spans="1:26" ht="14.25" customHeight="1">
      <c r="A840" s="32"/>
      <c r="B840" s="32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</row>
    <row r="841" spans="1:26" ht="14.25" customHeight="1">
      <c r="A841" s="32"/>
      <c r="B841" s="32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</row>
    <row r="842" spans="1:26" ht="14.25" customHeight="1">
      <c r="A842" s="32"/>
      <c r="B842" s="32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</row>
    <row r="843" spans="1:26" ht="14.25" customHeight="1">
      <c r="A843" s="32"/>
      <c r="B843" s="32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</row>
    <row r="844" spans="1:26" ht="14.25" customHeight="1">
      <c r="A844" s="32"/>
      <c r="B844" s="32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</row>
    <row r="845" spans="1:26" ht="14.25" customHeight="1">
      <c r="A845" s="32"/>
      <c r="B845" s="32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</row>
    <row r="846" spans="1:26" ht="14.25" customHeight="1">
      <c r="A846" s="32"/>
      <c r="B846" s="32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</row>
    <row r="847" spans="1:26" ht="14.25" customHeight="1">
      <c r="A847" s="32"/>
      <c r="B847" s="32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</row>
    <row r="848" spans="1:26" ht="14.25" customHeight="1">
      <c r="A848" s="32"/>
      <c r="B848" s="32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</row>
    <row r="849" spans="1:26" ht="14.25" customHeight="1">
      <c r="A849" s="32"/>
      <c r="B849" s="32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</row>
    <row r="850" spans="1:26" ht="14.25" customHeight="1">
      <c r="A850" s="32"/>
      <c r="B850" s="32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</row>
    <row r="851" spans="1:26" ht="14.25" customHeight="1">
      <c r="A851" s="32"/>
      <c r="B851" s="32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</row>
    <row r="852" spans="1:26" ht="14.25" customHeight="1">
      <c r="A852" s="32"/>
      <c r="B852" s="32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</row>
    <row r="853" spans="1:26" ht="14.25" customHeight="1">
      <c r="A853" s="32"/>
      <c r="B853" s="32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</row>
    <row r="854" spans="1:26" ht="14.25" customHeight="1">
      <c r="A854" s="32"/>
      <c r="B854" s="32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</row>
    <row r="855" spans="1:26" ht="14.25" customHeight="1">
      <c r="A855" s="32"/>
      <c r="B855" s="32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</row>
    <row r="856" spans="1:26" ht="14.25" customHeight="1">
      <c r="A856" s="32"/>
      <c r="B856" s="32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</row>
    <row r="857" spans="1:26" ht="14.25" customHeight="1">
      <c r="A857" s="32"/>
      <c r="B857" s="32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</row>
    <row r="858" spans="1:26" ht="14.25" customHeight="1">
      <c r="A858" s="32"/>
      <c r="B858" s="32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</row>
    <row r="859" spans="1:26" ht="14.25" customHeight="1">
      <c r="A859" s="32"/>
      <c r="B859" s="32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</row>
    <row r="860" spans="1:26" ht="14.25" customHeight="1">
      <c r="A860" s="32"/>
      <c r="B860" s="32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</row>
    <row r="861" spans="1:26" ht="14.25" customHeight="1">
      <c r="A861" s="32"/>
      <c r="B861" s="32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</row>
    <row r="862" spans="1:26" ht="14.25" customHeight="1">
      <c r="A862" s="32"/>
      <c r="B862" s="32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</row>
    <row r="863" spans="1:26" ht="14.25" customHeight="1">
      <c r="A863" s="32"/>
      <c r="B863" s="32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</row>
    <row r="864" spans="1:26" ht="14.25" customHeight="1">
      <c r="A864" s="32"/>
      <c r="B864" s="32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</row>
    <row r="865" spans="1:26" ht="14.25" customHeight="1">
      <c r="A865" s="32"/>
      <c r="B865" s="32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</row>
    <row r="866" spans="1:26" ht="14.25" customHeight="1">
      <c r="A866" s="32"/>
      <c r="B866" s="32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</row>
    <row r="867" spans="1:26" ht="14.25" customHeight="1">
      <c r="A867" s="32"/>
      <c r="B867" s="32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</row>
    <row r="868" spans="1:26" ht="14.25" customHeight="1">
      <c r="A868" s="32"/>
      <c r="B868" s="32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</row>
    <row r="869" spans="1:26" ht="14.25" customHeight="1">
      <c r="A869" s="32"/>
      <c r="B869" s="32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</row>
    <row r="870" spans="1:26" ht="14.25" customHeight="1">
      <c r="A870" s="32"/>
      <c r="B870" s="32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</row>
    <row r="871" spans="1:26" ht="14.25" customHeight="1">
      <c r="A871" s="32"/>
      <c r="B871" s="32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</row>
    <row r="872" spans="1:26" ht="14.25" customHeight="1">
      <c r="A872" s="32"/>
      <c r="B872" s="32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</row>
    <row r="873" spans="1:26" ht="14.25" customHeight="1">
      <c r="A873" s="32"/>
      <c r="B873" s="32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</row>
    <row r="874" spans="1:26" ht="14.25" customHeight="1">
      <c r="A874" s="32"/>
      <c r="B874" s="32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</row>
    <row r="875" spans="1:26" ht="14.25" customHeight="1">
      <c r="A875" s="32"/>
      <c r="B875" s="32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</row>
    <row r="876" spans="1:26" ht="14.25" customHeight="1">
      <c r="A876" s="32"/>
      <c r="B876" s="32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</row>
    <row r="877" spans="1:26" ht="14.25" customHeight="1">
      <c r="A877" s="32"/>
      <c r="B877" s="32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</row>
    <row r="878" spans="1:26" ht="14.25" customHeight="1">
      <c r="A878" s="32"/>
      <c r="B878" s="32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</row>
    <row r="879" spans="1:26" ht="14.25" customHeight="1">
      <c r="A879" s="32"/>
      <c r="B879" s="32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</row>
    <row r="880" spans="1:26" ht="14.25" customHeight="1">
      <c r="A880" s="32"/>
      <c r="B880" s="32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</row>
    <row r="881" spans="1:26" ht="14.25" customHeight="1">
      <c r="A881" s="32"/>
      <c r="B881" s="32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</row>
    <row r="882" spans="1:26" ht="14.25" customHeight="1">
      <c r="A882" s="32"/>
      <c r="B882" s="32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</row>
    <row r="883" spans="1:26" ht="14.25" customHeight="1">
      <c r="A883" s="32"/>
      <c r="B883" s="32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</row>
    <row r="884" spans="1:26" ht="14.25" customHeight="1">
      <c r="A884" s="32"/>
      <c r="B884" s="32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</row>
    <row r="885" spans="1:26" ht="14.25" customHeight="1">
      <c r="A885" s="32"/>
      <c r="B885" s="32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</row>
    <row r="886" spans="1:26" ht="14.25" customHeight="1">
      <c r="A886" s="32"/>
      <c r="B886" s="32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</row>
    <row r="887" spans="1:26" ht="14.25" customHeight="1">
      <c r="A887" s="32"/>
      <c r="B887" s="32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</row>
    <row r="888" spans="1:26" ht="14.25" customHeight="1">
      <c r="A888" s="32"/>
      <c r="B888" s="32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</row>
    <row r="889" spans="1:26" ht="14.25" customHeight="1">
      <c r="A889" s="32"/>
      <c r="B889" s="32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</row>
    <row r="890" spans="1:26" ht="14.25" customHeight="1">
      <c r="A890" s="32"/>
      <c r="B890" s="32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</row>
    <row r="891" spans="1:26" ht="14.25" customHeight="1">
      <c r="A891" s="32"/>
      <c r="B891" s="32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</row>
    <row r="892" spans="1:26" ht="14.25" customHeight="1">
      <c r="A892" s="32"/>
      <c r="B892" s="32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</row>
    <row r="893" spans="1:26" ht="14.25" customHeight="1">
      <c r="A893" s="32"/>
      <c r="B893" s="32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</row>
    <row r="894" spans="1:26" ht="14.25" customHeight="1">
      <c r="A894" s="32"/>
      <c r="B894" s="32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</row>
    <row r="895" spans="1:26" ht="14.25" customHeight="1">
      <c r="A895" s="32"/>
      <c r="B895" s="32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</row>
    <row r="896" spans="1:26" ht="14.25" customHeight="1">
      <c r="A896" s="32"/>
      <c r="B896" s="32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</row>
    <row r="897" spans="1:26" ht="14.25" customHeight="1">
      <c r="A897" s="32"/>
      <c r="B897" s="32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</row>
    <row r="898" spans="1:26" ht="14.25" customHeight="1">
      <c r="A898" s="32"/>
      <c r="B898" s="32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</row>
    <row r="899" spans="1:26" ht="14.25" customHeight="1">
      <c r="A899" s="32"/>
      <c r="B899" s="32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</row>
    <row r="900" spans="1:26" ht="14.25" customHeight="1">
      <c r="A900" s="32"/>
      <c r="B900" s="32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</row>
    <row r="901" spans="1:26" ht="14.25" customHeight="1">
      <c r="A901" s="32"/>
      <c r="B901" s="32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</row>
    <row r="902" spans="1:26" ht="14.25" customHeight="1">
      <c r="A902" s="32"/>
      <c r="B902" s="32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</row>
    <row r="903" spans="1:26" ht="14.25" customHeight="1">
      <c r="A903" s="32"/>
      <c r="B903" s="32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</row>
    <row r="904" spans="1:26" ht="14.25" customHeight="1">
      <c r="A904" s="32"/>
      <c r="B904" s="32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</row>
    <row r="905" spans="1:26" ht="14.25" customHeight="1">
      <c r="A905" s="32"/>
      <c r="B905" s="32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</row>
    <row r="906" spans="1:26" ht="14.25" customHeight="1">
      <c r="A906" s="32"/>
      <c r="B906" s="32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</row>
    <row r="907" spans="1:26" ht="14.25" customHeight="1">
      <c r="A907" s="32"/>
      <c r="B907" s="32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</row>
    <row r="908" spans="1:26" ht="14.25" customHeight="1">
      <c r="A908" s="32"/>
      <c r="B908" s="32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</row>
    <row r="909" spans="1:26" ht="14.25" customHeight="1">
      <c r="A909" s="32"/>
      <c r="B909" s="32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</row>
    <row r="910" spans="1:26" ht="14.25" customHeight="1">
      <c r="A910" s="32"/>
      <c r="B910" s="32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</row>
    <row r="911" spans="1:26" ht="14.25" customHeight="1">
      <c r="A911" s="32"/>
      <c r="B911" s="32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</row>
    <row r="912" spans="1:26" ht="14.25" customHeight="1">
      <c r="A912" s="32"/>
      <c r="B912" s="32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</row>
    <row r="913" spans="1:26" ht="14.25" customHeight="1">
      <c r="A913" s="32"/>
      <c r="B913" s="32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</row>
    <row r="914" spans="1:26" ht="14.25" customHeight="1">
      <c r="A914" s="32"/>
      <c r="B914" s="32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</row>
    <row r="915" spans="1:26" ht="14.25" customHeight="1">
      <c r="A915" s="32"/>
      <c r="B915" s="32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</row>
    <row r="916" spans="1:26" ht="14.25" customHeight="1">
      <c r="A916" s="32"/>
      <c r="B916" s="32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</row>
    <row r="917" spans="1:26" ht="14.25" customHeight="1">
      <c r="A917" s="32"/>
      <c r="B917" s="32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</row>
    <row r="918" spans="1:26" ht="14.25" customHeight="1">
      <c r="A918" s="32"/>
      <c r="B918" s="32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</row>
    <row r="919" spans="1:26" ht="14.25" customHeight="1">
      <c r="A919" s="32"/>
      <c r="B919" s="32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</row>
    <row r="920" spans="1:26" ht="14.25" customHeight="1">
      <c r="A920" s="32"/>
      <c r="B920" s="32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</row>
    <row r="921" spans="1:26" ht="14.25" customHeight="1">
      <c r="A921" s="32"/>
      <c r="B921" s="32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</row>
    <row r="922" spans="1:26" ht="14.25" customHeight="1">
      <c r="A922" s="32"/>
      <c r="B922" s="32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</row>
    <row r="923" spans="1:26" ht="14.25" customHeight="1">
      <c r="A923" s="32"/>
      <c r="B923" s="32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</row>
    <row r="924" spans="1:26" ht="14.25" customHeight="1">
      <c r="A924" s="32"/>
      <c r="B924" s="32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</row>
    <row r="925" spans="1:26" ht="14.25" customHeight="1">
      <c r="A925" s="32"/>
      <c r="B925" s="32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</row>
    <row r="926" spans="1:26" ht="14.25" customHeight="1">
      <c r="A926" s="32"/>
      <c r="B926" s="32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</row>
    <row r="927" spans="1:26" ht="14.25" customHeight="1">
      <c r="A927" s="32"/>
      <c r="B927" s="32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</row>
    <row r="928" spans="1:26" ht="14.25" customHeight="1">
      <c r="A928" s="32"/>
      <c r="B928" s="32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</row>
    <row r="929" spans="1:26" ht="14.25" customHeight="1">
      <c r="A929" s="32"/>
      <c r="B929" s="32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</row>
    <row r="930" spans="1:26" ht="14.25" customHeight="1">
      <c r="A930" s="32"/>
      <c r="B930" s="32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</row>
    <row r="931" spans="1:26" ht="14.25" customHeight="1">
      <c r="A931" s="32"/>
      <c r="B931" s="32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</row>
    <row r="932" spans="1:26" ht="14.25" customHeight="1">
      <c r="A932" s="32"/>
      <c r="B932" s="32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</row>
    <row r="933" spans="1:26" ht="14.25" customHeight="1">
      <c r="A933" s="32"/>
      <c r="B933" s="32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</row>
    <row r="934" spans="1:26" ht="14.25" customHeight="1">
      <c r="A934" s="32"/>
      <c r="B934" s="32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</row>
    <row r="935" spans="1:26" ht="14.25" customHeight="1">
      <c r="A935" s="32"/>
      <c r="B935" s="32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</row>
    <row r="936" spans="1:26" ht="14.25" customHeight="1">
      <c r="A936" s="32"/>
      <c r="B936" s="32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</row>
    <row r="937" spans="1:26" ht="14.25" customHeight="1">
      <c r="A937" s="32"/>
      <c r="B937" s="32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</row>
    <row r="938" spans="1:26" ht="14.25" customHeight="1">
      <c r="A938" s="32"/>
      <c r="B938" s="32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</row>
    <row r="939" spans="1:26" ht="14.25" customHeight="1">
      <c r="A939" s="32"/>
      <c r="B939" s="32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</row>
    <row r="940" spans="1:26" ht="14.25" customHeight="1">
      <c r="A940" s="32"/>
      <c r="B940" s="32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</row>
    <row r="941" spans="1:26" ht="14.25" customHeight="1">
      <c r="A941" s="32"/>
      <c r="B941" s="32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</row>
    <row r="942" spans="1:26" ht="14.25" customHeight="1">
      <c r="A942" s="32"/>
      <c r="B942" s="32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</row>
    <row r="943" spans="1:26" ht="14.25" customHeight="1">
      <c r="A943" s="32"/>
      <c r="B943" s="32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</row>
    <row r="944" spans="1:26" ht="14.25" customHeight="1">
      <c r="A944" s="32"/>
      <c r="B944" s="32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</row>
    <row r="945" spans="1:26" ht="14.25" customHeight="1">
      <c r="A945" s="32"/>
      <c r="B945" s="32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</row>
    <row r="946" spans="1:26" ht="14.25" customHeight="1">
      <c r="A946" s="32"/>
      <c r="B946" s="32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</row>
    <row r="947" spans="1:26" ht="14.25" customHeight="1">
      <c r="A947" s="32"/>
      <c r="B947" s="32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</row>
    <row r="948" spans="1:26" ht="14.25" customHeight="1">
      <c r="A948" s="32"/>
      <c r="B948" s="32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</row>
    <row r="949" spans="1:26" ht="14.25" customHeight="1">
      <c r="A949" s="32"/>
      <c r="B949" s="32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</row>
    <row r="950" spans="1:26" ht="14.25" customHeight="1">
      <c r="A950" s="32"/>
      <c r="B950" s="32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</row>
    <row r="951" spans="1:26" ht="14.25" customHeight="1">
      <c r="A951" s="32"/>
      <c r="B951" s="32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</row>
    <row r="952" spans="1:26" ht="14.25" customHeight="1">
      <c r="A952" s="32"/>
      <c r="B952" s="32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</row>
    <row r="953" spans="1:26" ht="14.25" customHeight="1">
      <c r="A953" s="32"/>
      <c r="B953" s="32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</row>
    <row r="954" spans="1:26" ht="14.25" customHeight="1">
      <c r="A954" s="32"/>
      <c r="B954" s="32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</row>
    <row r="955" spans="1:26" ht="14.25" customHeight="1">
      <c r="A955" s="32"/>
      <c r="B955" s="32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</row>
    <row r="956" spans="1:26" ht="14.25" customHeight="1">
      <c r="A956" s="32"/>
      <c r="B956" s="32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</row>
    <row r="957" spans="1:26" ht="14.25" customHeight="1">
      <c r="A957" s="32"/>
      <c r="B957" s="32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</row>
    <row r="958" spans="1:26" ht="14.25" customHeight="1">
      <c r="A958" s="32"/>
      <c r="B958" s="32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</row>
    <row r="959" spans="1:26" ht="14.25" customHeight="1">
      <c r="A959" s="32"/>
      <c r="B959" s="32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</row>
    <row r="960" spans="1:26" ht="14.25" customHeight="1">
      <c r="A960" s="32"/>
      <c r="B960" s="32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</row>
    <row r="961" spans="1:26" ht="14.25" customHeight="1">
      <c r="A961" s="32"/>
      <c r="B961" s="32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</row>
    <row r="962" spans="1:26" ht="14.25" customHeight="1">
      <c r="A962" s="32"/>
      <c r="B962" s="32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</row>
    <row r="963" spans="1:26" ht="14.25" customHeight="1">
      <c r="A963" s="32"/>
      <c r="B963" s="32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</row>
    <row r="964" spans="1:26" ht="14.25" customHeight="1">
      <c r="A964" s="32"/>
      <c r="B964" s="32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</row>
    <row r="965" spans="1:26" ht="14.25" customHeight="1">
      <c r="A965" s="32"/>
      <c r="B965" s="32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</row>
    <row r="966" spans="1:26" ht="14.25" customHeight="1">
      <c r="A966" s="32"/>
      <c r="B966" s="32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</row>
    <row r="967" spans="1:26" ht="14.25" customHeight="1">
      <c r="A967" s="32"/>
      <c r="B967" s="32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</row>
    <row r="968" spans="1:26" ht="14.25" customHeight="1">
      <c r="A968" s="32"/>
      <c r="B968" s="32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</row>
    <row r="969" spans="1:26" ht="14.25" customHeight="1">
      <c r="A969" s="32"/>
      <c r="B969" s="32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</row>
    <row r="970" spans="1:26" ht="14.25" customHeight="1">
      <c r="A970" s="32"/>
      <c r="B970" s="32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</row>
    <row r="971" spans="1:26" ht="14.25" customHeight="1">
      <c r="A971" s="32"/>
      <c r="B971" s="32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</row>
    <row r="972" spans="1:26" ht="14.25" customHeight="1">
      <c r="A972" s="32"/>
      <c r="B972" s="32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</row>
    <row r="973" spans="1:26" ht="14.25" customHeight="1">
      <c r="A973" s="32"/>
      <c r="B973" s="32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</row>
    <row r="974" spans="1:26" ht="14.25" customHeight="1">
      <c r="A974" s="32"/>
      <c r="B974" s="32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</row>
    <row r="975" spans="1:26" ht="14.25" customHeight="1">
      <c r="A975" s="32"/>
      <c r="B975" s="32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</row>
    <row r="976" spans="1:26" ht="14.25" customHeight="1">
      <c r="A976" s="32"/>
      <c r="B976" s="32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</row>
    <row r="977" spans="1:26" ht="14.25" customHeight="1">
      <c r="A977" s="32"/>
      <c r="B977" s="32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</row>
    <row r="978" spans="1:26" ht="14.25" customHeight="1">
      <c r="A978" s="32"/>
      <c r="B978" s="32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</row>
    <row r="979" spans="1:26" ht="14.25" customHeight="1">
      <c r="A979" s="32"/>
      <c r="B979" s="32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</row>
    <row r="980" spans="1:26" ht="14.25" customHeight="1">
      <c r="A980" s="32"/>
      <c r="B980" s="32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</row>
    <row r="981" spans="1:26" ht="14.25" customHeight="1">
      <c r="A981" s="32"/>
      <c r="B981" s="32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</row>
    <row r="982" spans="1:26" ht="14.25" customHeight="1">
      <c r="A982" s="32"/>
      <c r="B982" s="32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</row>
    <row r="983" spans="1:26" ht="14.25" customHeight="1">
      <c r="A983" s="32"/>
      <c r="B983" s="32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</row>
    <row r="984" spans="1:26" ht="14.25" customHeight="1">
      <c r="A984" s="32"/>
      <c r="B984" s="32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</row>
    <row r="985" spans="1:26" ht="14.25" customHeight="1">
      <c r="A985" s="32"/>
      <c r="B985" s="32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</row>
    <row r="986" spans="1:26" ht="14.25" customHeight="1">
      <c r="A986" s="32"/>
      <c r="B986" s="32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</row>
    <row r="987" spans="1:26" ht="14.25" customHeight="1">
      <c r="A987" s="32"/>
      <c r="B987" s="32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</row>
    <row r="988" spans="1:26" ht="14.25" customHeight="1">
      <c r="A988" s="32"/>
      <c r="B988" s="32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</row>
    <row r="989" spans="1:26" ht="14.25" customHeight="1">
      <c r="A989" s="32"/>
      <c r="B989" s="32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</row>
    <row r="990" spans="1:26" ht="14.25" customHeight="1">
      <c r="A990" s="32"/>
      <c r="B990" s="32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</row>
    <row r="991" spans="1:26" ht="14.25" customHeight="1">
      <c r="A991" s="32"/>
      <c r="B991" s="32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</row>
    <row r="992" spans="1:26" ht="14.25" customHeight="1">
      <c r="A992" s="32"/>
      <c r="B992" s="32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</row>
    <row r="993" spans="1:26" ht="14.25" customHeight="1">
      <c r="A993" s="32"/>
      <c r="B993" s="32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</row>
    <row r="994" spans="1:26" ht="14.25" customHeight="1">
      <c r="A994" s="32"/>
      <c r="B994" s="32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</row>
    <row r="995" spans="1:26" ht="14.25" customHeight="1">
      <c r="A995" s="32"/>
      <c r="B995" s="32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</row>
    <row r="996" spans="1:26" ht="14.25" customHeight="1">
      <c r="A996" s="32"/>
      <c r="B996" s="32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</row>
    <row r="997" spans="1:26" ht="14.25" customHeight="1">
      <c r="A997" s="32"/>
      <c r="B997" s="32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</row>
    <row r="998" spans="1:26" ht="14.25" customHeight="1">
      <c r="A998" s="32"/>
      <c r="B998" s="32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</row>
    <row r="999" spans="1:26" ht="14.25" customHeight="1">
      <c r="A999" s="32"/>
      <c r="B999" s="32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</row>
    <row r="1000" spans="1:26" ht="14.25" customHeight="1">
      <c r="A1000" s="32"/>
      <c r="B1000" s="32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I1:I1000"/>
  <sheetViews>
    <sheetView workbookViewId="0"/>
  </sheetViews>
  <sheetFormatPr baseColWidth="10" defaultColWidth="12.59765625" defaultRowHeight="15" customHeight="1"/>
  <cols>
    <col min="1" max="26" width="10.59765625" customWidth="1"/>
  </cols>
  <sheetData>
    <row r="1" ht="13.5" customHeight="1"/>
    <row r="2" ht="13.5" customHeight="1"/>
    <row r="3" ht="13.5" customHeight="1"/>
    <row r="4" ht="13.5" customHeight="1"/>
    <row r="5" ht="13.5" customHeight="1"/>
    <row r="6" ht="13.5" customHeight="1"/>
    <row r="7" ht="13.5" customHeight="1"/>
    <row r="8" ht="13.5" customHeight="1"/>
    <row r="9" ht="13.5" customHeight="1"/>
    <row r="10" ht="13.5" customHeight="1"/>
    <row r="11" ht="13.5" customHeight="1"/>
    <row r="12" ht="13.5" customHeight="1"/>
    <row r="13" ht="13.5" customHeight="1"/>
    <row r="14" ht="13.5" customHeight="1"/>
    <row r="15" ht="13.5" customHeight="1"/>
    <row r="16" ht="13.5" customHeight="1"/>
    <row r="17" spans="9:9" ht="13.5" customHeight="1">
      <c r="I17" s="2"/>
    </row>
    <row r="18" spans="9:9" ht="13.5" customHeight="1"/>
    <row r="19" spans="9:9" ht="13.5" customHeight="1"/>
    <row r="20" spans="9:9" ht="13.5" customHeight="1"/>
    <row r="21" spans="9:9" ht="13.5" customHeight="1"/>
    <row r="22" spans="9:9" ht="13.5" customHeight="1"/>
    <row r="23" spans="9:9" ht="13.5" customHeight="1"/>
    <row r="24" spans="9:9" ht="13.5" customHeight="1"/>
    <row r="25" spans="9:9" ht="13.5" customHeight="1"/>
    <row r="26" spans="9:9" ht="13.5" customHeight="1"/>
    <row r="27" spans="9:9" ht="13.5" customHeight="1"/>
    <row r="28" spans="9:9" ht="13.5" customHeight="1"/>
    <row r="29" spans="9:9" ht="13.5" customHeight="1"/>
    <row r="30" spans="9:9" ht="13.5" customHeight="1"/>
    <row r="31" spans="9:9" ht="13.5" customHeight="1"/>
    <row r="32" spans="9:9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 2012 MORT INFANTIL CENSO</vt:lpstr>
      <vt:lpstr> 2024 MORT INFA</vt:lpstr>
      <vt:lpstr>Datos procesados_EDSA_y_Cen2012</vt:lpstr>
      <vt:lpstr>Datos procesados_EDSA_y_Cen2024</vt:lpstr>
      <vt:lpstr>Indicador_MUN</vt:lpstr>
      <vt:lpstr>INFANTIL Absoluto_MUN</vt:lpstr>
      <vt:lpstr>NIÑEZ Absoluto_MUN </vt:lpstr>
      <vt:lpstr>Absoluto_MUN</vt:lpstr>
      <vt:lpstr>Indicador_DEP </vt:lpstr>
      <vt:lpstr>Absoluto_DEP</vt:lpstr>
      <vt:lpstr>Umbral</vt:lpstr>
      <vt:lpstr>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Bustillo</dc:creator>
  <cp:lastModifiedBy>Karina</cp:lastModifiedBy>
  <dcterms:created xsi:type="dcterms:W3CDTF">2018-12-14T20:30:43Z</dcterms:created>
  <dcterms:modified xsi:type="dcterms:W3CDTF">2026-06-15T20:31:00Z</dcterms:modified>
</cp:coreProperties>
</file>