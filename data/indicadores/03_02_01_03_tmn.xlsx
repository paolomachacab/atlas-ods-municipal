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DSN\Atlas2025\R_codes\Final\Input_indicadores\"/>
    </mc:Choice>
  </mc:AlternateContent>
  <xr:revisionPtr revIDLastSave="0" documentId="13_ncr:1_{8C83F443-3A6F-40A4-9113-65459A4164CA}" xr6:coauthVersionLast="47" xr6:coauthVersionMax="47" xr10:uidLastSave="{00000000-0000-0000-0000-000000000000}"/>
  <bookViews>
    <workbookView xWindow="-108" yWindow="-108" windowWidth="23256" windowHeight="12456" tabRatio="739" firstSheet="3" activeTab="10" xr2:uid="{00000000-000D-0000-FFFF-FFFF00000000}"/>
  </bookViews>
  <sheets>
    <sheet name=" 2012 MORT NIÑEZ _CENSO" sheetId="1" r:id="rId1"/>
    <sheet name=" 2024 MORT NIÑEZ_CENSO" sheetId="2" r:id="rId2"/>
    <sheet name="Datos procesados_EDSA_y_Cen2012" sheetId="11" r:id="rId3"/>
    <sheet name="Datos procesados_EDSA_y_Cen2024" sheetId="12" r:id="rId4"/>
    <sheet name="Indicador_MUN" sheetId="3" r:id="rId5"/>
    <sheet name="INFANTIL Absoluto_MUN" sheetId="4" state="hidden" r:id="rId6"/>
    <sheet name="NIÑEZ Absoluto_MUN " sheetId="5" state="hidden" r:id="rId7"/>
    <sheet name="Absoluto_MUN" sheetId="6" r:id="rId8"/>
    <sheet name="Indicador_DEP " sheetId="7" r:id="rId9"/>
    <sheet name="Absoluto_DEP" sheetId="8" r:id="rId10"/>
    <sheet name="Umbral" sheetId="9" r:id="rId11"/>
    <sheet name="Mapa" sheetId="10" r:id="rId12"/>
  </sheets>
  <definedNames>
    <definedName name="_xlnm._FilterDatabase" localSheetId="7" hidden="1">Absoluto_MUN!$A$1:$D$1</definedName>
    <definedName name="_xlnm._FilterDatabase" localSheetId="4" hidden="1">Indicador_MUN!$A$1:$D$1</definedName>
    <definedName name="_xlnm._FilterDatabase" localSheetId="5" hidden="1">'INFANTIL Absoluto_MUN'!$A$1:$D$1</definedName>
    <definedName name="_xlnm._FilterDatabase" localSheetId="6" hidden="1">'NIÑEZ Absoluto_MUN '!$A$1:$D$1</definedName>
  </definedNames>
  <calcPr calcId="191029"/>
  <extLst>
    <ext uri="GoogleSheetsCustomDataVersion2">
      <go:sheetsCustomData xmlns:go="http://customooxmlschemas.google.com/" r:id="rId14" roundtripDataChecksum="khqDWigZg5lhlWMmuuvMWURaN1xUek4PQ04zScNkL+A="/>
    </ext>
  </extLst>
</workbook>
</file>

<file path=xl/calcChain.xml><?xml version="1.0" encoding="utf-8"?>
<calcChain xmlns="http://schemas.openxmlformats.org/spreadsheetml/2006/main">
  <c r="T10" i="11" l="1"/>
  <c r="T11" i="11"/>
  <c r="T11" i="12"/>
  <c r="G2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G338" i="12"/>
  <c r="G326" i="12"/>
  <c r="I273" i="12"/>
  <c r="J273" i="12" s="1"/>
  <c r="G298" i="12"/>
  <c r="I209" i="12"/>
  <c r="J209" i="12" s="1"/>
  <c r="G211" i="12"/>
  <c r="G170" i="12"/>
  <c r="I129" i="12"/>
  <c r="J129" i="12" s="1"/>
  <c r="G131" i="12"/>
  <c r="G11" i="12"/>
  <c r="Q12" i="2"/>
  <c r="Q11" i="2"/>
  <c r="Q10" i="2"/>
  <c r="Q9" i="2"/>
  <c r="Q8" i="2"/>
  <c r="Q7" i="2"/>
  <c r="Q6" i="2"/>
  <c r="Q5" i="2"/>
  <c r="Q4" i="2"/>
  <c r="Q3" i="2"/>
  <c r="Q2" i="2"/>
  <c r="N11" i="2"/>
  <c r="M11" i="2"/>
  <c r="P12" i="2"/>
  <c r="P11" i="2"/>
  <c r="P10" i="2"/>
  <c r="P9" i="2"/>
  <c r="P8" i="2"/>
  <c r="P7" i="2"/>
  <c r="P6" i="2"/>
  <c r="P5" i="2"/>
  <c r="P4" i="2"/>
  <c r="P3" i="2"/>
  <c r="P2" i="2"/>
  <c r="M2" i="2"/>
  <c r="G339" i="12"/>
  <c r="G330" i="12"/>
  <c r="G307" i="12"/>
  <c r="G299" i="12"/>
  <c r="G290" i="12"/>
  <c r="G267" i="12"/>
  <c r="G259" i="12"/>
  <c r="G250" i="12"/>
  <c r="G243" i="12"/>
  <c r="G227" i="12"/>
  <c r="G218" i="12"/>
  <c r="G203" i="12"/>
  <c r="G163" i="12"/>
  <c r="G146" i="12"/>
  <c r="G138" i="12"/>
  <c r="G130" i="12"/>
  <c r="G115" i="12"/>
  <c r="G114" i="12"/>
  <c r="G107" i="12"/>
  <c r="G106" i="12"/>
  <c r="G99" i="12"/>
  <c r="G98" i="12"/>
  <c r="G91" i="12"/>
  <c r="G90" i="12"/>
  <c r="G82" i="12"/>
  <c r="G75" i="12"/>
  <c r="G67" i="12"/>
  <c r="G66" i="12"/>
  <c r="G59" i="12"/>
  <c r="G58" i="12"/>
  <c r="G51" i="12"/>
  <c r="G50" i="12"/>
  <c r="G42" i="12"/>
  <c r="G35" i="12"/>
  <c r="G27" i="12"/>
  <c r="G18" i="12"/>
  <c r="G10" i="12"/>
  <c r="I337" i="12"/>
  <c r="J337" i="12" s="1"/>
  <c r="I329" i="12"/>
  <c r="J329" i="12" s="1"/>
  <c r="I321" i="12"/>
  <c r="J321" i="12" s="1"/>
  <c r="I305" i="12"/>
  <c r="J305" i="12" s="1"/>
  <c r="I297" i="12"/>
  <c r="J297" i="12" s="1"/>
  <c r="I289" i="12"/>
  <c r="J289" i="12" s="1"/>
  <c r="I257" i="12"/>
  <c r="J257" i="12" s="1"/>
  <c r="I249" i="12"/>
  <c r="J249" i="12" s="1"/>
  <c r="I233" i="12"/>
  <c r="J233" i="12" s="1"/>
  <c r="I225" i="12"/>
  <c r="J225" i="12" s="1"/>
  <c r="I217" i="12"/>
  <c r="J217" i="12" s="1"/>
  <c r="I193" i="12"/>
  <c r="J193" i="12" s="1"/>
  <c r="I185" i="12"/>
  <c r="J185" i="12" s="1"/>
  <c r="I169" i="12"/>
  <c r="J169" i="12" s="1"/>
  <c r="I161" i="12"/>
  <c r="J161" i="12" s="1"/>
  <c r="I153" i="12"/>
  <c r="J153" i="12" s="1"/>
  <c r="I137" i="12"/>
  <c r="J137" i="12" s="1"/>
  <c r="I113" i="12"/>
  <c r="J113" i="12" s="1"/>
  <c r="I105" i="12"/>
  <c r="J105" i="12" s="1"/>
  <c r="I97" i="12"/>
  <c r="J97" i="12" s="1"/>
  <c r="I89" i="12"/>
  <c r="J89" i="12" s="1"/>
  <c r="I81" i="12"/>
  <c r="J81" i="12" s="1"/>
  <c r="I73" i="12"/>
  <c r="J73" i="12" s="1"/>
  <c r="I65" i="12"/>
  <c r="J65" i="12" s="1"/>
  <c r="I57" i="12"/>
  <c r="J57" i="12" s="1"/>
  <c r="I49" i="12"/>
  <c r="J49" i="12" s="1"/>
  <c r="I41" i="12"/>
  <c r="J41" i="12" s="1"/>
  <c r="I33" i="12"/>
  <c r="J33" i="12" s="1"/>
  <c r="I25" i="12"/>
  <c r="J25" i="12" s="1"/>
  <c r="I17" i="12"/>
  <c r="J17" i="12" s="1"/>
  <c r="I9" i="12"/>
  <c r="J9" i="12" s="1"/>
  <c r="G297" i="12"/>
  <c r="G281" i="12"/>
  <c r="G249" i="12"/>
  <c r="G233" i="12"/>
  <c r="G217" i="12"/>
  <c r="G153" i="12"/>
  <c r="G145" i="12"/>
  <c r="G137" i="12"/>
  <c r="G113" i="12"/>
  <c r="G105" i="12"/>
  <c r="G97" i="12"/>
  <c r="G89" i="12"/>
  <c r="G81" i="12"/>
  <c r="G73" i="12"/>
  <c r="G65" i="12"/>
  <c r="G49" i="12"/>
  <c r="G41" i="12"/>
  <c r="G33" i="12"/>
  <c r="G17" i="12"/>
  <c r="I344" i="12"/>
  <c r="J344" i="12" s="1"/>
  <c r="I343" i="12"/>
  <c r="J343" i="12" s="1"/>
  <c r="I342" i="12"/>
  <c r="J342" i="12" s="1"/>
  <c r="I341" i="12"/>
  <c r="J341" i="12" s="1"/>
  <c r="G341" i="12"/>
  <c r="I340" i="12"/>
  <c r="J340" i="12" s="1"/>
  <c r="I339" i="12"/>
  <c r="J339" i="12" s="1"/>
  <c r="I338" i="12"/>
  <c r="J338" i="12" s="1"/>
  <c r="I336" i="12"/>
  <c r="J336" i="12" s="1"/>
  <c r="G336" i="12"/>
  <c r="I335" i="12"/>
  <c r="J335" i="12" s="1"/>
  <c r="G335" i="12"/>
  <c r="I334" i="12"/>
  <c r="J334" i="12" s="1"/>
  <c r="I333" i="12"/>
  <c r="J333" i="12" s="1"/>
  <c r="G333" i="12"/>
  <c r="I332" i="12"/>
  <c r="J332" i="12" s="1"/>
  <c r="G332" i="12"/>
  <c r="I331" i="12"/>
  <c r="J331" i="12" s="1"/>
  <c r="G331" i="12"/>
  <c r="I330" i="12"/>
  <c r="J330" i="12" s="1"/>
  <c r="I328" i="12"/>
  <c r="J328" i="12" s="1"/>
  <c r="I327" i="12"/>
  <c r="J327" i="12" s="1"/>
  <c r="I326" i="12"/>
  <c r="J326" i="12" s="1"/>
  <c r="I325" i="12"/>
  <c r="J325" i="12" s="1"/>
  <c r="I324" i="12"/>
  <c r="J324" i="12" s="1"/>
  <c r="I323" i="12"/>
  <c r="J323" i="12" s="1"/>
  <c r="I322" i="12"/>
  <c r="J322" i="12" s="1"/>
  <c r="G322" i="12"/>
  <c r="I320" i="12"/>
  <c r="J320" i="12" s="1"/>
  <c r="I319" i="12"/>
  <c r="J319" i="12" s="1"/>
  <c r="I318" i="12"/>
  <c r="J318" i="12" s="1"/>
  <c r="I317" i="12"/>
  <c r="J317" i="12" s="1"/>
  <c r="G317" i="12"/>
  <c r="I316" i="12"/>
  <c r="J316" i="12" s="1"/>
  <c r="I315" i="12"/>
  <c r="J315" i="12" s="1"/>
  <c r="I314" i="12"/>
  <c r="J314" i="12" s="1"/>
  <c r="I313" i="12"/>
  <c r="J313" i="12" s="1"/>
  <c r="I312" i="12"/>
  <c r="J312" i="12" s="1"/>
  <c r="I311" i="12"/>
  <c r="J311" i="12" s="1"/>
  <c r="I310" i="12"/>
  <c r="J310" i="12" s="1"/>
  <c r="I309" i="12"/>
  <c r="J309" i="12" s="1"/>
  <c r="G309" i="12"/>
  <c r="I308" i="12"/>
  <c r="J308" i="12" s="1"/>
  <c r="I307" i="12"/>
  <c r="J307" i="12" s="1"/>
  <c r="I306" i="12"/>
  <c r="J306" i="12" s="1"/>
  <c r="I304" i="12"/>
  <c r="J304" i="12" s="1"/>
  <c r="I303" i="12"/>
  <c r="J303" i="12" s="1"/>
  <c r="G303" i="12"/>
  <c r="I302" i="12"/>
  <c r="J302" i="12" s="1"/>
  <c r="I301" i="12"/>
  <c r="J301" i="12" s="1"/>
  <c r="G301" i="12"/>
  <c r="I300" i="12"/>
  <c r="J300" i="12" s="1"/>
  <c r="I299" i="12"/>
  <c r="J299" i="12" s="1"/>
  <c r="I298" i="12"/>
  <c r="J298" i="12" s="1"/>
  <c r="I296" i="12"/>
  <c r="J296" i="12" s="1"/>
  <c r="G296" i="12"/>
  <c r="I295" i="12"/>
  <c r="J295" i="12" s="1"/>
  <c r="G295" i="12"/>
  <c r="I294" i="12"/>
  <c r="J294" i="12" s="1"/>
  <c r="I293" i="12"/>
  <c r="J293" i="12" s="1"/>
  <c r="G293" i="12"/>
  <c r="I292" i="12"/>
  <c r="J292" i="12" s="1"/>
  <c r="G292" i="12"/>
  <c r="I291" i="12"/>
  <c r="J291" i="12" s="1"/>
  <c r="G291" i="12"/>
  <c r="I290" i="12"/>
  <c r="J290" i="12" s="1"/>
  <c r="I288" i="12"/>
  <c r="J288" i="12" s="1"/>
  <c r="G288" i="12"/>
  <c r="I287" i="12"/>
  <c r="J287" i="12" s="1"/>
  <c r="I286" i="12"/>
  <c r="J286" i="12" s="1"/>
  <c r="G286" i="12"/>
  <c r="I285" i="12"/>
  <c r="J285" i="12" s="1"/>
  <c r="I284" i="12"/>
  <c r="J284" i="12" s="1"/>
  <c r="G284" i="12"/>
  <c r="I283" i="12"/>
  <c r="J283" i="12" s="1"/>
  <c r="I282" i="12"/>
  <c r="J282" i="12" s="1"/>
  <c r="G282" i="12"/>
  <c r="I281" i="12"/>
  <c r="J281" i="12" s="1"/>
  <c r="I280" i="12"/>
  <c r="J280" i="12" s="1"/>
  <c r="I279" i="12"/>
  <c r="J279" i="12" s="1"/>
  <c r="G279" i="12"/>
  <c r="I278" i="12"/>
  <c r="J278" i="12" s="1"/>
  <c r="I277" i="12"/>
  <c r="J277" i="12" s="1"/>
  <c r="G277" i="12"/>
  <c r="I276" i="12"/>
  <c r="J276" i="12" s="1"/>
  <c r="I275" i="12"/>
  <c r="J275" i="12" s="1"/>
  <c r="I274" i="12"/>
  <c r="J274" i="12" s="1"/>
  <c r="I272" i="12"/>
  <c r="J272" i="12" s="1"/>
  <c r="I271" i="12"/>
  <c r="J271" i="12" s="1"/>
  <c r="G271" i="12"/>
  <c r="I270" i="12"/>
  <c r="J270" i="12" s="1"/>
  <c r="G270" i="12"/>
  <c r="I269" i="12"/>
  <c r="J269" i="12" s="1"/>
  <c r="G269" i="12"/>
  <c r="I268" i="12"/>
  <c r="J268" i="12" s="1"/>
  <c r="G268" i="12"/>
  <c r="I267" i="12"/>
  <c r="J267" i="12" s="1"/>
  <c r="I266" i="12"/>
  <c r="J266" i="12" s="1"/>
  <c r="I264" i="12"/>
  <c r="J264" i="12" s="1"/>
  <c r="G264" i="12"/>
  <c r="I263" i="12"/>
  <c r="J263" i="12" s="1"/>
  <c r="G263" i="12"/>
  <c r="I262" i="12"/>
  <c r="J262" i="12" s="1"/>
  <c r="G262" i="12"/>
  <c r="I261" i="12"/>
  <c r="J261" i="12" s="1"/>
  <c r="G261" i="12"/>
  <c r="I260" i="12"/>
  <c r="J260" i="12" s="1"/>
  <c r="G260" i="12"/>
  <c r="I259" i="12"/>
  <c r="J259" i="12" s="1"/>
  <c r="I258" i="12"/>
  <c r="J258" i="12" s="1"/>
  <c r="I256" i="12"/>
  <c r="J256" i="12" s="1"/>
  <c r="G256" i="12"/>
  <c r="I255" i="12"/>
  <c r="J255" i="12" s="1"/>
  <c r="G255" i="12"/>
  <c r="I254" i="12"/>
  <c r="J254" i="12" s="1"/>
  <c r="G254" i="12"/>
  <c r="I253" i="12"/>
  <c r="J253" i="12" s="1"/>
  <c r="G253" i="12"/>
  <c r="I252" i="12"/>
  <c r="J252" i="12" s="1"/>
  <c r="G252" i="12"/>
  <c r="I251" i="12"/>
  <c r="J251" i="12" s="1"/>
  <c r="G251" i="12"/>
  <c r="I250" i="12"/>
  <c r="J250" i="12" s="1"/>
  <c r="I248" i="12"/>
  <c r="J248" i="12" s="1"/>
  <c r="G248" i="12"/>
  <c r="I247" i="12"/>
  <c r="J247" i="12" s="1"/>
  <c r="G247" i="12"/>
  <c r="I246" i="12"/>
  <c r="J246" i="12" s="1"/>
  <c r="G246" i="12"/>
  <c r="I245" i="12"/>
  <c r="J245" i="12" s="1"/>
  <c r="G245" i="12"/>
  <c r="I244" i="12"/>
  <c r="J244" i="12" s="1"/>
  <c r="G244" i="12"/>
  <c r="I243" i="12"/>
  <c r="J243" i="12" s="1"/>
  <c r="I242" i="12"/>
  <c r="J242" i="12" s="1"/>
  <c r="G242" i="12"/>
  <c r="I240" i="12"/>
  <c r="J240" i="12" s="1"/>
  <c r="G240" i="12"/>
  <c r="I239" i="12"/>
  <c r="J239" i="12" s="1"/>
  <c r="G239" i="12"/>
  <c r="I238" i="12"/>
  <c r="J238" i="12" s="1"/>
  <c r="G238" i="12"/>
  <c r="I237" i="12"/>
  <c r="J237" i="12" s="1"/>
  <c r="G237" i="12"/>
  <c r="I236" i="12"/>
  <c r="J236" i="12" s="1"/>
  <c r="G236" i="12"/>
  <c r="I235" i="12"/>
  <c r="J235" i="12" s="1"/>
  <c r="I234" i="12"/>
  <c r="J234" i="12" s="1"/>
  <c r="I232" i="12"/>
  <c r="J232" i="12" s="1"/>
  <c r="G232" i="12"/>
  <c r="I231" i="12"/>
  <c r="J231" i="12" s="1"/>
  <c r="G231" i="12"/>
  <c r="I230" i="12"/>
  <c r="J230" i="12" s="1"/>
  <c r="G230" i="12"/>
  <c r="I229" i="12"/>
  <c r="J229" i="12" s="1"/>
  <c r="G229" i="12"/>
  <c r="I228" i="12"/>
  <c r="J228" i="12" s="1"/>
  <c r="G228" i="12"/>
  <c r="I227" i="12"/>
  <c r="J227" i="12" s="1"/>
  <c r="I226" i="12"/>
  <c r="J226" i="12" s="1"/>
  <c r="I224" i="12"/>
  <c r="J224" i="12" s="1"/>
  <c r="G224" i="12"/>
  <c r="I223" i="12"/>
  <c r="J223" i="12" s="1"/>
  <c r="G223" i="12"/>
  <c r="I222" i="12"/>
  <c r="J222" i="12" s="1"/>
  <c r="G222" i="12"/>
  <c r="I221" i="12"/>
  <c r="J221" i="12" s="1"/>
  <c r="G221" i="12"/>
  <c r="I220" i="12"/>
  <c r="J220" i="12" s="1"/>
  <c r="G220" i="12"/>
  <c r="I219" i="12"/>
  <c r="J219" i="12" s="1"/>
  <c r="G219" i="12"/>
  <c r="I218" i="12"/>
  <c r="J218" i="12" s="1"/>
  <c r="I216" i="12"/>
  <c r="J216" i="12" s="1"/>
  <c r="G216" i="12"/>
  <c r="I215" i="12"/>
  <c r="J215" i="12" s="1"/>
  <c r="G215" i="12"/>
  <c r="I214" i="12"/>
  <c r="J214" i="12" s="1"/>
  <c r="G214" i="12"/>
  <c r="I213" i="12"/>
  <c r="J213" i="12" s="1"/>
  <c r="G213" i="12"/>
  <c r="I212" i="12"/>
  <c r="J212" i="12" s="1"/>
  <c r="G212" i="12"/>
  <c r="I211" i="12"/>
  <c r="J211" i="12" s="1"/>
  <c r="I210" i="12"/>
  <c r="J210" i="12" s="1"/>
  <c r="G210" i="12"/>
  <c r="I208" i="12"/>
  <c r="J208" i="12" s="1"/>
  <c r="G208" i="12"/>
  <c r="I207" i="12"/>
  <c r="J207" i="12" s="1"/>
  <c r="G207" i="12"/>
  <c r="I206" i="12"/>
  <c r="J206" i="12" s="1"/>
  <c r="G206" i="12"/>
  <c r="I205" i="12"/>
  <c r="J205" i="12" s="1"/>
  <c r="G205" i="12"/>
  <c r="I204" i="12"/>
  <c r="J204" i="12" s="1"/>
  <c r="G204" i="12"/>
  <c r="I203" i="12"/>
  <c r="J203" i="12" s="1"/>
  <c r="I202" i="12"/>
  <c r="J202" i="12" s="1"/>
  <c r="G201" i="12"/>
  <c r="I200" i="12"/>
  <c r="J200" i="12" s="1"/>
  <c r="I199" i="12"/>
  <c r="J199" i="12" s="1"/>
  <c r="I198" i="12"/>
  <c r="J198" i="12" s="1"/>
  <c r="I197" i="12"/>
  <c r="J197" i="12" s="1"/>
  <c r="I196" i="12"/>
  <c r="J196" i="12" s="1"/>
  <c r="I195" i="12"/>
  <c r="J195" i="12" s="1"/>
  <c r="I194" i="12"/>
  <c r="J194" i="12" s="1"/>
  <c r="I192" i="12"/>
  <c r="J192" i="12" s="1"/>
  <c r="I191" i="12"/>
  <c r="J191" i="12" s="1"/>
  <c r="I190" i="12"/>
  <c r="J190" i="12" s="1"/>
  <c r="I189" i="12"/>
  <c r="J189" i="12" s="1"/>
  <c r="I188" i="12"/>
  <c r="J188" i="12" s="1"/>
  <c r="I187" i="12"/>
  <c r="J187" i="12" s="1"/>
  <c r="I186" i="12"/>
  <c r="J186" i="12" s="1"/>
  <c r="I184" i="12"/>
  <c r="J184" i="12" s="1"/>
  <c r="I183" i="12"/>
  <c r="J183" i="12" s="1"/>
  <c r="I182" i="12"/>
  <c r="J182" i="12" s="1"/>
  <c r="I181" i="12"/>
  <c r="J181" i="12" s="1"/>
  <c r="G181" i="12"/>
  <c r="I180" i="12"/>
  <c r="J180" i="12" s="1"/>
  <c r="I179" i="12"/>
  <c r="J179" i="12" s="1"/>
  <c r="I178" i="12"/>
  <c r="J178" i="12" s="1"/>
  <c r="I177" i="12"/>
  <c r="J177" i="12" s="1"/>
  <c r="I176" i="12"/>
  <c r="J176" i="12" s="1"/>
  <c r="G176" i="12"/>
  <c r="I175" i="12"/>
  <c r="J175" i="12" s="1"/>
  <c r="I174" i="12"/>
  <c r="J174" i="12" s="1"/>
  <c r="I173" i="12"/>
  <c r="J173" i="12" s="1"/>
  <c r="I172" i="12"/>
  <c r="J172" i="12" s="1"/>
  <c r="G172" i="12"/>
  <c r="I171" i="12"/>
  <c r="J171" i="12" s="1"/>
  <c r="I170" i="12"/>
  <c r="J170" i="12" s="1"/>
  <c r="I168" i="12"/>
  <c r="J168" i="12" s="1"/>
  <c r="I167" i="12"/>
  <c r="J167" i="12" s="1"/>
  <c r="G167" i="12"/>
  <c r="I166" i="12"/>
  <c r="J166" i="12" s="1"/>
  <c r="I165" i="12"/>
  <c r="J165" i="12" s="1"/>
  <c r="G165" i="12"/>
  <c r="I164" i="12"/>
  <c r="J164" i="12" s="1"/>
  <c r="G164" i="12"/>
  <c r="I163" i="12"/>
  <c r="J163" i="12" s="1"/>
  <c r="I162" i="12"/>
  <c r="J162" i="12" s="1"/>
  <c r="G162" i="12"/>
  <c r="I160" i="12"/>
  <c r="J160" i="12" s="1"/>
  <c r="G160" i="12"/>
  <c r="I159" i="12"/>
  <c r="J159" i="12" s="1"/>
  <c r="G159" i="12"/>
  <c r="I158" i="12"/>
  <c r="J158" i="12" s="1"/>
  <c r="G158" i="12"/>
  <c r="I157" i="12"/>
  <c r="J157" i="12" s="1"/>
  <c r="G157" i="12"/>
  <c r="I156" i="12"/>
  <c r="J156" i="12" s="1"/>
  <c r="G156" i="12"/>
  <c r="I155" i="12"/>
  <c r="J155" i="12" s="1"/>
  <c r="I154" i="12"/>
  <c r="J154" i="12" s="1"/>
  <c r="I152" i="12"/>
  <c r="J152" i="12" s="1"/>
  <c r="G152" i="12"/>
  <c r="I151" i="12"/>
  <c r="J151" i="12" s="1"/>
  <c r="G151" i="12"/>
  <c r="I150" i="12"/>
  <c r="J150" i="12" s="1"/>
  <c r="G150" i="12"/>
  <c r="I149" i="12"/>
  <c r="J149" i="12" s="1"/>
  <c r="G149" i="12"/>
  <c r="I148" i="12"/>
  <c r="J148" i="12" s="1"/>
  <c r="G148" i="12"/>
  <c r="I147" i="12"/>
  <c r="J147" i="12" s="1"/>
  <c r="I146" i="12"/>
  <c r="J146" i="12" s="1"/>
  <c r="I145" i="12"/>
  <c r="J145" i="12" s="1"/>
  <c r="I144" i="12"/>
  <c r="J144" i="12" s="1"/>
  <c r="G144" i="12"/>
  <c r="I143" i="12"/>
  <c r="J143" i="12" s="1"/>
  <c r="G143" i="12"/>
  <c r="I142" i="12"/>
  <c r="J142" i="12" s="1"/>
  <c r="G142" i="12"/>
  <c r="I141" i="12"/>
  <c r="J141" i="12" s="1"/>
  <c r="G141" i="12"/>
  <c r="I140" i="12"/>
  <c r="J140" i="12" s="1"/>
  <c r="G140" i="12"/>
  <c r="I139" i="12"/>
  <c r="J139" i="12" s="1"/>
  <c r="I138" i="12"/>
  <c r="J138" i="12" s="1"/>
  <c r="I136" i="12"/>
  <c r="J136" i="12" s="1"/>
  <c r="G136" i="12"/>
  <c r="I135" i="12"/>
  <c r="J135" i="12" s="1"/>
  <c r="G135" i="12"/>
  <c r="I134" i="12"/>
  <c r="J134" i="12" s="1"/>
  <c r="G134" i="12"/>
  <c r="I133" i="12"/>
  <c r="J133" i="12" s="1"/>
  <c r="G133" i="12"/>
  <c r="I132" i="12"/>
  <c r="J132" i="12" s="1"/>
  <c r="G132" i="12"/>
  <c r="I131" i="12"/>
  <c r="J131" i="12" s="1"/>
  <c r="I130" i="12"/>
  <c r="J130" i="12" s="1"/>
  <c r="I128" i="12"/>
  <c r="J128" i="12" s="1"/>
  <c r="G128" i="12"/>
  <c r="I127" i="12"/>
  <c r="J127" i="12" s="1"/>
  <c r="G127" i="12"/>
  <c r="I126" i="12"/>
  <c r="J126" i="12" s="1"/>
  <c r="G126" i="12"/>
  <c r="I125" i="12"/>
  <c r="J125" i="12" s="1"/>
  <c r="G125" i="12"/>
  <c r="I124" i="12"/>
  <c r="J124" i="12" s="1"/>
  <c r="G124" i="12"/>
  <c r="I123" i="12"/>
  <c r="J123" i="12" s="1"/>
  <c r="G123" i="12"/>
  <c r="I122" i="12"/>
  <c r="J122" i="12" s="1"/>
  <c r="I120" i="12"/>
  <c r="J120" i="12" s="1"/>
  <c r="G120" i="12"/>
  <c r="I119" i="12"/>
  <c r="J119" i="12" s="1"/>
  <c r="G119" i="12"/>
  <c r="I118" i="12"/>
  <c r="J118" i="12" s="1"/>
  <c r="G118" i="12"/>
  <c r="I117" i="12"/>
  <c r="J117" i="12" s="1"/>
  <c r="G117" i="12"/>
  <c r="I116" i="12"/>
  <c r="J116" i="12" s="1"/>
  <c r="G116" i="12"/>
  <c r="I115" i="12"/>
  <c r="J115" i="12" s="1"/>
  <c r="I114" i="12"/>
  <c r="J114" i="12" s="1"/>
  <c r="I112" i="12"/>
  <c r="J112" i="12" s="1"/>
  <c r="G112" i="12"/>
  <c r="I111" i="12"/>
  <c r="J111" i="12" s="1"/>
  <c r="G111" i="12"/>
  <c r="H111" i="12" s="1"/>
  <c r="I110" i="12"/>
  <c r="J110" i="12" s="1"/>
  <c r="G110" i="12"/>
  <c r="I109" i="12"/>
  <c r="J109" i="12" s="1"/>
  <c r="G109" i="12"/>
  <c r="I108" i="12"/>
  <c r="J108" i="12" s="1"/>
  <c r="G108" i="12"/>
  <c r="I107" i="12"/>
  <c r="J107" i="12" s="1"/>
  <c r="I106" i="12"/>
  <c r="J106" i="12" s="1"/>
  <c r="I104" i="12"/>
  <c r="J104" i="12" s="1"/>
  <c r="G104" i="12"/>
  <c r="I103" i="12"/>
  <c r="J103" i="12" s="1"/>
  <c r="G103" i="12"/>
  <c r="H103" i="12" s="1"/>
  <c r="I102" i="12"/>
  <c r="J102" i="12" s="1"/>
  <c r="G102" i="12"/>
  <c r="I101" i="12"/>
  <c r="J101" i="12" s="1"/>
  <c r="G101" i="12"/>
  <c r="I100" i="12"/>
  <c r="J100" i="12" s="1"/>
  <c r="G100" i="12"/>
  <c r="I99" i="12"/>
  <c r="J99" i="12" s="1"/>
  <c r="I98" i="12"/>
  <c r="J98" i="12" s="1"/>
  <c r="I96" i="12"/>
  <c r="J96" i="12" s="1"/>
  <c r="G96" i="12"/>
  <c r="I95" i="12"/>
  <c r="J95" i="12" s="1"/>
  <c r="G95" i="12"/>
  <c r="H95" i="12" s="1"/>
  <c r="I94" i="12"/>
  <c r="J94" i="12" s="1"/>
  <c r="G94" i="12"/>
  <c r="I93" i="12"/>
  <c r="J93" i="12" s="1"/>
  <c r="G93" i="12"/>
  <c r="I92" i="12"/>
  <c r="J92" i="12" s="1"/>
  <c r="G92" i="12"/>
  <c r="I91" i="12"/>
  <c r="J91" i="12" s="1"/>
  <c r="I90" i="12"/>
  <c r="J90" i="12" s="1"/>
  <c r="I88" i="12"/>
  <c r="J88" i="12" s="1"/>
  <c r="G88" i="12"/>
  <c r="I87" i="12"/>
  <c r="J87" i="12" s="1"/>
  <c r="G87" i="12"/>
  <c r="H87" i="12" s="1"/>
  <c r="I86" i="12"/>
  <c r="J86" i="12" s="1"/>
  <c r="G86" i="12"/>
  <c r="I85" i="12"/>
  <c r="J85" i="12" s="1"/>
  <c r="G85" i="12"/>
  <c r="I84" i="12"/>
  <c r="J84" i="12" s="1"/>
  <c r="G84" i="12"/>
  <c r="I83" i="12"/>
  <c r="J83" i="12" s="1"/>
  <c r="G83" i="12"/>
  <c r="I82" i="12"/>
  <c r="J82" i="12" s="1"/>
  <c r="I80" i="12"/>
  <c r="J80" i="12" s="1"/>
  <c r="G80" i="12"/>
  <c r="I79" i="12"/>
  <c r="J79" i="12" s="1"/>
  <c r="G79" i="12"/>
  <c r="H79" i="12" s="1"/>
  <c r="I78" i="12"/>
  <c r="J78" i="12" s="1"/>
  <c r="G78" i="12"/>
  <c r="I77" i="12"/>
  <c r="J77" i="12" s="1"/>
  <c r="G77" i="12"/>
  <c r="I76" i="12"/>
  <c r="J76" i="12" s="1"/>
  <c r="G76" i="12"/>
  <c r="I75" i="12"/>
  <c r="J75" i="12" s="1"/>
  <c r="I74" i="12"/>
  <c r="J74" i="12" s="1"/>
  <c r="G74" i="12"/>
  <c r="I72" i="12"/>
  <c r="J72" i="12" s="1"/>
  <c r="G72" i="12"/>
  <c r="I71" i="12"/>
  <c r="J71" i="12" s="1"/>
  <c r="G71" i="12"/>
  <c r="H71" i="12" s="1"/>
  <c r="I70" i="12"/>
  <c r="J70" i="12" s="1"/>
  <c r="G70" i="12"/>
  <c r="I69" i="12"/>
  <c r="J69" i="12" s="1"/>
  <c r="G69" i="12"/>
  <c r="I68" i="12"/>
  <c r="J68" i="12" s="1"/>
  <c r="G68" i="12"/>
  <c r="I67" i="12"/>
  <c r="J67" i="12" s="1"/>
  <c r="I66" i="12"/>
  <c r="J66" i="12" s="1"/>
  <c r="I64" i="12"/>
  <c r="J64" i="12" s="1"/>
  <c r="G64" i="12"/>
  <c r="I63" i="12"/>
  <c r="J63" i="12" s="1"/>
  <c r="G63" i="12"/>
  <c r="H63" i="12" s="1"/>
  <c r="I62" i="12"/>
  <c r="J62" i="12" s="1"/>
  <c r="G62" i="12"/>
  <c r="I61" i="12"/>
  <c r="J61" i="12" s="1"/>
  <c r="G61" i="12"/>
  <c r="I60" i="12"/>
  <c r="J60" i="12" s="1"/>
  <c r="G60" i="12"/>
  <c r="I59" i="12"/>
  <c r="J59" i="12" s="1"/>
  <c r="I58" i="12"/>
  <c r="J58" i="12" s="1"/>
  <c r="G57" i="12"/>
  <c r="I56" i="12"/>
  <c r="J56" i="12" s="1"/>
  <c r="G56" i="12"/>
  <c r="I55" i="12"/>
  <c r="J55" i="12" s="1"/>
  <c r="G55" i="12"/>
  <c r="H55" i="12" s="1"/>
  <c r="I54" i="12"/>
  <c r="J54" i="12" s="1"/>
  <c r="G54" i="12"/>
  <c r="I53" i="12"/>
  <c r="J53" i="12" s="1"/>
  <c r="G53" i="12"/>
  <c r="I52" i="12"/>
  <c r="J52" i="12" s="1"/>
  <c r="G52" i="12"/>
  <c r="I51" i="12"/>
  <c r="J51" i="12" s="1"/>
  <c r="I50" i="12"/>
  <c r="J50" i="12" s="1"/>
  <c r="I48" i="12"/>
  <c r="J48" i="12" s="1"/>
  <c r="G48" i="12"/>
  <c r="I47" i="12"/>
  <c r="J47" i="12" s="1"/>
  <c r="G47" i="12"/>
  <c r="H47" i="12" s="1"/>
  <c r="I46" i="12"/>
  <c r="J46" i="12" s="1"/>
  <c r="G46" i="12"/>
  <c r="I45" i="12"/>
  <c r="J45" i="12" s="1"/>
  <c r="G45" i="12"/>
  <c r="I44" i="12"/>
  <c r="J44" i="12" s="1"/>
  <c r="G44" i="12"/>
  <c r="I43" i="12"/>
  <c r="J43" i="12" s="1"/>
  <c r="G43" i="12"/>
  <c r="I42" i="12"/>
  <c r="J42" i="12" s="1"/>
  <c r="I40" i="12"/>
  <c r="J40" i="12" s="1"/>
  <c r="G40" i="12"/>
  <c r="I39" i="12"/>
  <c r="J39" i="12" s="1"/>
  <c r="G39" i="12"/>
  <c r="H39" i="12" s="1"/>
  <c r="I38" i="12"/>
  <c r="J38" i="12" s="1"/>
  <c r="G38" i="12"/>
  <c r="I37" i="12"/>
  <c r="J37" i="12" s="1"/>
  <c r="G37" i="12"/>
  <c r="I36" i="12"/>
  <c r="J36" i="12" s="1"/>
  <c r="G36" i="12"/>
  <c r="I35" i="12"/>
  <c r="J35" i="12" s="1"/>
  <c r="I34" i="12"/>
  <c r="J34" i="12" s="1"/>
  <c r="G34" i="12"/>
  <c r="I32" i="12"/>
  <c r="J32" i="12" s="1"/>
  <c r="G32" i="12"/>
  <c r="I31" i="12"/>
  <c r="J31" i="12" s="1"/>
  <c r="G31" i="12"/>
  <c r="H31" i="12" s="1"/>
  <c r="I30" i="12"/>
  <c r="J30" i="12" s="1"/>
  <c r="G30" i="12"/>
  <c r="J29" i="12"/>
  <c r="I29" i="12"/>
  <c r="G29" i="12"/>
  <c r="I28" i="12"/>
  <c r="J28" i="12" s="1"/>
  <c r="H28" i="12"/>
  <c r="G28" i="12"/>
  <c r="J27" i="12"/>
  <c r="I27" i="12"/>
  <c r="R26" i="12"/>
  <c r="Q26" i="12"/>
  <c r="I26" i="12"/>
  <c r="J26" i="12" s="1"/>
  <c r="R25" i="12"/>
  <c r="Q25" i="12"/>
  <c r="O25" i="12"/>
  <c r="R24" i="12"/>
  <c r="Q24" i="12"/>
  <c r="I24" i="12"/>
  <c r="J24" i="12" s="1"/>
  <c r="G24" i="12"/>
  <c r="R23" i="12"/>
  <c r="Q23" i="12"/>
  <c r="I23" i="12"/>
  <c r="J23" i="12" s="1"/>
  <c r="G23" i="12"/>
  <c r="R22" i="12"/>
  <c r="Q22" i="12"/>
  <c r="I22" i="12"/>
  <c r="J22" i="12" s="1"/>
  <c r="G22" i="12"/>
  <c r="R21" i="12"/>
  <c r="Q21" i="12"/>
  <c r="I21" i="12"/>
  <c r="J21" i="12" s="1"/>
  <c r="G21" i="12"/>
  <c r="R20" i="12"/>
  <c r="Q20" i="12"/>
  <c r="I20" i="12"/>
  <c r="J20" i="12" s="1"/>
  <c r="G20" i="12"/>
  <c r="R19" i="12"/>
  <c r="Q19" i="12"/>
  <c r="I19" i="12"/>
  <c r="J19" i="12" s="1"/>
  <c r="G19" i="12"/>
  <c r="R18" i="12"/>
  <c r="Q18" i="12"/>
  <c r="I18" i="12"/>
  <c r="J18" i="12" s="1"/>
  <c r="R17" i="12"/>
  <c r="Q17" i="12"/>
  <c r="I16" i="12"/>
  <c r="J16" i="12" s="1"/>
  <c r="G16" i="12"/>
  <c r="I15" i="12"/>
  <c r="J15" i="12" s="1"/>
  <c r="G15" i="12"/>
  <c r="H15" i="12" s="1"/>
  <c r="I14" i="12"/>
  <c r="J14" i="12" s="1"/>
  <c r="G14" i="12"/>
  <c r="I13" i="12"/>
  <c r="J13" i="12" s="1"/>
  <c r="G13" i="12"/>
  <c r="I12" i="12"/>
  <c r="J12" i="12" s="1"/>
  <c r="G12" i="12"/>
  <c r="H12" i="12" s="1"/>
  <c r="I11" i="12"/>
  <c r="J11" i="12" s="1"/>
  <c r="I10" i="12"/>
  <c r="J10" i="12" s="1"/>
  <c r="I8" i="12"/>
  <c r="J8" i="12" s="1"/>
  <c r="G8" i="12"/>
  <c r="H8" i="12" s="1"/>
  <c r="I7" i="12"/>
  <c r="J7" i="12" s="1"/>
  <c r="G7" i="12"/>
  <c r="H7" i="12" s="1"/>
  <c r="I6" i="12"/>
  <c r="J6" i="12" s="1"/>
  <c r="G6" i="12"/>
  <c r="I5" i="12"/>
  <c r="J5" i="12" s="1"/>
  <c r="G5" i="12"/>
  <c r="I4" i="12"/>
  <c r="J4" i="12" s="1"/>
  <c r="G4" i="12"/>
  <c r="H4" i="12" s="1"/>
  <c r="I3" i="12"/>
  <c r="J3" i="12" s="1"/>
  <c r="I2" i="12"/>
  <c r="J2" i="12" s="1"/>
  <c r="G331" i="11"/>
  <c r="H331" i="11" s="1"/>
  <c r="K331" i="11" s="1"/>
  <c r="I331" i="11"/>
  <c r="J331" i="11" s="1"/>
  <c r="G332" i="11"/>
  <c r="H332" i="11"/>
  <c r="I332" i="11"/>
  <c r="J332" i="11" s="1"/>
  <c r="G333" i="11"/>
  <c r="H333" i="11" s="1"/>
  <c r="K333" i="11" s="1"/>
  <c r="I333" i="11"/>
  <c r="J333" i="11"/>
  <c r="G334" i="11"/>
  <c r="H334" i="11" s="1"/>
  <c r="K334" i="11" s="1"/>
  <c r="I334" i="11"/>
  <c r="J334" i="11"/>
  <c r="G335" i="11"/>
  <c r="H335" i="11"/>
  <c r="K335" i="11" s="1"/>
  <c r="I335" i="11"/>
  <c r="J335" i="11"/>
  <c r="G336" i="11"/>
  <c r="H336" i="11"/>
  <c r="I336" i="11"/>
  <c r="J336" i="11"/>
  <c r="K336" i="11"/>
  <c r="G337" i="11"/>
  <c r="H337" i="11"/>
  <c r="K337" i="11" s="1"/>
  <c r="I337" i="11"/>
  <c r="J337" i="11"/>
  <c r="G338" i="11"/>
  <c r="H338" i="11"/>
  <c r="I338" i="11"/>
  <c r="J338" i="11"/>
  <c r="K338" i="11"/>
  <c r="G339" i="11"/>
  <c r="H339" i="11"/>
  <c r="I339" i="11"/>
  <c r="J339" i="11" s="1"/>
  <c r="K339" i="11" s="1"/>
  <c r="G340" i="11"/>
  <c r="H340" i="11"/>
  <c r="K340" i="11" s="1"/>
  <c r="I340" i="11"/>
  <c r="J340" i="11" s="1"/>
  <c r="G341" i="11"/>
  <c r="H341" i="11" s="1"/>
  <c r="K341" i="11" s="1"/>
  <c r="I341" i="11"/>
  <c r="J341" i="11"/>
  <c r="G342" i="11"/>
  <c r="H342" i="11" s="1"/>
  <c r="K342" i="11" s="1"/>
  <c r="I342" i="11"/>
  <c r="J342" i="11"/>
  <c r="G343" i="11"/>
  <c r="H343" i="11"/>
  <c r="K343" i="11" s="1"/>
  <c r="I343" i="11"/>
  <c r="J343" i="11"/>
  <c r="G344" i="11"/>
  <c r="H344" i="11"/>
  <c r="K344" i="11" s="1"/>
  <c r="I344" i="11"/>
  <c r="J344" i="11"/>
  <c r="J330" i="11"/>
  <c r="I330" i="11"/>
  <c r="H330" i="11"/>
  <c r="G330" i="11"/>
  <c r="G311" i="11"/>
  <c r="H311" i="11" s="1"/>
  <c r="K311" i="11" s="1"/>
  <c r="I311" i="11"/>
  <c r="J311" i="11"/>
  <c r="G312" i="11"/>
  <c r="H312" i="11"/>
  <c r="I312" i="11"/>
  <c r="J312" i="11" s="1"/>
  <c r="G313" i="11"/>
  <c r="H313" i="11"/>
  <c r="I313" i="11"/>
  <c r="J313" i="11"/>
  <c r="K313" i="11"/>
  <c r="G314" i="11"/>
  <c r="H314" i="11" s="1"/>
  <c r="K314" i="11" s="1"/>
  <c r="I314" i="11"/>
  <c r="J314" i="11"/>
  <c r="G315" i="11"/>
  <c r="H315" i="11"/>
  <c r="K315" i="11" s="1"/>
  <c r="I315" i="11"/>
  <c r="J315" i="11"/>
  <c r="G316" i="11"/>
  <c r="H316" i="11"/>
  <c r="I316" i="11"/>
  <c r="J316" i="11"/>
  <c r="K316" i="11"/>
  <c r="G317" i="11"/>
  <c r="H317" i="11"/>
  <c r="I317" i="11"/>
  <c r="J317" i="11" s="1"/>
  <c r="G318" i="11"/>
  <c r="H318" i="11"/>
  <c r="I318" i="11"/>
  <c r="J318" i="11"/>
  <c r="K318" i="11"/>
  <c r="G319" i="11"/>
  <c r="H319" i="11" s="1"/>
  <c r="K319" i="11" s="1"/>
  <c r="I319" i="11"/>
  <c r="J319" i="11"/>
  <c r="G320" i="11"/>
  <c r="H320" i="11"/>
  <c r="I320" i="11"/>
  <c r="J320" i="11" s="1"/>
  <c r="G321" i="11"/>
  <c r="H321" i="11"/>
  <c r="I321" i="11"/>
  <c r="J321" i="11"/>
  <c r="K321" i="11"/>
  <c r="G322" i="11"/>
  <c r="H322" i="11" s="1"/>
  <c r="K322" i="11" s="1"/>
  <c r="I322" i="11"/>
  <c r="J322" i="11"/>
  <c r="G323" i="11"/>
  <c r="H323" i="11"/>
  <c r="K323" i="11" s="1"/>
  <c r="I323" i="11"/>
  <c r="J323" i="11"/>
  <c r="G324" i="11"/>
  <c r="H324" i="11"/>
  <c r="I324" i="11"/>
  <c r="J324" i="11"/>
  <c r="K324" i="11"/>
  <c r="G325" i="11"/>
  <c r="H325" i="11"/>
  <c r="K325" i="11" s="1"/>
  <c r="I325" i="11"/>
  <c r="J325" i="11" s="1"/>
  <c r="G326" i="11"/>
  <c r="H326" i="11"/>
  <c r="I326" i="11"/>
  <c r="J326" i="11"/>
  <c r="K326" i="11"/>
  <c r="G327" i="11"/>
  <c r="H327" i="11" s="1"/>
  <c r="K327" i="11" s="1"/>
  <c r="I327" i="11"/>
  <c r="J327" i="11"/>
  <c r="G328" i="11"/>
  <c r="H328" i="11"/>
  <c r="K328" i="11" s="1"/>
  <c r="I328" i="11"/>
  <c r="J328" i="11" s="1"/>
  <c r="G329" i="11"/>
  <c r="H329" i="11"/>
  <c r="I329" i="11"/>
  <c r="J329" i="11"/>
  <c r="K329" i="11"/>
  <c r="J310" i="11"/>
  <c r="I310" i="11"/>
  <c r="H310" i="11"/>
  <c r="G310" i="11"/>
  <c r="G300" i="11"/>
  <c r="H300" i="11"/>
  <c r="I300" i="11"/>
  <c r="J300" i="11" s="1"/>
  <c r="G301" i="11"/>
  <c r="H301" i="11" s="1"/>
  <c r="I301" i="11"/>
  <c r="J301" i="11" s="1"/>
  <c r="G302" i="11"/>
  <c r="H302" i="11" s="1"/>
  <c r="K302" i="11" s="1"/>
  <c r="I302" i="11"/>
  <c r="J302" i="11"/>
  <c r="G303" i="11"/>
  <c r="H303" i="11" s="1"/>
  <c r="I303" i="11"/>
  <c r="J303" i="11" s="1"/>
  <c r="G304" i="11"/>
  <c r="H304" i="11"/>
  <c r="K304" i="11" s="1"/>
  <c r="I304" i="11"/>
  <c r="J304" i="11"/>
  <c r="G305" i="11"/>
  <c r="H305" i="11" s="1"/>
  <c r="K305" i="11" s="1"/>
  <c r="I305" i="11"/>
  <c r="J305" i="11" s="1"/>
  <c r="G306" i="11"/>
  <c r="H306" i="11"/>
  <c r="K306" i="11" s="1"/>
  <c r="I306" i="11"/>
  <c r="J306" i="11"/>
  <c r="G307" i="11"/>
  <c r="H307" i="11" s="1"/>
  <c r="I307" i="11"/>
  <c r="J307" i="11" s="1"/>
  <c r="G308" i="11"/>
  <c r="H308" i="11"/>
  <c r="I308" i="11"/>
  <c r="J308" i="11" s="1"/>
  <c r="G309" i="11"/>
  <c r="H309" i="11" s="1"/>
  <c r="K309" i="11" s="1"/>
  <c r="I309" i="11"/>
  <c r="J309" i="11" s="1"/>
  <c r="G280" i="11"/>
  <c r="H280" i="11" s="1"/>
  <c r="K280" i="11" s="1"/>
  <c r="I280" i="11"/>
  <c r="J280" i="11"/>
  <c r="G281" i="11"/>
  <c r="H281" i="11"/>
  <c r="I281" i="11"/>
  <c r="J281" i="11" s="1"/>
  <c r="K281" i="11" s="1"/>
  <c r="G282" i="11"/>
  <c r="H282" i="11"/>
  <c r="K282" i="11" s="1"/>
  <c r="I282" i="11"/>
  <c r="J282" i="11" s="1"/>
  <c r="G283" i="11"/>
  <c r="H283" i="11" s="1"/>
  <c r="I283" i="11"/>
  <c r="J283" i="11" s="1"/>
  <c r="G284" i="11"/>
  <c r="H284" i="11" s="1"/>
  <c r="K284" i="11" s="1"/>
  <c r="I284" i="11"/>
  <c r="J284" i="11"/>
  <c r="G285" i="11"/>
  <c r="H285" i="11" s="1"/>
  <c r="K285" i="11" s="1"/>
  <c r="I285" i="11"/>
  <c r="J285" i="11"/>
  <c r="G286" i="11"/>
  <c r="H286" i="11"/>
  <c r="I286" i="11"/>
  <c r="J286" i="11" s="1"/>
  <c r="G287" i="11"/>
  <c r="H287" i="11"/>
  <c r="I287" i="11"/>
  <c r="J287" i="11"/>
  <c r="K287" i="11"/>
  <c r="G288" i="11"/>
  <c r="H288" i="11" s="1"/>
  <c r="K288" i="11" s="1"/>
  <c r="I288" i="11"/>
  <c r="J288" i="11"/>
  <c r="G289" i="11"/>
  <c r="H289" i="11"/>
  <c r="I289" i="11"/>
  <c r="J289" i="11" s="1"/>
  <c r="G290" i="11"/>
  <c r="H290" i="11"/>
  <c r="I290" i="11"/>
  <c r="J290" i="11" s="1"/>
  <c r="G291" i="11"/>
  <c r="H291" i="11" s="1"/>
  <c r="I291" i="11"/>
  <c r="J291" i="11" s="1"/>
  <c r="G292" i="11"/>
  <c r="H292" i="11" s="1"/>
  <c r="K292" i="11" s="1"/>
  <c r="I292" i="11"/>
  <c r="J292" i="11"/>
  <c r="G293" i="11"/>
  <c r="H293" i="11" s="1"/>
  <c r="K293" i="11" s="1"/>
  <c r="I293" i="11"/>
  <c r="J293" i="11"/>
  <c r="G294" i="11"/>
  <c r="H294" i="11"/>
  <c r="I294" i="11"/>
  <c r="J294" i="11" s="1"/>
  <c r="G295" i="11"/>
  <c r="H295" i="11"/>
  <c r="I295" i="11"/>
  <c r="J295" i="11"/>
  <c r="K295" i="11"/>
  <c r="G296" i="11"/>
  <c r="H296" i="11" s="1"/>
  <c r="K296" i="11" s="1"/>
  <c r="I296" i="11"/>
  <c r="J296" i="11"/>
  <c r="G297" i="11"/>
  <c r="H297" i="11"/>
  <c r="I297" i="11"/>
  <c r="J297" i="11" s="1"/>
  <c r="K297" i="11" s="1"/>
  <c r="G298" i="11"/>
  <c r="H298" i="11"/>
  <c r="I298" i="11"/>
  <c r="J298" i="11" s="1"/>
  <c r="G299" i="11"/>
  <c r="H299" i="11" s="1"/>
  <c r="K299" i="11" s="1"/>
  <c r="I299" i="11"/>
  <c r="J299" i="11" s="1"/>
  <c r="G255" i="11"/>
  <c r="H255" i="11" s="1"/>
  <c r="K255" i="11" s="1"/>
  <c r="I255" i="11"/>
  <c r="J255" i="11"/>
  <c r="G256" i="11"/>
  <c r="H256" i="11"/>
  <c r="I256" i="11"/>
  <c r="J256" i="11" s="1"/>
  <c r="G257" i="11"/>
  <c r="H257" i="11"/>
  <c r="I257" i="11"/>
  <c r="J257" i="11" s="1"/>
  <c r="K257" i="11" s="1"/>
  <c r="G258" i="11"/>
  <c r="H258" i="11" s="1"/>
  <c r="K258" i="11" s="1"/>
  <c r="I258" i="11"/>
  <c r="J258" i="11" s="1"/>
  <c r="G259" i="11"/>
  <c r="H259" i="11" s="1"/>
  <c r="K259" i="11" s="1"/>
  <c r="I259" i="11"/>
  <c r="J259" i="11"/>
  <c r="G260" i="11"/>
  <c r="H260" i="11" s="1"/>
  <c r="K260" i="11" s="1"/>
  <c r="I260" i="11"/>
  <c r="J260" i="11"/>
  <c r="G261" i="11"/>
  <c r="H261" i="11"/>
  <c r="K261" i="11" s="1"/>
  <c r="I261" i="11"/>
  <c r="J261" i="11"/>
  <c r="G262" i="11"/>
  <c r="H262" i="11"/>
  <c r="I262" i="11"/>
  <c r="J262" i="11"/>
  <c r="K262" i="11"/>
  <c r="G263" i="11"/>
  <c r="H263" i="11"/>
  <c r="I263" i="11"/>
  <c r="J263" i="11"/>
  <c r="K263" i="11"/>
  <c r="G264" i="11"/>
  <c r="H264" i="11"/>
  <c r="I264" i="11"/>
  <c r="J264" i="11" s="1"/>
  <c r="G265" i="11"/>
  <c r="H265" i="11"/>
  <c r="I265" i="11"/>
  <c r="J265" i="11" s="1"/>
  <c r="K265" i="11" s="1"/>
  <c r="G266" i="11"/>
  <c r="H266" i="11" s="1"/>
  <c r="K266" i="11" s="1"/>
  <c r="I266" i="11"/>
  <c r="J266" i="11" s="1"/>
  <c r="G267" i="11"/>
  <c r="H267" i="11" s="1"/>
  <c r="K267" i="11" s="1"/>
  <c r="I267" i="11"/>
  <c r="J267" i="11"/>
  <c r="G268" i="11"/>
  <c r="H268" i="11" s="1"/>
  <c r="K268" i="11" s="1"/>
  <c r="I268" i="11"/>
  <c r="J268" i="11"/>
  <c r="G269" i="11"/>
  <c r="H269" i="11"/>
  <c r="I269" i="11"/>
  <c r="J269" i="11" s="1"/>
  <c r="G270" i="11"/>
  <c r="H270" i="11"/>
  <c r="I270" i="11"/>
  <c r="J270" i="11"/>
  <c r="K270" i="11"/>
  <c r="G271" i="11"/>
  <c r="H271" i="11" s="1"/>
  <c r="K271" i="11" s="1"/>
  <c r="I271" i="11"/>
  <c r="J271" i="11"/>
  <c r="G272" i="11"/>
  <c r="H272" i="11"/>
  <c r="K272" i="11" s="1"/>
  <c r="I272" i="11"/>
  <c r="J272" i="11" s="1"/>
  <c r="G273" i="11"/>
  <c r="H273" i="11"/>
  <c r="I273" i="11"/>
  <c r="J273" i="11" s="1"/>
  <c r="K273" i="11" s="1"/>
  <c r="G274" i="11"/>
  <c r="H274" i="11" s="1"/>
  <c r="I274" i="11"/>
  <c r="J274" i="11" s="1"/>
  <c r="G275" i="11"/>
  <c r="H275" i="11" s="1"/>
  <c r="K275" i="11" s="1"/>
  <c r="I275" i="11"/>
  <c r="J275" i="11"/>
  <c r="G276" i="11"/>
  <c r="H276" i="11" s="1"/>
  <c r="K276" i="11" s="1"/>
  <c r="I276" i="11"/>
  <c r="J276" i="11"/>
  <c r="G277" i="11"/>
  <c r="H277" i="11"/>
  <c r="K277" i="11" s="1"/>
  <c r="I277" i="11"/>
  <c r="J277" i="11"/>
  <c r="G278" i="11"/>
  <c r="H278" i="11"/>
  <c r="I278" i="11"/>
  <c r="J278" i="11"/>
  <c r="K278" i="11"/>
  <c r="G279" i="11"/>
  <c r="H279" i="11" s="1"/>
  <c r="K279" i="11" s="1"/>
  <c r="I279" i="11"/>
  <c r="J279" i="11"/>
  <c r="J254" i="11"/>
  <c r="I254" i="11"/>
  <c r="H254" i="11"/>
  <c r="G254" i="11"/>
  <c r="G244" i="11"/>
  <c r="H244" i="11" s="1"/>
  <c r="K244" i="11" s="1"/>
  <c r="I244" i="11"/>
  <c r="J244" i="11"/>
  <c r="G245" i="11"/>
  <c r="H245" i="11"/>
  <c r="K245" i="11" s="1"/>
  <c r="I245" i="11"/>
  <c r="J245" i="11"/>
  <c r="G246" i="11"/>
  <c r="H246" i="11"/>
  <c r="I246" i="11"/>
  <c r="J246" i="11"/>
  <c r="K246" i="11"/>
  <c r="G247" i="11"/>
  <c r="H247" i="11"/>
  <c r="I247" i="11"/>
  <c r="J247" i="11" s="1"/>
  <c r="G248" i="11"/>
  <c r="H248" i="11"/>
  <c r="I248" i="11"/>
  <c r="J248" i="11" s="1"/>
  <c r="K248" i="11" s="1"/>
  <c r="G249" i="11"/>
  <c r="H249" i="11" s="1"/>
  <c r="K249" i="11" s="1"/>
  <c r="I249" i="11"/>
  <c r="J249" i="11"/>
  <c r="G250" i="11"/>
  <c r="H250" i="11" s="1"/>
  <c r="I250" i="11"/>
  <c r="J250" i="11" s="1"/>
  <c r="G251" i="11"/>
  <c r="H251" i="11"/>
  <c r="I251" i="11"/>
  <c r="J251" i="11"/>
  <c r="K251" i="11" s="1"/>
  <c r="G252" i="11"/>
  <c r="H252" i="11" s="1"/>
  <c r="K252" i="11" s="1"/>
  <c r="I252" i="11"/>
  <c r="J252" i="11"/>
  <c r="G253" i="11"/>
  <c r="H253" i="11"/>
  <c r="K253" i="11" s="1"/>
  <c r="I253" i="11"/>
  <c r="J253" i="11"/>
  <c r="K243" i="11"/>
  <c r="J243" i="11"/>
  <c r="I243" i="11"/>
  <c r="H243" i="11"/>
  <c r="G243" i="11"/>
  <c r="G224" i="11"/>
  <c r="H224" i="11"/>
  <c r="K224" i="11" s="1"/>
  <c r="I224" i="11"/>
  <c r="J224" i="11"/>
  <c r="G225" i="11"/>
  <c r="H225" i="11"/>
  <c r="I225" i="11"/>
  <c r="J225" i="11" s="1"/>
  <c r="G226" i="11"/>
  <c r="H226" i="11"/>
  <c r="I226" i="11"/>
  <c r="J226" i="11"/>
  <c r="K226" i="11"/>
  <c r="G227" i="11"/>
  <c r="H227" i="11" s="1"/>
  <c r="I227" i="11"/>
  <c r="J227" i="11" s="1"/>
  <c r="G228" i="11"/>
  <c r="H228" i="11"/>
  <c r="K228" i="11" s="1"/>
  <c r="I228" i="11"/>
  <c r="J228" i="11"/>
  <c r="G229" i="11"/>
  <c r="H229" i="11" s="1"/>
  <c r="K229" i="11" s="1"/>
  <c r="I229" i="11"/>
  <c r="J229" i="11" s="1"/>
  <c r="G230" i="11"/>
  <c r="H230" i="11"/>
  <c r="K230" i="11" s="1"/>
  <c r="I230" i="11"/>
  <c r="J230" i="11"/>
  <c r="G231" i="11"/>
  <c r="H231" i="11" s="1"/>
  <c r="K231" i="11" s="1"/>
  <c r="I231" i="11"/>
  <c r="J231" i="11"/>
  <c r="G232" i="11"/>
  <c r="H232" i="11"/>
  <c r="K232" i="11" s="1"/>
  <c r="I232" i="11"/>
  <c r="J232" i="11"/>
  <c r="G233" i="11"/>
  <c r="H233" i="11"/>
  <c r="K233" i="11" s="1"/>
  <c r="I233" i="11"/>
  <c r="J233" i="11" s="1"/>
  <c r="G234" i="11"/>
  <c r="H234" i="11"/>
  <c r="I234" i="11"/>
  <c r="J234" i="11"/>
  <c r="K234" i="11"/>
  <c r="G235" i="11"/>
  <c r="H235" i="11" s="1"/>
  <c r="I235" i="11"/>
  <c r="J235" i="11" s="1"/>
  <c r="G236" i="11"/>
  <c r="H236" i="11"/>
  <c r="K236" i="11" s="1"/>
  <c r="I236" i="11"/>
  <c r="J236" i="11"/>
  <c r="G237" i="11"/>
  <c r="H237" i="11" s="1"/>
  <c r="I237" i="11"/>
  <c r="J237" i="11" s="1"/>
  <c r="G238" i="11"/>
  <c r="H238" i="11"/>
  <c r="K238" i="11" s="1"/>
  <c r="I238" i="11"/>
  <c r="J238" i="11"/>
  <c r="G239" i="11"/>
  <c r="H239" i="11" s="1"/>
  <c r="K239" i="11" s="1"/>
  <c r="I239" i="11"/>
  <c r="J239" i="11"/>
  <c r="G240" i="11"/>
  <c r="H240" i="11"/>
  <c r="K240" i="11" s="1"/>
  <c r="I240" i="11"/>
  <c r="J240" i="11"/>
  <c r="G241" i="11"/>
  <c r="H241" i="11"/>
  <c r="I241" i="11"/>
  <c r="J241" i="11" s="1"/>
  <c r="G242" i="11"/>
  <c r="H242" i="11"/>
  <c r="I242" i="11"/>
  <c r="J242" i="11"/>
  <c r="K242" i="11"/>
  <c r="G202" i="11"/>
  <c r="H202" i="11" s="1"/>
  <c r="K202" i="11" s="1"/>
  <c r="I202" i="11"/>
  <c r="J202" i="11" s="1"/>
  <c r="G203" i="11"/>
  <c r="H203" i="11"/>
  <c r="I203" i="11"/>
  <c r="J203" i="11" s="1"/>
  <c r="G204" i="11"/>
  <c r="H204" i="11" s="1"/>
  <c r="I204" i="11"/>
  <c r="J204" i="11" s="1"/>
  <c r="G205" i="11"/>
  <c r="H205" i="11" s="1"/>
  <c r="K205" i="11" s="1"/>
  <c r="I205" i="11"/>
  <c r="J205" i="11"/>
  <c r="G206" i="11"/>
  <c r="H206" i="11" s="1"/>
  <c r="K206" i="11" s="1"/>
  <c r="I206" i="11"/>
  <c r="J206" i="11"/>
  <c r="G207" i="11"/>
  <c r="H207" i="11"/>
  <c r="I207" i="11"/>
  <c r="J207" i="11"/>
  <c r="K207" i="11" s="1"/>
  <c r="G208" i="11"/>
  <c r="H208" i="11"/>
  <c r="I208" i="11"/>
  <c r="J208" i="11" s="1"/>
  <c r="G209" i="11"/>
  <c r="H209" i="11"/>
  <c r="I209" i="11"/>
  <c r="J209" i="11"/>
  <c r="K209" i="11"/>
  <c r="G210" i="11"/>
  <c r="H210" i="11" s="1"/>
  <c r="K210" i="11" s="1"/>
  <c r="I210" i="11"/>
  <c r="J210" i="11" s="1"/>
  <c r="G211" i="11"/>
  <c r="H211" i="11"/>
  <c r="K211" i="11" s="1"/>
  <c r="I211" i="11"/>
  <c r="J211" i="11" s="1"/>
  <c r="G212" i="11"/>
  <c r="H212" i="11" s="1"/>
  <c r="I212" i="11"/>
  <c r="J212" i="11" s="1"/>
  <c r="G213" i="11"/>
  <c r="H213" i="11" s="1"/>
  <c r="K213" i="11" s="1"/>
  <c r="I213" i="11"/>
  <c r="J213" i="11"/>
  <c r="G214" i="11"/>
  <c r="H214" i="11" s="1"/>
  <c r="K214" i="11" s="1"/>
  <c r="I214" i="11"/>
  <c r="J214" i="11"/>
  <c r="G215" i="11"/>
  <c r="H215" i="11"/>
  <c r="K215" i="11" s="1"/>
  <c r="I215" i="11"/>
  <c r="J215" i="11"/>
  <c r="G216" i="11"/>
  <c r="H216" i="11"/>
  <c r="I216" i="11"/>
  <c r="J216" i="11" s="1"/>
  <c r="G217" i="11"/>
  <c r="H217" i="11"/>
  <c r="I217" i="11"/>
  <c r="J217" i="11"/>
  <c r="K217" i="11"/>
  <c r="G218" i="11"/>
  <c r="H218" i="11" s="1"/>
  <c r="I218" i="11"/>
  <c r="J218" i="11" s="1"/>
  <c r="G219" i="11"/>
  <c r="H219" i="11"/>
  <c r="I219" i="11"/>
  <c r="J219" i="11" s="1"/>
  <c r="G220" i="11"/>
  <c r="H220" i="11" s="1"/>
  <c r="K220" i="11" s="1"/>
  <c r="I220" i="11"/>
  <c r="J220" i="11" s="1"/>
  <c r="G221" i="11"/>
  <c r="H221" i="11" s="1"/>
  <c r="K221" i="11" s="1"/>
  <c r="I221" i="11"/>
  <c r="J221" i="11"/>
  <c r="G222" i="11"/>
  <c r="H222" i="11" s="1"/>
  <c r="K222" i="11" s="1"/>
  <c r="I222" i="11"/>
  <c r="J222" i="11"/>
  <c r="G223" i="11"/>
  <c r="H223" i="11"/>
  <c r="K223" i="11" s="1"/>
  <c r="I223" i="11"/>
  <c r="J223" i="11"/>
  <c r="J201" i="11"/>
  <c r="K201" i="11" s="1"/>
  <c r="I201" i="11"/>
  <c r="H201" i="11"/>
  <c r="G201" i="11"/>
  <c r="G187" i="11"/>
  <c r="H187" i="11"/>
  <c r="I187" i="11"/>
  <c r="J187" i="11" s="1"/>
  <c r="K187" i="11" s="1"/>
  <c r="G188" i="11"/>
  <c r="H188" i="11"/>
  <c r="I188" i="11"/>
  <c r="J188" i="11" s="1"/>
  <c r="G189" i="11"/>
  <c r="H189" i="11"/>
  <c r="I189" i="11"/>
  <c r="J189" i="11"/>
  <c r="K189" i="11"/>
  <c r="G190" i="11"/>
  <c r="H190" i="11" s="1"/>
  <c r="K190" i="11" s="1"/>
  <c r="I190" i="11"/>
  <c r="J190" i="11"/>
  <c r="G191" i="11"/>
  <c r="H191" i="11"/>
  <c r="K191" i="11" s="1"/>
  <c r="I191" i="11"/>
  <c r="J191" i="11"/>
  <c r="G192" i="11"/>
  <c r="H192" i="11"/>
  <c r="I192" i="11"/>
  <c r="J192" i="11" s="1"/>
  <c r="K192" i="11" s="1"/>
  <c r="G193" i="11"/>
  <c r="H193" i="11"/>
  <c r="K193" i="11" s="1"/>
  <c r="I193" i="11"/>
  <c r="J193" i="11"/>
  <c r="G194" i="11"/>
  <c r="H194" i="11" s="1"/>
  <c r="K194" i="11" s="1"/>
  <c r="I194" i="11"/>
  <c r="J194" i="11"/>
  <c r="G195" i="11"/>
  <c r="H195" i="11"/>
  <c r="I195" i="11"/>
  <c r="J195" i="11" s="1"/>
  <c r="K195" i="11" s="1"/>
  <c r="G196" i="11"/>
  <c r="H196" i="11"/>
  <c r="I196" i="11"/>
  <c r="J196" i="11" s="1"/>
  <c r="G197" i="11"/>
  <c r="H197" i="11" s="1"/>
  <c r="K197" i="11" s="1"/>
  <c r="I197" i="11"/>
  <c r="J197" i="11"/>
  <c r="G198" i="11"/>
  <c r="H198" i="11" s="1"/>
  <c r="K198" i="11" s="1"/>
  <c r="I198" i="11"/>
  <c r="J198" i="11"/>
  <c r="G199" i="11"/>
  <c r="H199" i="11"/>
  <c r="K199" i="11" s="1"/>
  <c r="I199" i="11"/>
  <c r="J199" i="11"/>
  <c r="G200" i="11"/>
  <c r="H200" i="11"/>
  <c r="I200" i="11"/>
  <c r="J200" i="11"/>
  <c r="K200" i="11"/>
  <c r="G167" i="11"/>
  <c r="H167" i="11"/>
  <c r="K167" i="11" s="1"/>
  <c r="I167" i="11"/>
  <c r="J167" i="11"/>
  <c r="G168" i="11"/>
  <c r="H168" i="11"/>
  <c r="I168" i="11"/>
  <c r="J168" i="11" s="1"/>
  <c r="G169" i="11"/>
  <c r="H169" i="11"/>
  <c r="I169" i="11"/>
  <c r="J169" i="11"/>
  <c r="K169" i="11"/>
  <c r="G170" i="11"/>
  <c r="H170" i="11" s="1"/>
  <c r="I170" i="11"/>
  <c r="J170" i="11" s="1"/>
  <c r="G171" i="11"/>
  <c r="H171" i="11"/>
  <c r="K171" i="11" s="1"/>
  <c r="I171" i="11"/>
  <c r="J171" i="11"/>
  <c r="G172" i="11"/>
  <c r="H172" i="11" s="1"/>
  <c r="K172" i="11" s="1"/>
  <c r="I172" i="11"/>
  <c r="J172" i="11" s="1"/>
  <c r="G173" i="11"/>
  <c r="H173" i="11"/>
  <c r="K173" i="11" s="1"/>
  <c r="I173" i="11"/>
  <c r="J173" i="11"/>
  <c r="G174" i="11"/>
  <c r="H174" i="11" s="1"/>
  <c r="K174" i="11" s="1"/>
  <c r="I174" i="11"/>
  <c r="J174" i="11"/>
  <c r="G175" i="11"/>
  <c r="H175" i="11"/>
  <c r="K175" i="11" s="1"/>
  <c r="I175" i="11"/>
  <c r="J175" i="11"/>
  <c r="G176" i="11"/>
  <c r="H176" i="11"/>
  <c r="I176" i="11"/>
  <c r="J176" i="11" s="1"/>
  <c r="G177" i="11"/>
  <c r="H177" i="11"/>
  <c r="I177" i="11"/>
  <c r="J177" i="11"/>
  <c r="K177" i="11"/>
  <c r="G178" i="11"/>
  <c r="H178" i="11" s="1"/>
  <c r="K178" i="11" s="1"/>
  <c r="I178" i="11"/>
  <c r="J178" i="11" s="1"/>
  <c r="G179" i="11"/>
  <c r="H179" i="11"/>
  <c r="K179" i="11" s="1"/>
  <c r="I179" i="11"/>
  <c r="J179" i="11"/>
  <c r="G180" i="11"/>
  <c r="H180" i="11" s="1"/>
  <c r="K180" i="11" s="1"/>
  <c r="I180" i="11"/>
  <c r="J180" i="11"/>
  <c r="G181" i="11"/>
  <c r="H181" i="11"/>
  <c r="K181" i="11" s="1"/>
  <c r="I181" i="11"/>
  <c r="J181" i="11"/>
  <c r="G182" i="11"/>
  <c r="H182" i="11"/>
  <c r="I182" i="11"/>
  <c r="J182" i="11"/>
  <c r="K182" i="11"/>
  <c r="G183" i="11"/>
  <c r="H183" i="11"/>
  <c r="I183" i="11"/>
  <c r="J183" i="11"/>
  <c r="K183" i="11"/>
  <c r="G184" i="11"/>
  <c r="H184" i="11"/>
  <c r="K184" i="11" s="1"/>
  <c r="I184" i="11"/>
  <c r="J184" i="11" s="1"/>
  <c r="G185" i="11"/>
  <c r="H185" i="11"/>
  <c r="I185" i="11"/>
  <c r="J185" i="11"/>
  <c r="K185" i="11"/>
  <c r="G186" i="11"/>
  <c r="H186" i="11" s="1"/>
  <c r="K186" i="11" s="1"/>
  <c r="I186" i="11"/>
  <c r="J186" i="11" s="1"/>
  <c r="K166" i="11"/>
  <c r="J166" i="11"/>
  <c r="I166" i="11"/>
  <c r="H166" i="11"/>
  <c r="G166" i="11"/>
  <c r="G156" i="11"/>
  <c r="H156" i="11" s="1"/>
  <c r="K156" i="11" s="1"/>
  <c r="I156" i="11"/>
  <c r="J156" i="11"/>
  <c r="G157" i="11"/>
  <c r="H157" i="11"/>
  <c r="I157" i="11"/>
  <c r="J157" i="11" s="1"/>
  <c r="G158" i="11"/>
  <c r="H158" i="11"/>
  <c r="I158" i="11"/>
  <c r="J158" i="11"/>
  <c r="K158" i="11"/>
  <c r="G159" i="11"/>
  <c r="H159" i="11" s="1"/>
  <c r="I159" i="11"/>
  <c r="J159" i="11" s="1"/>
  <c r="G160" i="11"/>
  <c r="H160" i="11"/>
  <c r="K160" i="11" s="1"/>
  <c r="I160" i="11"/>
  <c r="J160" i="11"/>
  <c r="G161" i="11"/>
  <c r="H161" i="11" s="1"/>
  <c r="K161" i="11" s="1"/>
  <c r="I161" i="11"/>
  <c r="J161" i="11" s="1"/>
  <c r="G162" i="11"/>
  <c r="H162" i="11"/>
  <c r="K162" i="11" s="1"/>
  <c r="I162" i="11"/>
  <c r="J162" i="11"/>
  <c r="G163" i="11"/>
  <c r="H163" i="11" s="1"/>
  <c r="K163" i="11" s="1"/>
  <c r="I163" i="11"/>
  <c r="J163" i="11"/>
  <c r="G164" i="11"/>
  <c r="H164" i="11"/>
  <c r="K164" i="11" s="1"/>
  <c r="I164" i="11"/>
  <c r="J164" i="11"/>
  <c r="G165" i="11"/>
  <c r="H165" i="11"/>
  <c r="K165" i="11" s="1"/>
  <c r="I165" i="11"/>
  <c r="J165" i="11" s="1"/>
  <c r="G147" i="11"/>
  <c r="H147" i="11"/>
  <c r="I147" i="11"/>
  <c r="J147" i="11" s="1"/>
  <c r="K147" i="11" s="1"/>
  <c r="G148" i="11"/>
  <c r="H148" i="11"/>
  <c r="I148" i="11"/>
  <c r="J148" i="11" s="1"/>
  <c r="G149" i="11"/>
  <c r="H149" i="11" s="1"/>
  <c r="K149" i="11" s="1"/>
  <c r="I149" i="11"/>
  <c r="J149" i="11"/>
  <c r="G150" i="11"/>
  <c r="H150" i="11" s="1"/>
  <c r="I150" i="11"/>
  <c r="J150" i="11" s="1"/>
  <c r="G151" i="11"/>
  <c r="H151" i="11"/>
  <c r="K151" i="11" s="1"/>
  <c r="I151" i="11"/>
  <c r="J151" i="11"/>
  <c r="G152" i="11"/>
  <c r="H152" i="11" s="1"/>
  <c r="K152" i="11" s="1"/>
  <c r="I152" i="11"/>
  <c r="J152" i="11"/>
  <c r="G153" i="11"/>
  <c r="H153" i="11"/>
  <c r="K153" i="11" s="1"/>
  <c r="I153" i="11"/>
  <c r="J153" i="11"/>
  <c r="G154" i="11"/>
  <c r="H154" i="11"/>
  <c r="I154" i="11"/>
  <c r="J154" i="11"/>
  <c r="K154" i="11"/>
  <c r="G155" i="11"/>
  <c r="H155" i="11"/>
  <c r="I155" i="11"/>
  <c r="J155" i="11" s="1"/>
  <c r="K155" i="11" s="1"/>
  <c r="G131" i="11"/>
  <c r="H131" i="11"/>
  <c r="I131" i="11"/>
  <c r="J131" i="11"/>
  <c r="K131" i="11"/>
  <c r="G132" i="11"/>
  <c r="H132" i="11"/>
  <c r="I132" i="11"/>
  <c r="J132" i="11" s="1"/>
  <c r="G133" i="11"/>
  <c r="H133" i="11"/>
  <c r="I133" i="11"/>
  <c r="J133" i="11"/>
  <c r="K133" i="11"/>
  <c r="G134" i="11"/>
  <c r="H134" i="11" s="1"/>
  <c r="I134" i="11"/>
  <c r="J134" i="11" s="1"/>
  <c r="G135" i="11"/>
  <c r="H135" i="11"/>
  <c r="K135" i="11" s="1"/>
  <c r="I135" i="11"/>
  <c r="J135" i="11"/>
  <c r="G136" i="11"/>
  <c r="H136" i="11" s="1"/>
  <c r="K136" i="11" s="1"/>
  <c r="I136" i="11"/>
  <c r="J136" i="11"/>
  <c r="G137" i="11"/>
  <c r="H137" i="11"/>
  <c r="K137" i="11" s="1"/>
  <c r="I137" i="11"/>
  <c r="J137" i="11"/>
  <c r="G138" i="11"/>
  <c r="H138" i="11"/>
  <c r="I138" i="11"/>
  <c r="J138" i="11"/>
  <c r="K138" i="11"/>
  <c r="G139" i="11"/>
  <c r="H139" i="11"/>
  <c r="I139" i="11"/>
  <c r="J139" i="11"/>
  <c r="K139" i="11"/>
  <c r="G140" i="11"/>
  <c r="H140" i="11"/>
  <c r="I140" i="11"/>
  <c r="J140" i="11" s="1"/>
  <c r="G141" i="11"/>
  <c r="H141" i="11"/>
  <c r="I141" i="11"/>
  <c r="J141" i="11"/>
  <c r="K141" i="11"/>
  <c r="G142" i="11"/>
  <c r="H142" i="11" s="1"/>
  <c r="K142" i="11" s="1"/>
  <c r="I142" i="11"/>
  <c r="J142" i="11" s="1"/>
  <c r="G143" i="11"/>
  <c r="H143" i="11"/>
  <c r="K143" i="11" s="1"/>
  <c r="I143" i="11"/>
  <c r="J143" i="11"/>
  <c r="G144" i="11"/>
  <c r="H144" i="11" s="1"/>
  <c r="K144" i="11" s="1"/>
  <c r="I144" i="11"/>
  <c r="J144" i="11"/>
  <c r="G145" i="11"/>
  <c r="H145" i="11"/>
  <c r="I145" i="11"/>
  <c r="J145" i="11" s="1"/>
  <c r="G146" i="11"/>
  <c r="H146" i="11"/>
  <c r="I146" i="11"/>
  <c r="J146" i="11"/>
  <c r="K146" i="11"/>
  <c r="G119" i="11"/>
  <c r="H119" i="11" s="1"/>
  <c r="K119" i="11" s="1"/>
  <c r="I119" i="11"/>
  <c r="J119" i="11" s="1"/>
  <c r="G120" i="11"/>
  <c r="H120" i="11"/>
  <c r="I120" i="11"/>
  <c r="J120" i="11" s="1"/>
  <c r="G121" i="11"/>
  <c r="H121" i="11" s="1"/>
  <c r="I121" i="11"/>
  <c r="J121" i="11" s="1"/>
  <c r="G122" i="11"/>
  <c r="H122" i="11" s="1"/>
  <c r="K122" i="11" s="1"/>
  <c r="I122" i="11"/>
  <c r="J122" i="11"/>
  <c r="G123" i="11"/>
  <c r="H123" i="11" s="1"/>
  <c r="K123" i="11" s="1"/>
  <c r="I123" i="11"/>
  <c r="J123" i="11"/>
  <c r="G124" i="11"/>
  <c r="H124" i="11"/>
  <c r="I124" i="11"/>
  <c r="J124" i="11"/>
  <c r="K124" i="11" s="1"/>
  <c r="G125" i="11"/>
  <c r="H125" i="11"/>
  <c r="I125" i="11"/>
  <c r="J125" i="11" s="1"/>
  <c r="G126" i="11"/>
  <c r="H126" i="11"/>
  <c r="I126" i="11"/>
  <c r="J126" i="11"/>
  <c r="K126" i="11"/>
  <c r="G127" i="11"/>
  <c r="H127" i="11" s="1"/>
  <c r="I127" i="11"/>
  <c r="J127" i="11" s="1"/>
  <c r="G128" i="11"/>
  <c r="H128" i="11"/>
  <c r="I128" i="11"/>
  <c r="J128" i="11" s="1"/>
  <c r="G129" i="11"/>
  <c r="H129" i="11" s="1"/>
  <c r="K129" i="11" s="1"/>
  <c r="I129" i="11"/>
  <c r="J129" i="11" s="1"/>
  <c r="G130" i="11"/>
  <c r="H130" i="11" s="1"/>
  <c r="K130" i="11" s="1"/>
  <c r="I130" i="11"/>
  <c r="J130" i="11"/>
  <c r="J118" i="11"/>
  <c r="I118" i="11"/>
  <c r="H118" i="11"/>
  <c r="G118" i="11"/>
  <c r="K118" i="11"/>
  <c r="G110" i="11"/>
  <c r="H110" i="11" s="1"/>
  <c r="K110" i="11" s="1"/>
  <c r="I110" i="11"/>
  <c r="J110" i="11"/>
  <c r="G111" i="11"/>
  <c r="H111" i="11"/>
  <c r="I111" i="11"/>
  <c r="J111" i="11" s="1"/>
  <c r="G112" i="11"/>
  <c r="H112" i="11"/>
  <c r="I112" i="11"/>
  <c r="J112" i="11" s="1"/>
  <c r="K112" i="11" s="1"/>
  <c r="G113" i="11"/>
  <c r="H113" i="11" s="1"/>
  <c r="K113" i="11" s="1"/>
  <c r="I113" i="11"/>
  <c r="J113" i="11" s="1"/>
  <c r="G114" i="11"/>
  <c r="H114" i="11" s="1"/>
  <c r="I114" i="11"/>
  <c r="J114" i="11" s="1"/>
  <c r="G115" i="11"/>
  <c r="H115" i="11" s="1"/>
  <c r="K115" i="11" s="1"/>
  <c r="I115" i="11"/>
  <c r="J115" i="11"/>
  <c r="G116" i="11"/>
  <c r="H116" i="11" s="1"/>
  <c r="K116" i="11" s="1"/>
  <c r="I116" i="11"/>
  <c r="J116" i="11"/>
  <c r="G117" i="11"/>
  <c r="H117" i="11"/>
  <c r="I117" i="11"/>
  <c r="J117" i="11"/>
  <c r="K117" i="11" s="1"/>
  <c r="G96" i="11"/>
  <c r="H96" i="11"/>
  <c r="K96" i="11" s="1"/>
  <c r="I96" i="11"/>
  <c r="J96" i="11"/>
  <c r="G97" i="11"/>
  <c r="H97" i="11"/>
  <c r="I97" i="11"/>
  <c r="J97" i="11" s="1"/>
  <c r="G98" i="11"/>
  <c r="H98" i="11"/>
  <c r="I98" i="11"/>
  <c r="J98" i="11"/>
  <c r="K98" i="11"/>
  <c r="G99" i="11"/>
  <c r="H99" i="11" s="1"/>
  <c r="I99" i="11"/>
  <c r="J99" i="11" s="1"/>
  <c r="G100" i="11"/>
  <c r="H100" i="11"/>
  <c r="K100" i="11" s="1"/>
  <c r="I100" i="11"/>
  <c r="J100" i="11" s="1"/>
  <c r="G101" i="11"/>
  <c r="H101" i="11" s="1"/>
  <c r="I101" i="11"/>
  <c r="J101" i="11" s="1"/>
  <c r="G102" i="11"/>
  <c r="H102" i="11" s="1"/>
  <c r="K102" i="11" s="1"/>
  <c r="I102" i="11"/>
  <c r="J102" i="11"/>
  <c r="G103" i="11"/>
  <c r="H103" i="11" s="1"/>
  <c r="K103" i="11" s="1"/>
  <c r="I103" i="11"/>
  <c r="J103" i="11"/>
  <c r="G104" i="11"/>
  <c r="H104" i="11"/>
  <c r="K104" i="11" s="1"/>
  <c r="I104" i="11"/>
  <c r="J104" i="11"/>
  <c r="G105" i="11"/>
  <c r="H105" i="11"/>
  <c r="K105" i="11" s="1"/>
  <c r="I105" i="11"/>
  <c r="J105" i="11" s="1"/>
  <c r="G106" i="11"/>
  <c r="H106" i="11"/>
  <c r="I106" i="11"/>
  <c r="J106" i="11"/>
  <c r="K106" i="11"/>
  <c r="G107" i="11"/>
  <c r="H107" i="11" s="1"/>
  <c r="I107" i="11"/>
  <c r="J107" i="11" s="1"/>
  <c r="G108" i="11"/>
  <c r="H108" i="11"/>
  <c r="I108" i="11"/>
  <c r="J108" i="11" s="1"/>
  <c r="G109" i="11"/>
  <c r="H109" i="11" s="1"/>
  <c r="K109" i="11" s="1"/>
  <c r="I109" i="11"/>
  <c r="J109" i="11" s="1"/>
  <c r="G83" i="11"/>
  <c r="H83" i="11"/>
  <c r="K83" i="11" s="1"/>
  <c r="I83" i="11"/>
  <c r="J83" i="11"/>
  <c r="G84" i="11"/>
  <c r="H84" i="11"/>
  <c r="I84" i="11"/>
  <c r="J84" i="11"/>
  <c r="K84" i="11"/>
  <c r="G85" i="11"/>
  <c r="H85" i="11"/>
  <c r="I85" i="11"/>
  <c r="J85" i="11" s="1"/>
  <c r="K85" i="11" s="1"/>
  <c r="G86" i="11"/>
  <c r="H86" i="11"/>
  <c r="I86" i="11"/>
  <c r="J86" i="11" s="1"/>
  <c r="K86" i="11" s="1"/>
  <c r="G87" i="11"/>
  <c r="H87" i="11" s="1"/>
  <c r="K87" i="11" s="1"/>
  <c r="I87" i="11"/>
  <c r="J87" i="11" s="1"/>
  <c r="G88" i="11"/>
  <c r="H88" i="11" s="1"/>
  <c r="K88" i="11" s="1"/>
  <c r="I88" i="11"/>
  <c r="J88" i="11"/>
  <c r="G89" i="11"/>
  <c r="H89" i="11" s="1"/>
  <c r="K89" i="11" s="1"/>
  <c r="I89" i="11"/>
  <c r="J89" i="11"/>
  <c r="G90" i="11"/>
  <c r="H90" i="11"/>
  <c r="K90" i="11" s="1"/>
  <c r="I90" i="11"/>
  <c r="J90" i="11"/>
  <c r="G91" i="11"/>
  <c r="H91" i="11"/>
  <c r="K91" i="11" s="1"/>
  <c r="I91" i="11"/>
  <c r="J91" i="11"/>
  <c r="G92" i="11"/>
  <c r="H92" i="11"/>
  <c r="I92" i="11"/>
  <c r="J92" i="11"/>
  <c r="K92" i="11"/>
  <c r="G93" i="11"/>
  <c r="H93" i="11"/>
  <c r="I93" i="11"/>
  <c r="J93" i="11" s="1"/>
  <c r="K93" i="11" s="1"/>
  <c r="G94" i="11"/>
  <c r="H94" i="11"/>
  <c r="I94" i="11"/>
  <c r="J94" i="11" s="1"/>
  <c r="K94" i="11" s="1"/>
  <c r="G95" i="11"/>
  <c r="H95" i="11" s="1"/>
  <c r="K95" i="11" s="1"/>
  <c r="I95" i="11"/>
  <c r="J95" i="11" s="1"/>
  <c r="G68" i="11"/>
  <c r="H68" i="11" s="1"/>
  <c r="I68" i="11"/>
  <c r="J68" i="11" s="1"/>
  <c r="G69" i="11"/>
  <c r="H69" i="11" s="1"/>
  <c r="I69" i="11"/>
  <c r="J69" i="11" s="1"/>
  <c r="G70" i="11"/>
  <c r="H70" i="11" s="1"/>
  <c r="K70" i="11" s="1"/>
  <c r="I70" i="11"/>
  <c r="J70" i="11"/>
  <c r="G71" i="11"/>
  <c r="H71" i="11" s="1"/>
  <c r="K71" i="11" s="1"/>
  <c r="I71" i="11"/>
  <c r="J71" i="11"/>
  <c r="G72" i="11"/>
  <c r="H72" i="11"/>
  <c r="I72" i="11"/>
  <c r="J72" i="11"/>
  <c r="K72" i="11" s="1"/>
  <c r="G73" i="11"/>
  <c r="H73" i="11"/>
  <c r="I73" i="11"/>
  <c r="J73" i="11" s="1"/>
  <c r="K73" i="11" s="1"/>
  <c r="G74" i="11"/>
  <c r="H74" i="11"/>
  <c r="I74" i="11"/>
  <c r="J74" i="11" s="1"/>
  <c r="G75" i="11"/>
  <c r="H75" i="11" s="1"/>
  <c r="I75" i="11"/>
  <c r="J75" i="11" s="1"/>
  <c r="G76" i="11"/>
  <c r="H76" i="11" s="1"/>
  <c r="K76" i="11" s="1"/>
  <c r="I76" i="11"/>
  <c r="J76" i="11" s="1"/>
  <c r="G77" i="11"/>
  <c r="H77" i="11" s="1"/>
  <c r="I77" i="11"/>
  <c r="J77" i="11" s="1"/>
  <c r="G78" i="11"/>
  <c r="H78" i="11" s="1"/>
  <c r="K78" i="11" s="1"/>
  <c r="I78" i="11"/>
  <c r="J78" i="11"/>
  <c r="G79" i="11"/>
  <c r="H79" i="11" s="1"/>
  <c r="K79" i="11" s="1"/>
  <c r="I79" i="11"/>
  <c r="J79" i="11"/>
  <c r="G80" i="11"/>
  <c r="H80" i="11"/>
  <c r="K80" i="11" s="1"/>
  <c r="I80" i="11"/>
  <c r="J80" i="11"/>
  <c r="G81" i="11"/>
  <c r="H81" i="11"/>
  <c r="I81" i="11"/>
  <c r="J81" i="11" s="1"/>
  <c r="K81" i="11" s="1"/>
  <c r="G82" i="11"/>
  <c r="H82" i="11"/>
  <c r="I82" i="11"/>
  <c r="J82" i="11" s="1"/>
  <c r="G57" i="11"/>
  <c r="H57" i="11"/>
  <c r="I57" i="11"/>
  <c r="J57" i="11" s="1"/>
  <c r="G58" i="11"/>
  <c r="H58" i="11"/>
  <c r="I58" i="11"/>
  <c r="J58" i="11" s="1"/>
  <c r="G59" i="11"/>
  <c r="H59" i="11" s="1"/>
  <c r="K59" i="11" s="1"/>
  <c r="I59" i="11"/>
  <c r="J59" i="11"/>
  <c r="G60" i="11"/>
  <c r="H60" i="11" s="1"/>
  <c r="I60" i="11"/>
  <c r="J60" i="11" s="1"/>
  <c r="G61" i="11"/>
  <c r="H61" i="11"/>
  <c r="K61" i="11" s="1"/>
  <c r="I61" i="11"/>
  <c r="J61" i="11"/>
  <c r="G62" i="11"/>
  <c r="H62" i="11" s="1"/>
  <c r="K62" i="11" s="1"/>
  <c r="I62" i="11"/>
  <c r="J62" i="11"/>
  <c r="G63" i="11"/>
  <c r="H63" i="11"/>
  <c r="K63" i="11" s="1"/>
  <c r="I63" i="11"/>
  <c r="J63" i="11"/>
  <c r="G64" i="11"/>
  <c r="H64" i="11"/>
  <c r="I64" i="11"/>
  <c r="J64" i="11"/>
  <c r="K64" i="11"/>
  <c r="G65" i="11"/>
  <c r="H65" i="11"/>
  <c r="K65" i="11" s="1"/>
  <c r="I65" i="11"/>
  <c r="J65" i="11"/>
  <c r="G66" i="11"/>
  <c r="H66" i="11"/>
  <c r="I66" i="11"/>
  <c r="J66" i="11" s="1"/>
  <c r="G67" i="11"/>
  <c r="H67" i="11"/>
  <c r="I67" i="11"/>
  <c r="J67" i="11"/>
  <c r="K67" i="11"/>
  <c r="G32" i="11"/>
  <c r="H32" i="11" s="1"/>
  <c r="K32" i="11" s="1"/>
  <c r="I32" i="11"/>
  <c r="J32" i="11" s="1"/>
  <c r="G33" i="11"/>
  <c r="H33" i="11"/>
  <c r="I33" i="11"/>
  <c r="J33" i="11" s="1"/>
  <c r="G34" i="11"/>
  <c r="H34" i="11" s="1"/>
  <c r="I34" i="11"/>
  <c r="J34" i="11" s="1"/>
  <c r="G35" i="11"/>
  <c r="H35" i="11" s="1"/>
  <c r="I35" i="11"/>
  <c r="J35" i="11" s="1"/>
  <c r="G36" i="11"/>
  <c r="H36" i="11" s="1"/>
  <c r="K36" i="11" s="1"/>
  <c r="I36" i="11"/>
  <c r="J36" i="11"/>
  <c r="G37" i="11"/>
  <c r="H37" i="11" s="1"/>
  <c r="K37" i="11" s="1"/>
  <c r="I37" i="11"/>
  <c r="J37" i="11"/>
  <c r="G38" i="11"/>
  <c r="H38" i="11"/>
  <c r="K38" i="11" s="1"/>
  <c r="I38" i="11"/>
  <c r="J38" i="11"/>
  <c r="G39" i="11"/>
  <c r="H39" i="11"/>
  <c r="I39" i="11"/>
  <c r="J39" i="11"/>
  <c r="K39" i="11"/>
  <c r="G40" i="11"/>
  <c r="H40" i="11"/>
  <c r="K40" i="11" s="1"/>
  <c r="I40" i="11"/>
  <c r="J40" i="11" s="1"/>
  <c r="G41" i="11"/>
  <c r="H41" i="11"/>
  <c r="I41" i="11"/>
  <c r="J41" i="11" s="1"/>
  <c r="G42" i="11"/>
  <c r="H42" i="11" s="1"/>
  <c r="K42" i="11" s="1"/>
  <c r="I42" i="11"/>
  <c r="J42" i="11" s="1"/>
  <c r="G43" i="11"/>
  <c r="H43" i="11" s="1"/>
  <c r="K43" i="11" s="1"/>
  <c r="I43" i="11"/>
  <c r="J43" i="11" s="1"/>
  <c r="G44" i="11"/>
  <c r="H44" i="11" s="1"/>
  <c r="K44" i="11" s="1"/>
  <c r="I44" i="11"/>
  <c r="J44" i="11"/>
  <c r="G45" i="11"/>
  <c r="H45" i="11" s="1"/>
  <c r="K45" i="11" s="1"/>
  <c r="I45" i="11"/>
  <c r="J45" i="11"/>
  <c r="G46" i="11"/>
  <c r="H46" i="11"/>
  <c r="K46" i="11" s="1"/>
  <c r="I46" i="11"/>
  <c r="J46" i="11"/>
  <c r="G47" i="11"/>
  <c r="H47" i="11"/>
  <c r="I47" i="11"/>
  <c r="J47" i="11"/>
  <c r="K47" i="11"/>
  <c r="G48" i="11"/>
  <c r="H48" i="11"/>
  <c r="K48" i="11" s="1"/>
  <c r="I48" i="11"/>
  <c r="J48" i="11" s="1"/>
  <c r="G49" i="11"/>
  <c r="H49" i="11"/>
  <c r="I49" i="11"/>
  <c r="J49" i="11" s="1"/>
  <c r="G50" i="11"/>
  <c r="H50" i="11" s="1"/>
  <c r="I50" i="11"/>
  <c r="J50" i="11" s="1"/>
  <c r="G51" i="11"/>
  <c r="H51" i="11" s="1"/>
  <c r="K51" i="11" s="1"/>
  <c r="I51" i="11"/>
  <c r="J51" i="11" s="1"/>
  <c r="G52" i="11"/>
  <c r="H52" i="11" s="1"/>
  <c r="K52" i="11" s="1"/>
  <c r="I52" i="11"/>
  <c r="J52" i="11"/>
  <c r="G53" i="11"/>
  <c r="H53" i="11" s="1"/>
  <c r="K53" i="11" s="1"/>
  <c r="I53" i="11"/>
  <c r="J53" i="11"/>
  <c r="G54" i="11"/>
  <c r="H54" i="11"/>
  <c r="K54" i="11" s="1"/>
  <c r="I54" i="11"/>
  <c r="J54" i="11"/>
  <c r="G55" i="11"/>
  <c r="H55" i="11"/>
  <c r="I55" i="11"/>
  <c r="J55" i="11"/>
  <c r="K55" i="11"/>
  <c r="G56" i="11"/>
  <c r="H56" i="11"/>
  <c r="I56" i="11"/>
  <c r="J56" i="11" s="1"/>
  <c r="J31" i="11"/>
  <c r="I31" i="11"/>
  <c r="H31" i="11"/>
  <c r="G31" i="11"/>
  <c r="H23" i="11"/>
  <c r="H15" i="11"/>
  <c r="H7" i="11"/>
  <c r="J25" i="11"/>
  <c r="J17" i="11"/>
  <c r="J16" i="11"/>
  <c r="I30" i="11"/>
  <c r="J30" i="11" s="1"/>
  <c r="I29" i="11"/>
  <c r="J29" i="11" s="1"/>
  <c r="I28" i="11"/>
  <c r="J28" i="11" s="1"/>
  <c r="I27" i="11"/>
  <c r="J27" i="11" s="1"/>
  <c r="I26" i="11"/>
  <c r="J26" i="11" s="1"/>
  <c r="I25" i="11"/>
  <c r="I24" i="11"/>
  <c r="J24" i="11" s="1"/>
  <c r="I23" i="11"/>
  <c r="J23" i="11" s="1"/>
  <c r="I22" i="11"/>
  <c r="J22" i="11" s="1"/>
  <c r="I21" i="11"/>
  <c r="J21" i="11" s="1"/>
  <c r="I20" i="11"/>
  <c r="J20" i="11" s="1"/>
  <c r="I19" i="11"/>
  <c r="J19" i="11" s="1"/>
  <c r="I18" i="11"/>
  <c r="J18" i="11" s="1"/>
  <c r="I17" i="11"/>
  <c r="I16" i="11"/>
  <c r="I15" i="11"/>
  <c r="J15" i="11" s="1"/>
  <c r="I14" i="11"/>
  <c r="J14" i="11" s="1"/>
  <c r="I13" i="11"/>
  <c r="J13" i="11" s="1"/>
  <c r="I12" i="11"/>
  <c r="J12" i="11" s="1"/>
  <c r="I11" i="11"/>
  <c r="J11" i="11" s="1"/>
  <c r="I10" i="11"/>
  <c r="J10" i="11" s="1"/>
  <c r="I9" i="11"/>
  <c r="J9" i="11" s="1"/>
  <c r="I8" i="11"/>
  <c r="J8" i="11" s="1"/>
  <c r="I7" i="11"/>
  <c r="J7" i="11" s="1"/>
  <c r="I6" i="11"/>
  <c r="J6" i="11" s="1"/>
  <c r="I5" i="11"/>
  <c r="J5" i="11" s="1"/>
  <c r="I4" i="11"/>
  <c r="J4" i="11" s="1"/>
  <c r="I3" i="11"/>
  <c r="J3" i="11" s="1"/>
  <c r="I2" i="11"/>
  <c r="J2" i="11" s="1"/>
  <c r="S18" i="11"/>
  <c r="S19" i="11"/>
  <c r="S20" i="11"/>
  <c r="S21" i="11"/>
  <c r="S22" i="11"/>
  <c r="S23" i="11"/>
  <c r="S24" i="11"/>
  <c r="S26" i="11"/>
  <c r="S27" i="11"/>
  <c r="S28" i="11"/>
  <c r="S17" i="11"/>
  <c r="H30" i="11" s="1"/>
  <c r="K30" i="11" s="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Q17" i="11"/>
  <c r="R26" i="11"/>
  <c r="Q26" i="11"/>
  <c r="R25" i="11"/>
  <c r="O25" i="11"/>
  <c r="Q25" i="11" s="1"/>
  <c r="R24" i="11"/>
  <c r="Q24" i="11"/>
  <c r="R23" i="11"/>
  <c r="Q23" i="11"/>
  <c r="R22" i="11"/>
  <c r="Q22" i="11"/>
  <c r="R21" i="11"/>
  <c r="Q21" i="11"/>
  <c r="R20" i="11"/>
  <c r="Q20" i="11"/>
  <c r="R19" i="11"/>
  <c r="Q19" i="11"/>
  <c r="R18" i="11"/>
  <c r="Q18" i="11"/>
  <c r="R17" i="11"/>
  <c r="M12" i="1"/>
  <c r="G346" i="1"/>
  <c r="F346" i="1"/>
  <c r="K11" i="1"/>
  <c r="K3" i="1"/>
  <c r="K2" i="1"/>
  <c r="M2" i="1" s="1"/>
  <c r="G346" i="2"/>
  <c r="F346" i="2"/>
  <c r="E346" i="2" s="1"/>
  <c r="I345" i="2"/>
  <c r="H345" i="2"/>
  <c r="I344" i="2"/>
  <c r="H344" i="2"/>
  <c r="E344" i="2"/>
  <c r="I343" i="2"/>
  <c r="H343" i="2"/>
  <c r="E343" i="2"/>
  <c r="I342" i="2"/>
  <c r="H342" i="2"/>
  <c r="E342" i="2"/>
  <c r="I341" i="2"/>
  <c r="H341" i="2"/>
  <c r="E341" i="2"/>
  <c r="I340" i="2"/>
  <c r="H340" i="2"/>
  <c r="E340" i="2"/>
  <c r="I339" i="2"/>
  <c r="H339" i="2"/>
  <c r="E339" i="2"/>
  <c r="I338" i="2"/>
  <c r="H338" i="2"/>
  <c r="E338" i="2"/>
  <c r="I337" i="2"/>
  <c r="H337" i="2"/>
  <c r="E337" i="2"/>
  <c r="I336" i="2"/>
  <c r="H336" i="2"/>
  <c r="E336" i="2"/>
  <c r="I335" i="2"/>
  <c r="H335" i="2"/>
  <c r="E335" i="2"/>
  <c r="I334" i="2"/>
  <c r="H334" i="2"/>
  <c r="E334" i="2"/>
  <c r="I333" i="2"/>
  <c r="H333" i="2"/>
  <c r="E333" i="2"/>
  <c r="I332" i="2"/>
  <c r="H332" i="2"/>
  <c r="E332" i="2"/>
  <c r="I331" i="2"/>
  <c r="H331" i="2"/>
  <c r="E331" i="2"/>
  <c r="I330" i="2"/>
  <c r="H330" i="2"/>
  <c r="E330" i="2"/>
  <c r="I329" i="2"/>
  <c r="H329" i="2"/>
  <c r="E329" i="2"/>
  <c r="I328" i="2"/>
  <c r="H328" i="2"/>
  <c r="E328" i="2"/>
  <c r="I327" i="2"/>
  <c r="H327" i="2"/>
  <c r="E327" i="2"/>
  <c r="I326" i="2"/>
  <c r="H326" i="2"/>
  <c r="E326" i="2"/>
  <c r="I325" i="2"/>
  <c r="H325" i="2"/>
  <c r="E325" i="2"/>
  <c r="I324" i="2"/>
  <c r="H324" i="2"/>
  <c r="E324" i="2"/>
  <c r="I323" i="2"/>
  <c r="H323" i="2"/>
  <c r="E323" i="2"/>
  <c r="I322" i="2"/>
  <c r="H322" i="2"/>
  <c r="E322" i="2"/>
  <c r="I321" i="2"/>
  <c r="H321" i="2"/>
  <c r="E321" i="2"/>
  <c r="I320" i="2"/>
  <c r="H320" i="2"/>
  <c r="E320" i="2"/>
  <c r="I319" i="2"/>
  <c r="H319" i="2"/>
  <c r="E319" i="2"/>
  <c r="I318" i="2"/>
  <c r="H318" i="2"/>
  <c r="E318" i="2"/>
  <c r="I317" i="2"/>
  <c r="H317" i="2"/>
  <c r="E317" i="2"/>
  <c r="I316" i="2"/>
  <c r="H316" i="2"/>
  <c r="E316" i="2"/>
  <c r="I315" i="2"/>
  <c r="H315" i="2"/>
  <c r="E315" i="2"/>
  <c r="I314" i="2"/>
  <c r="H314" i="2"/>
  <c r="E314" i="2"/>
  <c r="I313" i="2"/>
  <c r="H313" i="2"/>
  <c r="E313" i="2"/>
  <c r="I312" i="2"/>
  <c r="H312" i="2"/>
  <c r="E312" i="2"/>
  <c r="I311" i="2"/>
  <c r="H311" i="2"/>
  <c r="E311" i="2"/>
  <c r="I310" i="2"/>
  <c r="H310" i="2"/>
  <c r="E310" i="2"/>
  <c r="I309" i="2"/>
  <c r="H309" i="2"/>
  <c r="E309" i="2"/>
  <c r="I308" i="2"/>
  <c r="H308" i="2"/>
  <c r="E308" i="2"/>
  <c r="I307" i="2"/>
  <c r="H307" i="2"/>
  <c r="E307" i="2"/>
  <c r="I306" i="2"/>
  <c r="H306" i="2"/>
  <c r="E306" i="2"/>
  <c r="I305" i="2"/>
  <c r="H305" i="2"/>
  <c r="E305" i="2"/>
  <c r="I304" i="2"/>
  <c r="H304" i="2"/>
  <c r="E304" i="2"/>
  <c r="I303" i="2"/>
  <c r="H303" i="2"/>
  <c r="E303" i="2"/>
  <c r="I302" i="2"/>
  <c r="H302" i="2"/>
  <c r="E302" i="2"/>
  <c r="I301" i="2"/>
  <c r="H301" i="2"/>
  <c r="E301" i="2"/>
  <c r="I300" i="2"/>
  <c r="H300" i="2"/>
  <c r="E300" i="2"/>
  <c r="I299" i="2"/>
  <c r="H299" i="2"/>
  <c r="E299" i="2"/>
  <c r="I298" i="2"/>
  <c r="H298" i="2"/>
  <c r="E298" i="2"/>
  <c r="I297" i="2"/>
  <c r="H297" i="2"/>
  <c r="E297" i="2"/>
  <c r="I296" i="2"/>
  <c r="H296" i="2"/>
  <c r="E296" i="2"/>
  <c r="I295" i="2"/>
  <c r="H295" i="2"/>
  <c r="E295" i="2"/>
  <c r="I294" i="2"/>
  <c r="H294" i="2"/>
  <c r="E294" i="2"/>
  <c r="I293" i="2"/>
  <c r="H293" i="2"/>
  <c r="E293" i="2"/>
  <c r="I292" i="2"/>
  <c r="H292" i="2"/>
  <c r="E292" i="2"/>
  <c r="I291" i="2"/>
  <c r="H291" i="2"/>
  <c r="E291" i="2"/>
  <c r="I290" i="2"/>
  <c r="H290" i="2"/>
  <c r="E290" i="2"/>
  <c r="I289" i="2"/>
  <c r="H289" i="2"/>
  <c r="E289" i="2"/>
  <c r="I288" i="2"/>
  <c r="H288" i="2"/>
  <c r="E288" i="2"/>
  <c r="I287" i="2"/>
  <c r="H287" i="2"/>
  <c r="E287" i="2"/>
  <c r="I286" i="2"/>
  <c r="H286" i="2"/>
  <c r="E286" i="2"/>
  <c r="I285" i="2"/>
  <c r="H285" i="2"/>
  <c r="E285" i="2"/>
  <c r="I284" i="2"/>
  <c r="H284" i="2"/>
  <c r="E284" i="2"/>
  <c r="I283" i="2"/>
  <c r="H283" i="2"/>
  <c r="E283" i="2"/>
  <c r="I282" i="2"/>
  <c r="H282" i="2"/>
  <c r="E282" i="2"/>
  <c r="I281" i="2"/>
  <c r="H281" i="2"/>
  <c r="E281" i="2"/>
  <c r="I280" i="2"/>
  <c r="H280" i="2"/>
  <c r="E280" i="2"/>
  <c r="I279" i="2"/>
  <c r="H279" i="2"/>
  <c r="E279" i="2"/>
  <c r="I278" i="2"/>
  <c r="H278" i="2"/>
  <c r="E278" i="2"/>
  <c r="I277" i="2"/>
  <c r="H277" i="2"/>
  <c r="E277" i="2"/>
  <c r="I276" i="2"/>
  <c r="H276" i="2"/>
  <c r="E276" i="2"/>
  <c r="I275" i="2"/>
  <c r="H275" i="2"/>
  <c r="E275" i="2"/>
  <c r="I274" i="2"/>
  <c r="H274" i="2"/>
  <c r="E274" i="2"/>
  <c r="I273" i="2"/>
  <c r="H273" i="2"/>
  <c r="E273" i="2"/>
  <c r="I272" i="2"/>
  <c r="H272" i="2"/>
  <c r="E272" i="2"/>
  <c r="I271" i="2"/>
  <c r="H271" i="2"/>
  <c r="E271" i="2"/>
  <c r="I270" i="2"/>
  <c r="H270" i="2"/>
  <c r="E270" i="2"/>
  <c r="I269" i="2"/>
  <c r="H269" i="2"/>
  <c r="E269" i="2"/>
  <c r="I268" i="2"/>
  <c r="H268" i="2"/>
  <c r="E268" i="2"/>
  <c r="I267" i="2"/>
  <c r="H267" i="2"/>
  <c r="E267" i="2"/>
  <c r="I266" i="2"/>
  <c r="H266" i="2"/>
  <c r="E266" i="2"/>
  <c r="I265" i="2"/>
  <c r="H265" i="2"/>
  <c r="E265" i="2"/>
  <c r="I264" i="2"/>
  <c r="H264" i="2"/>
  <c r="E264" i="2"/>
  <c r="I263" i="2"/>
  <c r="H263" i="2"/>
  <c r="E263" i="2"/>
  <c r="I262" i="2"/>
  <c r="H262" i="2"/>
  <c r="E262" i="2"/>
  <c r="I261" i="2"/>
  <c r="H261" i="2"/>
  <c r="E261" i="2"/>
  <c r="I260" i="2"/>
  <c r="H260" i="2"/>
  <c r="E260" i="2"/>
  <c r="I259" i="2"/>
  <c r="H259" i="2"/>
  <c r="E259" i="2"/>
  <c r="I258" i="2"/>
  <c r="H258" i="2"/>
  <c r="E258" i="2"/>
  <c r="I257" i="2"/>
  <c r="H257" i="2"/>
  <c r="E257" i="2"/>
  <c r="I256" i="2"/>
  <c r="H256" i="2"/>
  <c r="E256" i="2"/>
  <c r="I255" i="2"/>
  <c r="H255" i="2"/>
  <c r="E255" i="2"/>
  <c r="I254" i="2"/>
  <c r="H254" i="2"/>
  <c r="E254" i="2"/>
  <c r="I253" i="2"/>
  <c r="H253" i="2"/>
  <c r="E253" i="2"/>
  <c r="I252" i="2"/>
  <c r="H252" i="2"/>
  <c r="E252" i="2"/>
  <c r="I251" i="2"/>
  <c r="H251" i="2"/>
  <c r="E251" i="2"/>
  <c r="I250" i="2"/>
  <c r="H250" i="2"/>
  <c r="E250" i="2"/>
  <c r="I249" i="2"/>
  <c r="H249" i="2"/>
  <c r="E249" i="2"/>
  <c r="I248" i="2"/>
  <c r="H248" i="2"/>
  <c r="E248" i="2"/>
  <c r="I247" i="2"/>
  <c r="H247" i="2"/>
  <c r="E247" i="2"/>
  <c r="I246" i="2"/>
  <c r="H246" i="2"/>
  <c r="E246" i="2"/>
  <c r="I245" i="2"/>
  <c r="H245" i="2"/>
  <c r="E245" i="2"/>
  <c r="I244" i="2"/>
  <c r="H244" i="2"/>
  <c r="E244" i="2"/>
  <c r="I243" i="2"/>
  <c r="H243" i="2"/>
  <c r="E243" i="2"/>
  <c r="I242" i="2"/>
  <c r="H242" i="2"/>
  <c r="E242" i="2"/>
  <c r="I241" i="2"/>
  <c r="H241" i="2"/>
  <c r="E241" i="2"/>
  <c r="I240" i="2"/>
  <c r="H240" i="2"/>
  <c r="E240" i="2"/>
  <c r="I239" i="2"/>
  <c r="H239" i="2"/>
  <c r="E239" i="2"/>
  <c r="I238" i="2"/>
  <c r="H238" i="2"/>
  <c r="E238" i="2"/>
  <c r="I237" i="2"/>
  <c r="H237" i="2"/>
  <c r="E237" i="2"/>
  <c r="I236" i="2"/>
  <c r="H236" i="2"/>
  <c r="E236" i="2"/>
  <c r="I235" i="2"/>
  <c r="H235" i="2"/>
  <c r="E235" i="2"/>
  <c r="I234" i="2"/>
  <c r="H234" i="2"/>
  <c r="E234" i="2"/>
  <c r="I233" i="2"/>
  <c r="H233" i="2"/>
  <c r="E233" i="2"/>
  <c r="I232" i="2"/>
  <c r="H232" i="2"/>
  <c r="E232" i="2"/>
  <c r="I231" i="2"/>
  <c r="H231" i="2"/>
  <c r="E231" i="2"/>
  <c r="I230" i="2"/>
  <c r="H230" i="2"/>
  <c r="E230" i="2"/>
  <c r="I229" i="2"/>
  <c r="H229" i="2"/>
  <c r="E229" i="2"/>
  <c r="I228" i="2"/>
  <c r="H228" i="2"/>
  <c r="E228" i="2"/>
  <c r="I227" i="2"/>
  <c r="H227" i="2"/>
  <c r="E227" i="2"/>
  <c r="I226" i="2"/>
  <c r="H226" i="2"/>
  <c r="E226" i="2"/>
  <c r="I225" i="2"/>
  <c r="H225" i="2"/>
  <c r="E225" i="2"/>
  <c r="I224" i="2"/>
  <c r="H224" i="2"/>
  <c r="E224" i="2"/>
  <c r="I223" i="2"/>
  <c r="H223" i="2"/>
  <c r="E223" i="2"/>
  <c r="I222" i="2"/>
  <c r="H222" i="2"/>
  <c r="E222" i="2"/>
  <c r="I221" i="2"/>
  <c r="H221" i="2"/>
  <c r="E221" i="2"/>
  <c r="I220" i="2"/>
  <c r="H220" i="2"/>
  <c r="E220" i="2"/>
  <c r="I219" i="2"/>
  <c r="H219" i="2"/>
  <c r="E219" i="2"/>
  <c r="I218" i="2"/>
  <c r="H218" i="2"/>
  <c r="E218" i="2"/>
  <c r="I217" i="2"/>
  <c r="H217" i="2"/>
  <c r="E217" i="2"/>
  <c r="I216" i="2"/>
  <c r="H216" i="2"/>
  <c r="E216" i="2"/>
  <c r="I215" i="2"/>
  <c r="H215" i="2"/>
  <c r="E215" i="2"/>
  <c r="I214" i="2"/>
  <c r="H214" i="2"/>
  <c r="E214" i="2"/>
  <c r="I213" i="2"/>
  <c r="H213" i="2"/>
  <c r="E213" i="2"/>
  <c r="I212" i="2"/>
  <c r="H212" i="2"/>
  <c r="E212" i="2"/>
  <c r="I211" i="2"/>
  <c r="H211" i="2"/>
  <c r="E211" i="2"/>
  <c r="I210" i="2"/>
  <c r="H210" i="2"/>
  <c r="E210" i="2"/>
  <c r="I209" i="2"/>
  <c r="H209" i="2"/>
  <c r="E209" i="2"/>
  <c r="I208" i="2"/>
  <c r="H208" i="2"/>
  <c r="E208" i="2"/>
  <c r="I207" i="2"/>
  <c r="H207" i="2"/>
  <c r="E207" i="2"/>
  <c r="I206" i="2"/>
  <c r="H206" i="2"/>
  <c r="E206" i="2"/>
  <c r="I205" i="2"/>
  <c r="H205" i="2"/>
  <c r="E205" i="2"/>
  <c r="I204" i="2"/>
  <c r="H204" i="2"/>
  <c r="E204" i="2"/>
  <c r="I203" i="2"/>
  <c r="H203" i="2"/>
  <c r="E203" i="2"/>
  <c r="I202" i="2"/>
  <c r="H202" i="2"/>
  <c r="E202" i="2"/>
  <c r="I201" i="2"/>
  <c r="H201" i="2"/>
  <c r="E201" i="2"/>
  <c r="I200" i="2"/>
  <c r="H200" i="2"/>
  <c r="E200" i="2"/>
  <c r="I199" i="2"/>
  <c r="H199" i="2"/>
  <c r="E199" i="2"/>
  <c r="I198" i="2"/>
  <c r="H198" i="2"/>
  <c r="E198" i="2"/>
  <c r="I197" i="2"/>
  <c r="H197" i="2"/>
  <c r="E197" i="2"/>
  <c r="I196" i="2"/>
  <c r="H196" i="2"/>
  <c r="E196" i="2"/>
  <c r="I195" i="2"/>
  <c r="H195" i="2"/>
  <c r="E195" i="2"/>
  <c r="I194" i="2"/>
  <c r="H194" i="2"/>
  <c r="E194" i="2"/>
  <c r="I193" i="2"/>
  <c r="H193" i="2"/>
  <c r="E193" i="2"/>
  <c r="I192" i="2"/>
  <c r="H192" i="2"/>
  <c r="E192" i="2"/>
  <c r="I191" i="2"/>
  <c r="H191" i="2"/>
  <c r="E191" i="2"/>
  <c r="I190" i="2"/>
  <c r="H190" i="2"/>
  <c r="E190" i="2"/>
  <c r="I189" i="2"/>
  <c r="H189" i="2"/>
  <c r="E189" i="2"/>
  <c r="I188" i="2"/>
  <c r="H188" i="2"/>
  <c r="E188" i="2"/>
  <c r="I187" i="2"/>
  <c r="H187" i="2"/>
  <c r="E187" i="2"/>
  <c r="I186" i="2"/>
  <c r="H186" i="2"/>
  <c r="E186" i="2"/>
  <c r="I185" i="2"/>
  <c r="H185" i="2"/>
  <c r="E185" i="2"/>
  <c r="I184" i="2"/>
  <c r="H184" i="2"/>
  <c r="E184" i="2"/>
  <c r="I183" i="2"/>
  <c r="H183" i="2"/>
  <c r="E183" i="2"/>
  <c r="I182" i="2"/>
  <c r="H182" i="2"/>
  <c r="E182" i="2"/>
  <c r="I181" i="2"/>
  <c r="H181" i="2"/>
  <c r="E181" i="2"/>
  <c r="I180" i="2"/>
  <c r="H180" i="2"/>
  <c r="E180" i="2"/>
  <c r="I179" i="2"/>
  <c r="H179" i="2"/>
  <c r="E179" i="2"/>
  <c r="I178" i="2"/>
  <c r="H178" i="2"/>
  <c r="E178" i="2"/>
  <c r="I177" i="2"/>
  <c r="H177" i="2"/>
  <c r="E177" i="2"/>
  <c r="I176" i="2"/>
  <c r="H176" i="2"/>
  <c r="E176" i="2"/>
  <c r="I175" i="2"/>
  <c r="H175" i="2"/>
  <c r="E175" i="2"/>
  <c r="I174" i="2"/>
  <c r="H174" i="2"/>
  <c r="E174" i="2"/>
  <c r="I173" i="2"/>
  <c r="H173" i="2"/>
  <c r="E173" i="2"/>
  <c r="I172" i="2"/>
  <c r="H172" i="2"/>
  <c r="E172" i="2"/>
  <c r="I171" i="2"/>
  <c r="H171" i="2"/>
  <c r="E171" i="2"/>
  <c r="I170" i="2"/>
  <c r="H170" i="2"/>
  <c r="E170" i="2"/>
  <c r="I169" i="2"/>
  <c r="H169" i="2"/>
  <c r="E169" i="2"/>
  <c r="I168" i="2"/>
  <c r="H168" i="2"/>
  <c r="E168" i="2"/>
  <c r="I167" i="2"/>
  <c r="H167" i="2"/>
  <c r="E167" i="2"/>
  <c r="I166" i="2"/>
  <c r="H166" i="2"/>
  <c r="E166" i="2"/>
  <c r="I165" i="2"/>
  <c r="H165" i="2"/>
  <c r="E165" i="2"/>
  <c r="I164" i="2"/>
  <c r="H164" i="2"/>
  <c r="E164" i="2"/>
  <c r="I163" i="2"/>
  <c r="H163" i="2"/>
  <c r="E163" i="2"/>
  <c r="I162" i="2"/>
  <c r="H162" i="2"/>
  <c r="E162" i="2"/>
  <c r="I161" i="2"/>
  <c r="H161" i="2"/>
  <c r="E161" i="2"/>
  <c r="I160" i="2"/>
  <c r="H160" i="2"/>
  <c r="E160" i="2"/>
  <c r="I159" i="2"/>
  <c r="H159" i="2"/>
  <c r="E159" i="2"/>
  <c r="I158" i="2"/>
  <c r="H158" i="2"/>
  <c r="E158" i="2"/>
  <c r="I157" i="2"/>
  <c r="H157" i="2"/>
  <c r="E157" i="2"/>
  <c r="I156" i="2"/>
  <c r="H156" i="2"/>
  <c r="E156" i="2"/>
  <c r="I155" i="2"/>
  <c r="H155" i="2"/>
  <c r="E155" i="2"/>
  <c r="I154" i="2"/>
  <c r="H154" i="2"/>
  <c r="E154" i="2"/>
  <c r="I153" i="2"/>
  <c r="H153" i="2"/>
  <c r="E153" i="2"/>
  <c r="I152" i="2"/>
  <c r="H152" i="2"/>
  <c r="E152" i="2"/>
  <c r="I151" i="2"/>
  <c r="H151" i="2"/>
  <c r="E151" i="2"/>
  <c r="I150" i="2"/>
  <c r="H150" i="2"/>
  <c r="E150" i="2"/>
  <c r="I149" i="2"/>
  <c r="H149" i="2"/>
  <c r="E149" i="2"/>
  <c r="I148" i="2"/>
  <c r="H148" i="2"/>
  <c r="E148" i="2"/>
  <c r="I147" i="2"/>
  <c r="H147" i="2"/>
  <c r="E147" i="2"/>
  <c r="I146" i="2"/>
  <c r="H146" i="2"/>
  <c r="E146" i="2"/>
  <c r="I145" i="2"/>
  <c r="H145" i="2"/>
  <c r="E145" i="2"/>
  <c r="I144" i="2"/>
  <c r="H144" i="2"/>
  <c r="E144" i="2"/>
  <c r="I143" i="2"/>
  <c r="H143" i="2"/>
  <c r="E143" i="2"/>
  <c r="I142" i="2"/>
  <c r="H142" i="2"/>
  <c r="E142" i="2"/>
  <c r="I141" i="2"/>
  <c r="H141" i="2"/>
  <c r="E141" i="2"/>
  <c r="I140" i="2"/>
  <c r="H140" i="2"/>
  <c r="E140" i="2"/>
  <c r="I139" i="2"/>
  <c r="H139" i="2"/>
  <c r="E139" i="2"/>
  <c r="I138" i="2"/>
  <c r="H138" i="2"/>
  <c r="E138" i="2"/>
  <c r="I137" i="2"/>
  <c r="H137" i="2"/>
  <c r="E137" i="2"/>
  <c r="I136" i="2"/>
  <c r="H136" i="2"/>
  <c r="E136" i="2"/>
  <c r="I135" i="2"/>
  <c r="H135" i="2"/>
  <c r="E135" i="2"/>
  <c r="I134" i="2"/>
  <c r="H134" i="2"/>
  <c r="E134" i="2"/>
  <c r="I133" i="2"/>
  <c r="H133" i="2"/>
  <c r="E133" i="2"/>
  <c r="I132" i="2"/>
  <c r="H132" i="2"/>
  <c r="E132" i="2"/>
  <c r="I131" i="2"/>
  <c r="H131" i="2"/>
  <c r="E131" i="2"/>
  <c r="I130" i="2"/>
  <c r="H130" i="2"/>
  <c r="E130" i="2"/>
  <c r="I129" i="2"/>
  <c r="H129" i="2"/>
  <c r="E129" i="2"/>
  <c r="I128" i="2"/>
  <c r="H128" i="2"/>
  <c r="E128" i="2"/>
  <c r="I127" i="2"/>
  <c r="H127" i="2"/>
  <c r="E127" i="2"/>
  <c r="I126" i="2"/>
  <c r="H126" i="2"/>
  <c r="E126" i="2"/>
  <c r="I125" i="2"/>
  <c r="H125" i="2"/>
  <c r="E125" i="2"/>
  <c r="I124" i="2"/>
  <c r="H124" i="2"/>
  <c r="E124" i="2"/>
  <c r="I123" i="2"/>
  <c r="H123" i="2"/>
  <c r="E123" i="2"/>
  <c r="I122" i="2"/>
  <c r="H122" i="2"/>
  <c r="E122" i="2"/>
  <c r="I121" i="2"/>
  <c r="H121" i="2"/>
  <c r="E121" i="2"/>
  <c r="I120" i="2"/>
  <c r="H120" i="2"/>
  <c r="E120" i="2"/>
  <c r="I119" i="2"/>
  <c r="H119" i="2"/>
  <c r="E119" i="2"/>
  <c r="I118" i="2"/>
  <c r="H118" i="2"/>
  <c r="E118" i="2"/>
  <c r="I117" i="2"/>
  <c r="H117" i="2"/>
  <c r="E117" i="2"/>
  <c r="I116" i="2"/>
  <c r="H116" i="2"/>
  <c r="E116" i="2"/>
  <c r="I115" i="2"/>
  <c r="H115" i="2"/>
  <c r="E115" i="2"/>
  <c r="I114" i="2"/>
  <c r="H114" i="2"/>
  <c r="E114" i="2"/>
  <c r="I113" i="2"/>
  <c r="H113" i="2"/>
  <c r="E113" i="2"/>
  <c r="I112" i="2"/>
  <c r="H112" i="2"/>
  <c r="E112" i="2"/>
  <c r="I111" i="2"/>
  <c r="H111" i="2"/>
  <c r="E111" i="2"/>
  <c r="I110" i="2"/>
  <c r="H110" i="2"/>
  <c r="E110" i="2"/>
  <c r="I109" i="2"/>
  <c r="H109" i="2"/>
  <c r="E109" i="2"/>
  <c r="I108" i="2"/>
  <c r="H108" i="2"/>
  <c r="E108" i="2"/>
  <c r="I107" i="2"/>
  <c r="H107" i="2"/>
  <c r="E107" i="2"/>
  <c r="I106" i="2"/>
  <c r="H106" i="2"/>
  <c r="E106" i="2"/>
  <c r="I105" i="2"/>
  <c r="H105" i="2"/>
  <c r="E105" i="2"/>
  <c r="I104" i="2"/>
  <c r="H104" i="2"/>
  <c r="E104" i="2"/>
  <c r="I103" i="2"/>
  <c r="H103" i="2"/>
  <c r="E103" i="2"/>
  <c r="I102" i="2"/>
  <c r="H102" i="2"/>
  <c r="E102" i="2"/>
  <c r="I101" i="2"/>
  <c r="H101" i="2"/>
  <c r="E101" i="2"/>
  <c r="I100" i="2"/>
  <c r="H100" i="2"/>
  <c r="E100" i="2"/>
  <c r="I99" i="2"/>
  <c r="H99" i="2"/>
  <c r="E99" i="2"/>
  <c r="I98" i="2"/>
  <c r="H98" i="2"/>
  <c r="E98" i="2"/>
  <c r="I97" i="2"/>
  <c r="H97" i="2"/>
  <c r="E97" i="2"/>
  <c r="I96" i="2"/>
  <c r="H96" i="2"/>
  <c r="E96" i="2"/>
  <c r="I95" i="2"/>
  <c r="H95" i="2"/>
  <c r="E95" i="2"/>
  <c r="I94" i="2"/>
  <c r="H94" i="2"/>
  <c r="E94" i="2"/>
  <c r="I93" i="2"/>
  <c r="H93" i="2"/>
  <c r="E93" i="2"/>
  <c r="I92" i="2"/>
  <c r="H92" i="2"/>
  <c r="E92" i="2"/>
  <c r="I91" i="2"/>
  <c r="H91" i="2"/>
  <c r="E91" i="2"/>
  <c r="I90" i="2"/>
  <c r="H90" i="2"/>
  <c r="E90" i="2"/>
  <c r="I89" i="2"/>
  <c r="H89" i="2"/>
  <c r="E89" i="2"/>
  <c r="I88" i="2"/>
  <c r="H88" i="2"/>
  <c r="E88" i="2"/>
  <c r="I87" i="2"/>
  <c r="H87" i="2"/>
  <c r="E87" i="2"/>
  <c r="I86" i="2"/>
  <c r="H86" i="2"/>
  <c r="E86" i="2"/>
  <c r="I85" i="2"/>
  <c r="H85" i="2"/>
  <c r="E85" i="2"/>
  <c r="I84" i="2"/>
  <c r="H84" i="2"/>
  <c r="E84" i="2"/>
  <c r="I83" i="2"/>
  <c r="H83" i="2"/>
  <c r="E83" i="2"/>
  <c r="I82" i="2"/>
  <c r="H82" i="2"/>
  <c r="E82" i="2"/>
  <c r="I81" i="2"/>
  <c r="H81" i="2"/>
  <c r="E81" i="2"/>
  <c r="I80" i="2"/>
  <c r="H80" i="2"/>
  <c r="E80" i="2"/>
  <c r="I79" i="2"/>
  <c r="H79" i="2"/>
  <c r="E79" i="2"/>
  <c r="I78" i="2"/>
  <c r="H78" i="2"/>
  <c r="E78" i="2"/>
  <c r="I77" i="2"/>
  <c r="H77" i="2"/>
  <c r="E77" i="2"/>
  <c r="I76" i="2"/>
  <c r="H76" i="2"/>
  <c r="E76" i="2"/>
  <c r="I75" i="2"/>
  <c r="H75" i="2"/>
  <c r="E75" i="2"/>
  <c r="I74" i="2"/>
  <c r="H74" i="2"/>
  <c r="E74" i="2"/>
  <c r="I73" i="2"/>
  <c r="H73" i="2"/>
  <c r="E73" i="2"/>
  <c r="I72" i="2"/>
  <c r="H72" i="2"/>
  <c r="E72" i="2"/>
  <c r="I71" i="2"/>
  <c r="H71" i="2"/>
  <c r="E71" i="2"/>
  <c r="I70" i="2"/>
  <c r="H70" i="2"/>
  <c r="E70" i="2"/>
  <c r="I69" i="2"/>
  <c r="H69" i="2"/>
  <c r="E69" i="2"/>
  <c r="I68" i="2"/>
  <c r="H68" i="2"/>
  <c r="E68" i="2"/>
  <c r="I67" i="2"/>
  <c r="H67" i="2"/>
  <c r="E67" i="2"/>
  <c r="I66" i="2"/>
  <c r="H66" i="2"/>
  <c r="E66" i="2"/>
  <c r="I65" i="2"/>
  <c r="H65" i="2"/>
  <c r="E65" i="2"/>
  <c r="I64" i="2"/>
  <c r="H64" i="2"/>
  <c r="E64" i="2"/>
  <c r="I63" i="2"/>
  <c r="H63" i="2"/>
  <c r="E63" i="2"/>
  <c r="I62" i="2"/>
  <c r="H62" i="2"/>
  <c r="E62" i="2"/>
  <c r="I61" i="2"/>
  <c r="H61" i="2"/>
  <c r="E61" i="2"/>
  <c r="I60" i="2"/>
  <c r="H60" i="2"/>
  <c r="E60" i="2"/>
  <c r="I59" i="2"/>
  <c r="H59" i="2"/>
  <c r="E59" i="2"/>
  <c r="I58" i="2"/>
  <c r="H58" i="2"/>
  <c r="E58" i="2"/>
  <c r="I57" i="2"/>
  <c r="H57" i="2"/>
  <c r="E57" i="2"/>
  <c r="I56" i="2"/>
  <c r="H56" i="2"/>
  <c r="E56" i="2"/>
  <c r="I55" i="2"/>
  <c r="H55" i="2"/>
  <c r="E55" i="2"/>
  <c r="I54" i="2"/>
  <c r="H54" i="2"/>
  <c r="E54" i="2"/>
  <c r="I53" i="2"/>
  <c r="H53" i="2"/>
  <c r="E53" i="2"/>
  <c r="I52" i="2"/>
  <c r="H52" i="2"/>
  <c r="E52" i="2"/>
  <c r="I51" i="2"/>
  <c r="H51" i="2"/>
  <c r="E51" i="2"/>
  <c r="I50" i="2"/>
  <c r="H50" i="2"/>
  <c r="E50" i="2"/>
  <c r="I49" i="2"/>
  <c r="H49" i="2"/>
  <c r="E49" i="2"/>
  <c r="I48" i="2"/>
  <c r="H48" i="2"/>
  <c r="E48" i="2"/>
  <c r="I47" i="2"/>
  <c r="H47" i="2"/>
  <c r="E47" i="2"/>
  <c r="I46" i="2"/>
  <c r="H46" i="2"/>
  <c r="E46" i="2"/>
  <c r="I45" i="2"/>
  <c r="H45" i="2"/>
  <c r="E45" i="2"/>
  <c r="I44" i="2"/>
  <c r="H44" i="2"/>
  <c r="E44" i="2"/>
  <c r="I43" i="2"/>
  <c r="H43" i="2"/>
  <c r="E43" i="2"/>
  <c r="I42" i="2"/>
  <c r="H42" i="2"/>
  <c r="E42" i="2"/>
  <c r="I41" i="2"/>
  <c r="H41" i="2"/>
  <c r="E41" i="2"/>
  <c r="I40" i="2"/>
  <c r="H40" i="2"/>
  <c r="E40" i="2"/>
  <c r="I39" i="2"/>
  <c r="H39" i="2"/>
  <c r="E39" i="2"/>
  <c r="I38" i="2"/>
  <c r="H38" i="2"/>
  <c r="E38" i="2"/>
  <c r="I37" i="2"/>
  <c r="H37" i="2"/>
  <c r="E37" i="2"/>
  <c r="I36" i="2"/>
  <c r="H36" i="2"/>
  <c r="E36" i="2"/>
  <c r="I35" i="2"/>
  <c r="H35" i="2"/>
  <c r="E35" i="2"/>
  <c r="I34" i="2"/>
  <c r="H34" i="2"/>
  <c r="E34" i="2"/>
  <c r="I33" i="2"/>
  <c r="H33" i="2"/>
  <c r="E33" i="2"/>
  <c r="I32" i="2"/>
  <c r="H32" i="2"/>
  <c r="E32" i="2"/>
  <c r="I31" i="2"/>
  <c r="H31" i="2"/>
  <c r="E31" i="2"/>
  <c r="I30" i="2"/>
  <c r="H30" i="2"/>
  <c r="E30" i="2"/>
  <c r="I29" i="2"/>
  <c r="H29" i="2"/>
  <c r="E29" i="2"/>
  <c r="I28" i="2"/>
  <c r="H28" i="2"/>
  <c r="E28" i="2"/>
  <c r="I27" i="2"/>
  <c r="H27" i="2"/>
  <c r="E27" i="2"/>
  <c r="I26" i="2"/>
  <c r="H26" i="2"/>
  <c r="E26" i="2"/>
  <c r="I25" i="2"/>
  <c r="H25" i="2"/>
  <c r="E25" i="2"/>
  <c r="I24" i="2"/>
  <c r="H24" i="2"/>
  <c r="E24" i="2"/>
  <c r="I23" i="2"/>
  <c r="H23" i="2"/>
  <c r="E23" i="2"/>
  <c r="I22" i="2"/>
  <c r="H22" i="2"/>
  <c r="E22" i="2"/>
  <c r="I21" i="2"/>
  <c r="H21" i="2"/>
  <c r="E21" i="2"/>
  <c r="I20" i="2"/>
  <c r="H20" i="2"/>
  <c r="E20" i="2"/>
  <c r="I19" i="2"/>
  <c r="H19" i="2"/>
  <c r="E19" i="2"/>
  <c r="I18" i="2"/>
  <c r="H18" i="2"/>
  <c r="E18" i="2"/>
  <c r="I17" i="2"/>
  <c r="H17" i="2"/>
  <c r="E17" i="2"/>
  <c r="I16" i="2"/>
  <c r="H16" i="2"/>
  <c r="E16" i="2"/>
  <c r="I15" i="2"/>
  <c r="H15" i="2"/>
  <c r="E15" i="2"/>
  <c r="I14" i="2"/>
  <c r="H14" i="2"/>
  <c r="E14" i="2"/>
  <c r="I13" i="2"/>
  <c r="H13" i="2"/>
  <c r="E13" i="2"/>
  <c r="I12" i="2"/>
  <c r="H12" i="2"/>
  <c r="E12" i="2"/>
  <c r="I11" i="2"/>
  <c r="H11" i="2"/>
  <c r="E11" i="2"/>
  <c r="N10" i="2"/>
  <c r="M10" i="2"/>
  <c r="O10" i="2" s="1"/>
  <c r="I10" i="2"/>
  <c r="H10" i="2"/>
  <c r="E10" i="2"/>
  <c r="N9" i="2"/>
  <c r="M9" i="2"/>
  <c r="O9" i="2" s="1"/>
  <c r="I9" i="2"/>
  <c r="H9" i="2"/>
  <c r="E9" i="2"/>
  <c r="N8" i="2"/>
  <c r="O8" i="2" s="1"/>
  <c r="M8" i="2"/>
  <c r="I8" i="2"/>
  <c r="H8" i="2"/>
  <c r="E8" i="2"/>
  <c r="N7" i="2"/>
  <c r="M7" i="2"/>
  <c r="O7" i="2" s="1"/>
  <c r="I7" i="2"/>
  <c r="H7" i="2"/>
  <c r="E7" i="2"/>
  <c r="N6" i="2"/>
  <c r="M6" i="2"/>
  <c r="O6" i="2" s="1"/>
  <c r="I6" i="2"/>
  <c r="H6" i="2"/>
  <c r="E6" i="2"/>
  <c r="O5" i="2"/>
  <c r="N5" i="2"/>
  <c r="M5" i="2"/>
  <c r="I5" i="2"/>
  <c r="H5" i="2"/>
  <c r="E5" i="2"/>
  <c r="N4" i="2"/>
  <c r="O4" i="2" s="1"/>
  <c r="M4" i="2"/>
  <c r="I4" i="2"/>
  <c r="H4" i="2"/>
  <c r="E4" i="2"/>
  <c r="N3" i="2"/>
  <c r="M3" i="2"/>
  <c r="O3" i="2" s="1"/>
  <c r="I3" i="2"/>
  <c r="H3" i="2"/>
  <c r="E3" i="2"/>
  <c r="N2" i="2"/>
  <c r="N12" i="2" s="1"/>
  <c r="O2" i="2"/>
  <c r="I2" i="2"/>
  <c r="H2" i="2"/>
  <c r="E2" i="2"/>
  <c r="D353" i="2" s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L10" i="1"/>
  <c r="K10" i="1"/>
  <c r="M10" i="1" s="1"/>
  <c r="E10" i="1"/>
  <c r="L9" i="1"/>
  <c r="K9" i="1"/>
  <c r="E9" i="1"/>
  <c r="L8" i="1"/>
  <c r="K8" i="1"/>
  <c r="M8" i="1" s="1"/>
  <c r="E8" i="1"/>
  <c r="L7" i="1"/>
  <c r="K7" i="1"/>
  <c r="E7" i="1"/>
  <c r="L6" i="1"/>
  <c r="K6" i="1"/>
  <c r="E6" i="1"/>
  <c r="L5" i="1"/>
  <c r="K5" i="1"/>
  <c r="E5" i="1"/>
  <c r="L4" i="1"/>
  <c r="K4" i="1"/>
  <c r="E4" i="1"/>
  <c r="L3" i="1"/>
  <c r="L11" i="1" s="1"/>
  <c r="E3" i="1"/>
  <c r="L2" i="1"/>
  <c r="E2" i="1"/>
  <c r="H29" i="12" l="1"/>
  <c r="K29" i="12" s="1"/>
  <c r="G191" i="12"/>
  <c r="G197" i="12"/>
  <c r="G272" i="12"/>
  <c r="G278" i="12"/>
  <c r="G287" i="12"/>
  <c r="G302" i="12"/>
  <c r="H302" i="12" s="1"/>
  <c r="K302" i="12" s="1"/>
  <c r="G308" i="12"/>
  <c r="H308" i="12" s="1"/>
  <c r="K308" i="12" s="1"/>
  <c r="G312" i="12"/>
  <c r="H312" i="12" s="1"/>
  <c r="K312" i="12" s="1"/>
  <c r="G327" i="12"/>
  <c r="G342" i="12"/>
  <c r="G25" i="12"/>
  <c r="H25" i="12" s="1"/>
  <c r="K25" i="12" s="1"/>
  <c r="G161" i="12"/>
  <c r="H161" i="12" s="1"/>
  <c r="K161" i="12" s="1"/>
  <c r="G241" i="12"/>
  <c r="H241" i="12" s="1"/>
  <c r="G305" i="12"/>
  <c r="H305" i="12" s="1"/>
  <c r="K305" i="12" s="1"/>
  <c r="I241" i="12"/>
  <c r="J241" i="12" s="1"/>
  <c r="G26" i="12"/>
  <c r="G139" i="12"/>
  <c r="H139" i="12" s="1"/>
  <c r="K139" i="12" s="1"/>
  <c r="G186" i="12"/>
  <c r="G226" i="12"/>
  <c r="G266" i="12"/>
  <c r="G306" i="12"/>
  <c r="G168" i="12"/>
  <c r="H168" i="12" s="1"/>
  <c r="K168" i="12" s="1"/>
  <c r="G173" i="12"/>
  <c r="H173" i="12" s="1"/>
  <c r="K173" i="12" s="1"/>
  <c r="G182" i="12"/>
  <c r="G318" i="12"/>
  <c r="G177" i="12"/>
  <c r="H177" i="12" s="1"/>
  <c r="K177" i="12" s="1"/>
  <c r="G313" i="12"/>
  <c r="G187" i="12"/>
  <c r="G188" i="12"/>
  <c r="G192" i="12"/>
  <c r="H192" i="12" s="1"/>
  <c r="K192" i="12" s="1"/>
  <c r="G198" i="12"/>
  <c r="H198" i="12" s="1"/>
  <c r="K198" i="12" s="1"/>
  <c r="G324" i="12"/>
  <c r="G328" i="12"/>
  <c r="G343" i="12"/>
  <c r="H343" i="12" s="1"/>
  <c r="K343" i="12" s="1"/>
  <c r="G185" i="12"/>
  <c r="H185" i="12" s="1"/>
  <c r="K185" i="12" s="1"/>
  <c r="G257" i="12"/>
  <c r="G321" i="12"/>
  <c r="H321" i="12" s="1"/>
  <c r="K321" i="12" s="1"/>
  <c r="G147" i="12"/>
  <c r="H147" i="12" s="1"/>
  <c r="K147" i="12" s="1"/>
  <c r="G194" i="12"/>
  <c r="H194" i="12" s="1"/>
  <c r="K194" i="12" s="1"/>
  <c r="G234" i="12"/>
  <c r="H234" i="12" s="1"/>
  <c r="K234" i="12" s="1"/>
  <c r="G274" i="12"/>
  <c r="G314" i="12"/>
  <c r="G169" i="12"/>
  <c r="G174" i="12"/>
  <c r="G179" i="12"/>
  <c r="G183" i="12"/>
  <c r="H183" i="12" s="1"/>
  <c r="K183" i="12" s="1"/>
  <c r="G294" i="12"/>
  <c r="H294" i="12" s="1"/>
  <c r="K294" i="12" s="1"/>
  <c r="G319" i="12"/>
  <c r="H319" i="12" s="1"/>
  <c r="K319" i="12" s="1"/>
  <c r="G334" i="12"/>
  <c r="G121" i="12"/>
  <c r="H121" i="12" s="1"/>
  <c r="G193" i="12"/>
  <c r="H193" i="12" s="1"/>
  <c r="K193" i="12" s="1"/>
  <c r="G265" i="12"/>
  <c r="G329" i="12"/>
  <c r="H329" i="12" s="1"/>
  <c r="K329" i="12" s="1"/>
  <c r="I121" i="12"/>
  <c r="J121" i="12" s="1"/>
  <c r="I201" i="12"/>
  <c r="J201" i="12" s="1"/>
  <c r="I265" i="12"/>
  <c r="J265" i="12" s="1"/>
  <c r="G154" i="12"/>
  <c r="G195" i="12"/>
  <c r="H195" i="12" s="1"/>
  <c r="K195" i="12" s="1"/>
  <c r="G235" i="12"/>
  <c r="G275" i="12"/>
  <c r="G315" i="12"/>
  <c r="H315" i="12" s="1"/>
  <c r="K315" i="12" s="1"/>
  <c r="K39" i="12"/>
  <c r="G189" i="12"/>
  <c r="H189" i="12" s="1"/>
  <c r="K189" i="12" s="1"/>
  <c r="G199" i="12"/>
  <c r="G276" i="12"/>
  <c r="G280" i="12"/>
  <c r="H280" i="12" s="1"/>
  <c r="K280" i="12" s="1"/>
  <c r="G285" i="12"/>
  <c r="G300" i="12"/>
  <c r="G304" i="12"/>
  <c r="H304" i="12" s="1"/>
  <c r="K304" i="12" s="1"/>
  <c r="G310" i="12"/>
  <c r="H310" i="12" s="1"/>
  <c r="K310" i="12" s="1"/>
  <c r="G325" i="12"/>
  <c r="H325" i="12" s="1"/>
  <c r="K325" i="12" s="1"/>
  <c r="G340" i="12"/>
  <c r="H340" i="12" s="1"/>
  <c r="K340" i="12" s="1"/>
  <c r="G344" i="12"/>
  <c r="G129" i="12"/>
  <c r="G209" i="12"/>
  <c r="G273" i="12"/>
  <c r="G337" i="12"/>
  <c r="H337" i="12" s="1"/>
  <c r="K337" i="12" s="1"/>
  <c r="G3" i="12"/>
  <c r="H3" i="12" s="1"/>
  <c r="K3" i="12" s="1"/>
  <c r="G122" i="12"/>
  <c r="H122" i="12" s="1"/>
  <c r="K122" i="12" s="1"/>
  <c r="G155" i="12"/>
  <c r="G202" i="12"/>
  <c r="G283" i="12"/>
  <c r="H283" i="12" s="1"/>
  <c r="K283" i="12" s="1"/>
  <c r="G323" i="12"/>
  <c r="G178" i="12"/>
  <c r="G166" i="12"/>
  <c r="G171" i="12"/>
  <c r="H171" i="12" s="1"/>
  <c r="K171" i="12" s="1"/>
  <c r="G175" i="12"/>
  <c r="H175" i="12" s="1"/>
  <c r="K175" i="12" s="1"/>
  <c r="G180" i="12"/>
  <c r="G184" i="12"/>
  <c r="G316" i="12"/>
  <c r="H316" i="12" s="1"/>
  <c r="K316" i="12" s="1"/>
  <c r="G320" i="12"/>
  <c r="G190" i="12"/>
  <c r="G196" i="12"/>
  <c r="H196" i="12" s="1"/>
  <c r="K196" i="12" s="1"/>
  <c r="G200" i="12"/>
  <c r="H200" i="12" s="1"/>
  <c r="K200" i="12" s="1"/>
  <c r="G311" i="12"/>
  <c r="G9" i="12"/>
  <c r="H9" i="12" s="1"/>
  <c r="K9" i="12" s="1"/>
  <c r="G225" i="12"/>
  <c r="H225" i="12" s="1"/>
  <c r="K225" i="12" s="1"/>
  <c r="G289" i="12"/>
  <c r="H289" i="12" s="1"/>
  <c r="K289" i="12" s="1"/>
  <c r="G258" i="12"/>
  <c r="K7" i="12"/>
  <c r="K8" i="12"/>
  <c r="K15" i="12"/>
  <c r="H145" i="12"/>
  <c r="K145" i="12" s="1"/>
  <c r="H233" i="12"/>
  <c r="K233" i="12" s="1"/>
  <c r="H114" i="12"/>
  <c r="K114" i="12" s="1"/>
  <c r="H249" i="12"/>
  <c r="K249" i="12" s="1"/>
  <c r="K28" i="12"/>
  <c r="K55" i="12"/>
  <c r="K4" i="12"/>
  <c r="K12" i="12"/>
  <c r="K31" i="12"/>
  <c r="K71" i="12"/>
  <c r="K87" i="12"/>
  <c r="K103" i="12"/>
  <c r="K47" i="12"/>
  <c r="K63" i="12"/>
  <c r="K79" i="12"/>
  <c r="K95" i="12"/>
  <c r="K111" i="12"/>
  <c r="H335" i="12"/>
  <c r="K335" i="12" s="1"/>
  <c r="H338" i="12"/>
  <c r="K338" i="12" s="1"/>
  <c r="H330" i="12"/>
  <c r="K330" i="12" s="1"/>
  <c r="H341" i="12"/>
  <c r="K341" i="12" s="1"/>
  <c r="H333" i="12"/>
  <c r="K333" i="12" s="1"/>
  <c r="H344" i="12"/>
  <c r="K344" i="12" s="1"/>
  <c r="H336" i="12"/>
  <c r="K336" i="12" s="1"/>
  <c r="H339" i="12"/>
  <c r="K339" i="12" s="1"/>
  <c r="H331" i="12"/>
  <c r="K331" i="12" s="1"/>
  <c r="H342" i="12"/>
  <c r="K342" i="12" s="1"/>
  <c r="H334" i="12"/>
  <c r="K334" i="12" s="1"/>
  <c r="H332" i="12"/>
  <c r="K332" i="12" s="1"/>
  <c r="H17" i="12"/>
  <c r="K17" i="12" s="1"/>
  <c r="H18" i="12"/>
  <c r="K18" i="12" s="1"/>
  <c r="H19" i="12"/>
  <c r="K19" i="12" s="1"/>
  <c r="H20" i="12"/>
  <c r="K20" i="12" s="1"/>
  <c r="H21" i="12"/>
  <c r="K21" i="12" s="1"/>
  <c r="H22" i="12"/>
  <c r="K22" i="12" s="1"/>
  <c r="H23" i="12"/>
  <c r="K23" i="12" s="1"/>
  <c r="H24" i="12"/>
  <c r="K24" i="12" s="1"/>
  <c r="H36" i="12"/>
  <c r="K36" i="12" s="1"/>
  <c r="H44" i="12"/>
  <c r="K44" i="12" s="1"/>
  <c r="H52" i="12"/>
  <c r="K52" i="12" s="1"/>
  <c r="H60" i="12"/>
  <c r="K60" i="12" s="1"/>
  <c r="H68" i="12"/>
  <c r="K68" i="12" s="1"/>
  <c r="H76" i="12"/>
  <c r="K76" i="12" s="1"/>
  <c r="H84" i="12"/>
  <c r="K84" i="12" s="1"/>
  <c r="H92" i="12"/>
  <c r="K92" i="12" s="1"/>
  <c r="H100" i="12"/>
  <c r="K100" i="12" s="1"/>
  <c r="H108" i="12"/>
  <c r="K108" i="12" s="1"/>
  <c r="H116" i="12"/>
  <c r="K116" i="12" s="1"/>
  <c r="H209" i="12"/>
  <c r="K209" i="12" s="1"/>
  <c r="H297" i="12"/>
  <c r="K297" i="12" s="1"/>
  <c r="H6" i="12"/>
  <c r="K6" i="12" s="1"/>
  <c r="H14" i="12"/>
  <c r="K14" i="12" s="1"/>
  <c r="H26" i="12"/>
  <c r="K26" i="12" s="1"/>
  <c r="H27" i="12"/>
  <c r="K27" i="12" s="1"/>
  <c r="H33" i="12"/>
  <c r="K33" i="12" s="1"/>
  <c r="H41" i="12"/>
  <c r="K41" i="12" s="1"/>
  <c r="H49" i="12"/>
  <c r="K49" i="12" s="1"/>
  <c r="H57" i="12"/>
  <c r="K57" i="12" s="1"/>
  <c r="H65" i="12"/>
  <c r="K65" i="12" s="1"/>
  <c r="H73" i="12"/>
  <c r="K73" i="12" s="1"/>
  <c r="H81" i="12"/>
  <c r="K81" i="12" s="1"/>
  <c r="H89" i="12"/>
  <c r="K89" i="12" s="1"/>
  <c r="H97" i="12"/>
  <c r="K97" i="12" s="1"/>
  <c r="H105" i="12"/>
  <c r="K105" i="12" s="1"/>
  <c r="H113" i="12"/>
  <c r="K113" i="12" s="1"/>
  <c r="H118" i="12"/>
  <c r="K118" i="12" s="1"/>
  <c r="H137" i="12"/>
  <c r="K137" i="12" s="1"/>
  <c r="H257" i="12"/>
  <c r="K257" i="12" s="1"/>
  <c r="H11" i="12"/>
  <c r="K11" i="12" s="1"/>
  <c r="H30" i="12"/>
  <c r="K30" i="12" s="1"/>
  <c r="H38" i="12"/>
  <c r="K38" i="12" s="1"/>
  <c r="H46" i="12"/>
  <c r="K46" i="12" s="1"/>
  <c r="H54" i="12"/>
  <c r="K54" i="12" s="1"/>
  <c r="H62" i="12"/>
  <c r="K62" i="12" s="1"/>
  <c r="H70" i="12"/>
  <c r="K70" i="12" s="1"/>
  <c r="H78" i="12"/>
  <c r="K78" i="12" s="1"/>
  <c r="H86" i="12"/>
  <c r="K86" i="12" s="1"/>
  <c r="H94" i="12"/>
  <c r="K94" i="12" s="1"/>
  <c r="H102" i="12"/>
  <c r="K102" i="12" s="1"/>
  <c r="H110" i="12"/>
  <c r="K110" i="12" s="1"/>
  <c r="H153" i="12"/>
  <c r="K153" i="12" s="1"/>
  <c r="H273" i="12"/>
  <c r="K273" i="12" s="1"/>
  <c r="H313" i="12"/>
  <c r="K313" i="12" s="1"/>
  <c r="H16" i="12"/>
  <c r="K16" i="12" s="1"/>
  <c r="H35" i="12"/>
  <c r="K35" i="12" s="1"/>
  <c r="H43" i="12"/>
  <c r="K43" i="12" s="1"/>
  <c r="H51" i="12"/>
  <c r="K51" i="12" s="1"/>
  <c r="H59" i="12"/>
  <c r="K59" i="12" s="1"/>
  <c r="H67" i="12"/>
  <c r="K67" i="12" s="1"/>
  <c r="H75" i="12"/>
  <c r="K75" i="12" s="1"/>
  <c r="H83" i="12"/>
  <c r="K83" i="12" s="1"/>
  <c r="H91" i="12"/>
  <c r="K91" i="12" s="1"/>
  <c r="H99" i="12"/>
  <c r="K99" i="12" s="1"/>
  <c r="H107" i="12"/>
  <c r="K107" i="12" s="1"/>
  <c r="H115" i="12"/>
  <c r="K115" i="12" s="1"/>
  <c r="H5" i="12"/>
  <c r="K5" i="12" s="1"/>
  <c r="H13" i="12"/>
  <c r="K13" i="12" s="1"/>
  <c r="H32" i="12"/>
  <c r="K32" i="12" s="1"/>
  <c r="H40" i="12"/>
  <c r="K40" i="12" s="1"/>
  <c r="H48" i="12"/>
  <c r="K48" i="12" s="1"/>
  <c r="H56" i="12"/>
  <c r="K56" i="12" s="1"/>
  <c r="H64" i="12"/>
  <c r="K64" i="12" s="1"/>
  <c r="H72" i="12"/>
  <c r="K72" i="12" s="1"/>
  <c r="H80" i="12"/>
  <c r="K80" i="12" s="1"/>
  <c r="H88" i="12"/>
  <c r="K88" i="12" s="1"/>
  <c r="H96" i="12"/>
  <c r="K96" i="12" s="1"/>
  <c r="H104" i="12"/>
  <c r="K104" i="12" s="1"/>
  <c r="H112" i="12"/>
  <c r="K112" i="12" s="1"/>
  <c r="H169" i="12"/>
  <c r="K169" i="12" s="1"/>
  <c r="H201" i="12"/>
  <c r="H217" i="12"/>
  <c r="K217" i="12" s="1"/>
  <c r="H2" i="12"/>
  <c r="K2" i="12" s="1"/>
  <c r="H10" i="12"/>
  <c r="K10" i="12" s="1"/>
  <c r="H37" i="12"/>
  <c r="K37" i="12" s="1"/>
  <c r="H45" i="12"/>
  <c r="K45" i="12" s="1"/>
  <c r="H53" i="12"/>
  <c r="K53" i="12" s="1"/>
  <c r="H61" i="12"/>
  <c r="K61" i="12" s="1"/>
  <c r="H69" i="12"/>
  <c r="K69" i="12" s="1"/>
  <c r="H77" i="12"/>
  <c r="K77" i="12" s="1"/>
  <c r="H85" i="12"/>
  <c r="K85" i="12" s="1"/>
  <c r="H93" i="12"/>
  <c r="K93" i="12" s="1"/>
  <c r="H101" i="12"/>
  <c r="K101" i="12" s="1"/>
  <c r="H109" i="12"/>
  <c r="K109" i="12" s="1"/>
  <c r="H117" i="12"/>
  <c r="K117" i="12" s="1"/>
  <c r="H129" i="12"/>
  <c r="K129" i="12" s="1"/>
  <c r="H265" i="12"/>
  <c r="H159" i="12"/>
  <c r="K159" i="12" s="1"/>
  <c r="H151" i="12"/>
  <c r="K151" i="12" s="1"/>
  <c r="H143" i="12"/>
  <c r="K143" i="12" s="1"/>
  <c r="H135" i="12"/>
  <c r="K135" i="12" s="1"/>
  <c r="H127" i="12"/>
  <c r="K127" i="12" s="1"/>
  <c r="H119" i="12"/>
  <c r="K119" i="12" s="1"/>
  <c r="H162" i="12"/>
  <c r="K162" i="12" s="1"/>
  <c r="H154" i="12"/>
  <c r="K154" i="12" s="1"/>
  <c r="H146" i="12"/>
  <c r="K146" i="12" s="1"/>
  <c r="H138" i="12"/>
  <c r="K138" i="12" s="1"/>
  <c r="H130" i="12"/>
  <c r="K130" i="12" s="1"/>
  <c r="H165" i="12"/>
  <c r="K165" i="12" s="1"/>
  <c r="H157" i="12"/>
  <c r="K157" i="12" s="1"/>
  <c r="H149" i="12"/>
  <c r="K149" i="12" s="1"/>
  <c r="H141" i="12"/>
  <c r="K141" i="12" s="1"/>
  <c r="H133" i="12"/>
  <c r="K133" i="12" s="1"/>
  <c r="H125" i="12"/>
  <c r="K125" i="12" s="1"/>
  <c r="H160" i="12"/>
  <c r="K160" i="12" s="1"/>
  <c r="H152" i="12"/>
  <c r="K152" i="12" s="1"/>
  <c r="H144" i="12"/>
  <c r="K144" i="12" s="1"/>
  <c r="H136" i="12"/>
  <c r="K136" i="12" s="1"/>
  <c r="H128" i="12"/>
  <c r="K128" i="12" s="1"/>
  <c r="H120" i="12"/>
  <c r="K120" i="12" s="1"/>
  <c r="H163" i="12"/>
  <c r="K163" i="12" s="1"/>
  <c r="H155" i="12"/>
  <c r="K155" i="12" s="1"/>
  <c r="H131" i="12"/>
  <c r="K131" i="12" s="1"/>
  <c r="H123" i="12"/>
  <c r="K123" i="12" s="1"/>
  <c r="H158" i="12"/>
  <c r="K158" i="12" s="1"/>
  <c r="H150" i="12"/>
  <c r="K150" i="12" s="1"/>
  <c r="H142" i="12"/>
  <c r="K142" i="12" s="1"/>
  <c r="H134" i="12"/>
  <c r="K134" i="12" s="1"/>
  <c r="H126" i="12"/>
  <c r="K126" i="12" s="1"/>
  <c r="H164" i="12"/>
  <c r="K164" i="12" s="1"/>
  <c r="H156" i="12"/>
  <c r="K156" i="12" s="1"/>
  <c r="H148" i="12"/>
  <c r="K148" i="12" s="1"/>
  <c r="H140" i="12"/>
  <c r="K140" i="12" s="1"/>
  <c r="H132" i="12"/>
  <c r="K132" i="12" s="1"/>
  <c r="H124" i="12"/>
  <c r="K124" i="12" s="1"/>
  <c r="H199" i="12"/>
  <c r="K199" i="12" s="1"/>
  <c r="H191" i="12"/>
  <c r="K191" i="12" s="1"/>
  <c r="H167" i="12"/>
  <c r="K167" i="12" s="1"/>
  <c r="H186" i="12"/>
  <c r="K186" i="12" s="1"/>
  <c r="H178" i="12"/>
  <c r="K178" i="12" s="1"/>
  <c r="H170" i="12"/>
  <c r="K170" i="12" s="1"/>
  <c r="H197" i="12"/>
  <c r="K197" i="12" s="1"/>
  <c r="H181" i="12"/>
  <c r="K181" i="12" s="1"/>
  <c r="H184" i="12"/>
  <c r="K184" i="12" s="1"/>
  <c r="H176" i="12"/>
  <c r="K176" i="12" s="1"/>
  <c r="H187" i="12"/>
  <c r="K187" i="12" s="1"/>
  <c r="H179" i="12"/>
  <c r="K179" i="12" s="1"/>
  <c r="H190" i="12"/>
  <c r="K190" i="12" s="1"/>
  <c r="H182" i="12"/>
  <c r="K182" i="12" s="1"/>
  <c r="H174" i="12"/>
  <c r="K174" i="12" s="1"/>
  <c r="H166" i="12"/>
  <c r="K166" i="12" s="1"/>
  <c r="H188" i="12"/>
  <c r="K188" i="12" s="1"/>
  <c r="H180" i="12"/>
  <c r="K180" i="12" s="1"/>
  <c r="H172" i="12"/>
  <c r="K172" i="12" s="1"/>
  <c r="H239" i="12"/>
  <c r="K239" i="12" s="1"/>
  <c r="H231" i="12"/>
  <c r="K231" i="12" s="1"/>
  <c r="H223" i="12"/>
  <c r="K223" i="12" s="1"/>
  <c r="H215" i="12"/>
  <c r="K215" i="12" s="1"/>
  <c r="H207" i="12"/>
  <c r="K207" i="12" s="1"/>
  <c r="H242" i="12"/>
  <c r="K242" i="12" s="1"/>
  <c r="H226" i="12"/>
  <c r="K226" i="12" s="1"/>
  <c r="H218" i="12"/>
  <c r="K218" i="12" s="1"/>
  <c r="H210" i="12"/>
  <c r="K210" i="12" s="1"/>
  <c r="H202" i="12"/>
  <c r="K202" i="12" s="1"/>
  <c r="H237" i="12"/>
  <c r="K237" i="12" s="1"/>
  <c r="H229" i="12"/>
  <c r="K229" i="12" s="1"/>
  <c r="H221" i="12"/>
  <c r="K221" i="12" s="1"/>
  <c r="H213" i="12"/>
  <c r="K213" i="12" s="1"/>
  <c r="H205" i="12"/>
  <c r="K205" i="12" s="1"/>
  <c r="H240" i="12"/>
  <c r="K240" i="12" s="1"/>
  <c r="H232" i="12"/>
  <c r="K232" i="12" s="1"/>
  <c r="H224" i="12"/>
  <c r="K224" i="12" s="1"/>
  <c r="H216" i="12"/>
  <c r="K216" i="12" s="1"/>
  <c r="H208" i="12"/>
  <c r="K208" i="12" s="1"/>
  <c r="H235" i="12"/>
  <c r="K235" i="12" s="1"/>
  <c r="H227" i="12"/>
  <c r="K227" i="12" s="1"/>
  <c r="H219" i="12"/>
  <c r="K219" i="12" s="1"/>
  <c r="H211" i="12"/>
  <c r="K211" i="12" s="1"/>
  <c r="H203" i="12"/>
  <c r="K203" i="12" s="1"/>
  <c r="H238" i="12"/>
  <c r="K238" i="12" s="1"/>
  <c r="H230" i="12"/>
  <c r="K230" i="12" s="1"/>
  <c r="H222" i="12"/>
  <c r="K222" i="12" s="1"/>
  <c r="H214" i="12"/>
  <c r="K214" i="12" s="1"/>
  <c r="H206" i="12"/>
  <c r="K206" i="12" s="1"/>
  <c r="H236" i="12"/>
  <c r="K236" i="12" s="1"/>
  <c r="H228" i="12"/>
  <c r="K228" i="12" s="1"/>
  <c r="H220" i="12"/>
  <c r="K220" i="12" s="1"/>
  <c r="H212" i="12"/>
  <c r="K212" i="12" s="1"/>
  <c r="H204" i="12"/>
  <c r="K204" i="12" s="1"/>
  <c r="H247" i="12"/>
  <c r="K247" i="12" s="1"/>
  <c r="H250" i="12"/>
  <c r="K250" i="12" s="1"/>
  <c r="H253" i="12"/>
  <c r="K253" i="12" s="1"/>
  <c r="H245" i="12"/>
  <c r="K245" i="12" s="1"/>
  <c r="H248" i="12"/>
  <c r="K248" i="12" s="1"/>
  <c r="H251" i="12"/>
  <c r="K251" i="12" s="1"/>
  <c r="H243" i="12"/>
  <c r="K243" i="12" s="1"/>
  <c r="H246" i="12"/>
  <c r="K246" i="12" s="1"/>
  <c r="H252" i="12"/>
  <c r="K252" i="12" s="1"/>
  <c r="H244" i="12"/>
  <c r="K244" i="12" s="1"/>
  <c r="H303" i="12"/>
  <c r="K303" i="12" s="1"/>
  <c r="H295" i="12"/>
  <c r="K295" i="12" s="1"/>
  <c r="H287" i="12"/>
  <c r="K287" i="12" s="1"/>
  <c r="H279" i="12"/>
  <c r="K279" i="12" s="1"/>
  <c r="H271" i="12"/>
  <c r="K271" i="12" s="1"/>
  <c r="H263" i="12"/>
  <c r="K263" i="12" s="1"/>
  <c r="H255" i="12"/>
  <c r="K255" i="12" s="1"/>
  <c r="H306" i="12"/>
  <c r="K306" i="12" s="1"/>
  <c r="H298" i="12"/>
  <c r="K298" i="12" s="1"/>
  <c r="H290" i="12"/>
  <c r="K290" i="12" s="1"/>
  <c r="H282" i="12"/>
  <c r="K282" i="12" s="1"/>
  <c r="H274" i="12"/>
  <c r="K274" i="12" s="1"/>
  <c r="H266" i="12"/>
  <c r="K266" i="12" s="1"/>
  <c r="H258" i="12"/>
  <c r="K258" i="12" s="1"/>
  <c r="H309" i="12"/>
  <c r="K309" i="12" s="1"/>
  <c r="H301" i="12"/>
  <c r="K301" i="12" s="1"/>
  <c r="H293" i="12"/>
  <c r="K293" i="12" s="1"/>
  <c r="H285" i="12"/>
  <c r="K285" i="12" s="1"/>
  <c r="H277" i="12"/>
  <c r="K277" i="12" s="1"/>
  <c r="H269" i="12"/>
  <c r="K269" i="12" s="1"/>
  <c r="H261" i="12"/>
  <c r="K261" i="12" s="1"/>
  <c r="H296" i="12"/>
  <c r="K296" i="12" s="1"/>
  <c r="H288" i="12"/>
  <c r="K288" i="12" s="1"/>
  <c r="H272" i="12"/>
  <c r="K272" i="12" s="1"/>
  <c r="H264" i="12"/>
  <c r="K264" i="12" s="1"/>
  <c r="H256" i="12"/>
  <c r="K256" i="12" s="1"/>
  <c r="H307" i="12"/>
  <c r="K307" i="12" s="1"/>
  <c r="H299" i="12"/>
  <c r="K299" i="12" s="1"/>
  <c r="H291" i="12"/>
  <c r="K291" i="12" s="1"/>
  <c r="H275" i="12"/>
  <c r="K275" i="12" s="1"/>
  <c r="H267" i="12"/>
  <c r="K267" i="12" s="1"/>
  <c r="H259" i="12"/>
  <c r="K259" i="12" s="1"/>
  <c r="H286" i="12"/>
  <c r="K286" i="12" s="1"/>
  <c r="H278" i="12"/>
  <c r="K278" i="12" s="1"/>
  <c r="H270" i="12"/>
  <c r="K270" i="12" s="1"/>
  <c r="H262" i="12"/>
  <c r="K262" i="12" s="1"/>
  <c r="H254" i="12"/>
  <c r="K254" i="12" s="1"/>
  <c r="H300" i="12"/>
  <c r="K300" i="12" s="1"/>
  <c r="H292" i="12"/>
  <c r="K292" i="12" s="1"/>
  <c r="H284" i="12"/>
  <c r="K284" i="12" s="1"/>
  <c r="H276" i="12"/>
  <c r="K276" i="12" s="1"/>
  <c r="H268" i="12"/>
  <c r="K268" i="12" s="1"/>
  <c r="H260" i="12"/>
  <c r="K260" i="12" s="1"/>
  <c r="H327" i="12"/>
  <c r="K327" i="12" s="1"/>
  <c r="H311" i="12"/>
  <c r="K311" i="12" s="1"/>
  <c r="H322" i="12"/>
  <c r="K322" i="12" s="1"/>
  <c r="H314" i="12"/>
  <c r="K314" i="12" s="1"/>
  <c r="H317" i="12"/>
  <c r="K317" i="12" s="1"/>
  <c r="H328" i="12"/>
  <c r="K328" i="12" s="1"/>
  <c r="H320" i="12"/>
  <c r="K320" i="12" s="1"/>
  <c r="H323" i="12"/>
  <c r="K323" i="12" s="1"/>
  <c r="H326" i="12"/>
  <c r="K326" i="12" s="1"/>
  <c r="H318" i="12"/>
  <c r="K318" i="12" s="1"/>
  <c r="H324" i="12"/>
  <c r="K324" i="12" s="1"/>
  <c r="H34" i="12"/>
  <c r="K34" i="12" s="1"/>
  <c r="H42" i="12"/>
  <c r="K42" i="12" s="1"/>
  <c r="H50" i="12"/>
  <c r="K50" i="12" s="1"/>
  <c r="H58" i="12"/>
  <c r="K58" i="12" s="1"/>
  <c r="H66" i="12"/>
  <c r="K66" i="12" s="1"/>
  <c r="H74" i="12"/>
  <c r="K74" i="12" s="1"/>
  <c r="H82" i="12"/>
  <c r="K82" i="12" s="1"/>
  <c r="H90" i="12"/>
  <c r="K90" i="12" s="1"/>
  <c r="H98" i="12"/>
  <c r="K98" i="12" s="1"/>
  <c r="H106" i="12"/>
  <c r="K106" i="12" s="1"/>
  <c r="H281" i="12"/>
  <c r="K281" i="12" s="1"/>
  <c r="K332" i="11"/>
  <c r="K330" i="11"/>
  <c r="K312" i="11"/>
  <c r="K320" i="11"/>
  <c r="K317" i="11"/>
  <c r="K310" i="11"/>
  <c r="K308" i="11"/>
  <c r="K307" i="11"/>
  <c r="K301" i="11"/>
  <c r="K300" i="11"/>
  <c r="K303" i="11"/>
  <c r="K294" i="11"/>
  <c r="K291" i="11"/>
  <c r="K286" i="11"/>
  <c r="K289" i="11"/>
  <c r="K298" i="11"/>
  <c r="K283" i="11"/>
  <c r="K290" i="11"/>
  <c r="K274" i="11"/>
  <c r="K269" i="11"/>
  <c r="K256" i="11"/>
  <c r="K264" i="11"/>
  <c r="K254" i="11"/>
  <c r="K250" i="11"/>
  <c r="K247" i="11"/>
  <c r="K235" i="11"/>
  <c r="K237" i="11"/>
  <c r="K225" i="11"/>
  <c r="K227" i="11"/>
  <c r="K241" i="11"/>
  <c r="K212" i="11"/>
  <c r="K219" i="11"/>
  <c r="K204" i="11"/>
  <c r="K216" i="11"/>
  <c r="K203" i="11"/>
  <c r="K218" i="11"/>
  <c r="K208" i="11"/>
  <c r="K188" i="11"/>
  <c r="K196" i="11"/>
  <c r="K168" i="11"/>
  <c r="K170" i="11"/>
  <c r="K176" i="11"/>
  <c r="K157" i="11"/>
  <c r="K159" i="11"/>
  <c r="K148" i="11"/>
  <c r="K150" i="11"/>
  <c r="K145" i="11"/>
  <c r="K132" i="11"/>
  <c r="K140" i="11"/>
  <c r="K134" i="11"/>
  <c r="K128" i="11"/>
  <c r="K120" i="11"/>
  <c r="K125" i="11"/>
  <c r="K127" i="11"/>
  <c r="K121" i="11"/>
  <c r="K114" i="11"/>
  <c r="K111" i="11"/>
  <c r="K107" i="11"/>
  <c r="K97" i="11"/>
  <c r="K99" i="11"/>
  <c r="K101" i="11"/>
  <c r="K108" i="11"/>
  <c r="K75" i="11"/>
  <c r="K74" i="11"/>
  <c r="K69" i="11"/>
  <c r="K82" i="11"/>
  <c r="K77" i="11"/>
  <c r="K68" i="11"/>
  <c r="K58" i="11"/>
  <c r="K60" i="11"/>
  <c r="K57" i="11"/>
  <c r="K66" i="11"/>
  <c r="K50" i="11"/>
  <c r="K35" i="11"/>
  <c r="K49" i="11"/>
  <c r="K34" i="11"/>
  <c r="K41" i="11"/>
  <c r="K56" i="11"/>
  <c r="K33" i="11"/>
  <c r="K31" i="11"/>
  <c r="K23" i="11"/>
  <c r="H8" i="11"/>
  <c r="K8" i="11" s="1"/>
  <c r="H16" i="11"/>
  <c r="K16" i="11" s="1"/>
  <c r="H24" i="11"/>
  <c r="K24" i="11" s="1"/>
  <c r="K15" i="11"/>
  <c r="H9" i="11"/>
  <c r="K9" i="11" s="1"/>
  <c r="H17" i="11"/>
  <c r="K17" i="11" s="1"/>
  <c r="H25" i="11"/>
  <c r="K25" i="11" s="1"/>
  <c r="H2" i="11"/>
  <c r="K2" i="11" s="1"/>
  <c r="H10" i="11"/>
  <c r="K10" i="11" s="1"/>
  <c r="H18" i="11"/>
  <c r="K18" i="11" s="1"/>
  <c r="H26" i="11"/>
  <c r="K26" i="11" s="1"/>
  <c r="K7" i="11"/>
  <c r="H3" i="11"/>
  <c r="K3" i="11" s="1"/>
  <c r="H11" i="11"/>
  <c r="K11" i="11" s="1"/>
  <c r="H19" i="11"/>
  <c r="K19" i="11" s="1"/>
  <c r="H27" i="11"/>
  <c r="K27" i="11" s="1"/>
  <c r="H4" i="11"/>
  <c r="K4" i="11" s="1"/>
  <c r="H12" i="11"/>
  <c r="K12" i="11" s="1"/>
  <c r="H20" i="11"/>
  <c r="K20" i="11" s="1"/>
  <c r="H28" i="11"/>
  <c r="K28" i="11" s="1"/>
  <c r="H5" i="11"/>
  <c r="K5" i="11" s="1"/>
  <c r="H13" i="11"/>
  <c r="K13" i="11" s="1"/>
  <c r="H21" i="11"/>
  <c r="K21" i="11" s="1"/>
  <c r="H29" i="11"/>
  <c r="K29" i="11" s="1"/>
  <c r="H6" i="11"/>
  <c r="K6" i="11" s="1"/>
  <c r="H14" i="11"/>
  <c r="K14" i="11" s="1"/>
  <c r="H22" i="11"/>
  <c r="K22" i="11" s="1"/>
  <c r="S25" i="11"/>
  <c r="E346" i="1"/>
  <c r="M6" i="1"/>
  <c r="M9" i="1"/>
  <c r="M4" i="1"/>
  <c r="M7" i="1"/>
  <c r="M5" i="1"/>
  <c r="D354" i="1"/>
  <c r="M3" i="1"/>
  <c r="M12" i="2"/>
  <c r="O12" i="2" s="1"/>
  <c r="D354" i="2"/>
  <c r="F354" i="2" s="1"/>
  <c r="D353" i="1"/>
  <c r="M11" i="1"/>
  <c r="K121" i="12" l="1"/>
  <c r="K241" i="12"/>
  <c r="K201" i="12"/>
  <c r="K265" i="12"/>
  <c r="F354" i="1"/>
  <c r="F353" i="1"/>
  <c r="F353" i="2"/>
</calcChain>
</file>

<file path=xl/sharedStrings.xml><?xml version="1.0" encoding="utf-8"?>
<sst xmlns="http://schemas.openxmlformats.org/spreadsheetml/2006/main" count="5725" uniqueCount="508">
  <si>
    <t>id</t>
  </si>
  <si>
    <t>DEPARTAMENTO</t>
  </si>
  <si>
    <t>PROVINCIA</t>
  </si>
  <si>
    <t>MUNICIPIO</t>
  </si>
  <si>
    <t>Tasa de mortalidad en niños (&lt; 5 años) (por 1,000 nacidos vivos) 2012 (CENSO)</t>
  </si>
  <si>
    <t>Número de niños fallecidos antes de cumplir 5 años 2012 (CENSO)</t>
  </si>
  <si>
    <t>CENSO NACIDOS VIVOS (CENSO)</t>
  </si>
  <si>
    <t>Departamento</t>
  </si>
  <si>
    <t>Número de niños fallecidos antes de cumplir 5 años 2012</t>
  </si>
  <si>
    <t>NACIDOS VIVOS 2012</t>
  </si>
  <si>
    <t>Tasa de mortalidad en niños (&lt; 5 años) (por 1,000 nacidos vivos)</t>
  </si>
  <si>
    <t>Chuquisaca</t>
  </si>
  <si>
    <t>Oropeza</t>
  </si>
  <si>
    <t>Sucre</t>
  </si>
  <si>
    <t>Yotala</t>
  </si>
  <si>
    <t>La Paz</t>
  </si>
  <si>
    <t>Poroma</t>
  </si>
  <si>
    <t>Cochabamba</t>
  </si>
  <si>
    <t>Azurduy</t>
  </si>
  <si>
    <t>Villa Azurduy</t>
  </si>
  <si>
    <t>Oruro</t>
  </si>
  <si>
    <t>Tarvita</t>
  </si>
  <si>
    <t>Potosi</t>
  </si>
  <si>
    <t>Zudáñez</t>
  </si>
  <si>
    <t>Zudañez</t>
  </si>
  <si>
    <t>Tarija</t>
  </si>
  <si>
    <t>Presto</t>
  </si>
  <si>
    <t>Santa Cruz</t>
  </si>
  <si>
    <t>Villa Mojocoya</t>
  </si>
  <si>
    <t>Beni</t>
  </si>
  <si>
    <t>Icla</t>
  </si>
  <si>
    <t>Pando</t>
  </si>
  <si>
    <t>Tomina</t>
  </si>
  <si>
    <t>Padilla</t>
  </si>
  <si>
    <t>Bolivia</t>
  </si>
  <si>
    <t>Sopachuy</t>
  </si>
  <si>
    <t>Villa 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</si>
  <si>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</si>
  <si>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</si>
  <si>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</si>
  <si>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</si>
  <si>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</si>
  <si>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</si>
  <si>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</si>
  <si>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</si>
  <si>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</si>
  <si>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</si>
  <si>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</si>
  <si>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</si>
  <si>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</si>
  <si>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</si>
  <si>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</si>
  <si>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</si>
  <si>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</si>
  <si>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</si>
  <si>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Guzman</t>
  </si>
  <si>
    <t>Huacaya</t>
  </si>
  <si>
    <t>Macharetí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</si>
  <si>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</si>
  <si>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</si>
  <si>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</si>
  <si>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</si>
  <si>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</si>
  <si>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</si>
  <si>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</si>
  <si>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</si>
  <si>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</si>
  <si>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Chua Cocani</t>
  </si>
  <si>
    <t>Huarina</t>
  </si>
  <si>
    <t>Santiago de Huata</t>
  </si>
  <si>
    <t>Huatajata</t>
  </si>
  <si>
    <t>Pacajes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</si>
  <si>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</si>
  <si>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</si>
  <si>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</si>
  <si>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</si>
  <si>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</si>
  <si>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</si>
  <si>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</si>
  <si>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</si>
  <si>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</si>
  <si>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</si>
  <si>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</si>
  <si>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</si>
  <si>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</si>
  <si>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</si>
  <si>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</si>
  <si>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</si>
  <si>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</si>
  <si>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</si>
  <si>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</si>
  <si>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</si>
  <si>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</si>
  <si>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</si>
  <si>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</si>
  <si>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</si>
  <si>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</si>
  <si>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</si>
  <si>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</si>
  <si>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</si>
  <si>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</si>
  <si>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</si>
  <si>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</si>
  <si>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</si>
  <si>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</si>
  <si>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</si>
  <si>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</si>
  <si>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</si>
  <si>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</si>
  <si>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</si>
  <si>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</si>
  <si>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</si>
  <si>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</si>
  <si>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</si>
  <si>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</si>
  <si>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</si>
  <si>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</si>
  <si>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</si>
  <si>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</si>
  <si>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</si>
  <si>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</si>
  <si>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</si>
  <si>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</si>
  <si>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</si>
  <si>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</si>
  <si>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</si>
  <si>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</si>
  <si>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</si>
  <si>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</si>
  <si>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</si>
  <si>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</si>
  <si>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</si>
  <si>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</si>
  <si>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</si>
  <si>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</si>
  <si>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</si>
  <si>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</si>
  <si>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</si>
  <si>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</si>
  <si>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</si>
  <si>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</si>
  <si>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</si>
  <si>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</si>
  <si>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</si>
  <si>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</si>
  <si>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</si>
  <si>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</si>
  <si>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</si>
  <si>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</si>
  <si>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</si>
  <si>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</si>
  <si>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</si>
  <si>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</si>
  <si>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</si>
  <si>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</si>
  <si>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</si>
  <si>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</si>
  <si>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</si>
  <si>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</si>
  <si>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</si>
  <si>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</si>
  <si>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</si>
  <si>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</si>
  <si>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</si>
  <si>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Cercado</t>
  </si>
  <si>
    <t>Campero</t>
  </si>
  <si>
    <t>Aiquile</t>
  </si>
  <si>
    <t>Pasorapa</t>
  </si>
  <si>
    <t>Omereque</t>
  </si>
  <si>
    <t>Ayopaya</t>
  </si>
  <si>
    <t>Independencia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</si>
  <si>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</si>
  <si>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</si>
  <si>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</si>
  <si>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</si>
  <si>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</si>
  <si>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</si>
  <si>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</si>
  <si>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</si>
  <si>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</si>
  <si>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</si>
  <si>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</si>
  <si>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</si>
  <si>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</si>
  <si>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</si>
  <si>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Germán Jordán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</si>
  <si>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</si>
  <si>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</si>
  <si>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</si>
  <si>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</si>
  <si>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</si>
  <si>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</si>
  <si>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</si>
  <si>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</si>
  <si>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</si>
  <si>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</si>
  <si>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</si>
  <si>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</si>
  <si>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</si>
  <si>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</si>
  <si>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</si>
  <si>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</si>
  <si>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</si>
  <si>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</si>
  <si>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</si>
  <si>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</si>
  <si>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</si>
  <si>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</si>
  <si>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</si>
  <si>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</si>
  <si>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</si>
  <si>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</si>
  <si>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</si>
  <si>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</si>
  <si>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</si>
  <si>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</si>
  <si>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</si>
  <si>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</si>
  <si>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Caracollo</t>
  </si>
  <si>
    <t>El Choro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</si>
  <si>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</si>
  <si>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</si>
  <si>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</si>
  <si>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</si>
  <si>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</si>
  <si>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</si>
  <si>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</si>
  <si>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</si>
  <si>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</si>
  <si>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</si>
  <si>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</si>
  <si>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</si>
  <si>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</si>
  <si>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</si>
  <si>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</si>
  <si>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</si>
  <si>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</si>
  <si>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</si>
  <si>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</si>
  <si>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</si>
  <si>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</si>
  <si>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</si>
  <si>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</si>
  <si>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</si>
  <si>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</si>
  <si>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</si>
  <si>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</si>
  <si>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</si>
  <si>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</si>
  <si>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</si>
  <si>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</si>
  <si>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</si>
  <si>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</si>
  <si>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</si>
  <si>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</si>
  <si>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</si>
  <si>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</si>
  <si>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</si>
  <si>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</si>
  <si>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</si>
  <si>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</si>
  <si>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</si>
  <si>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 (Santiago de Huayllamarca)</t>
  </si>
  <si>
    <t>Potosí</t>
  </si>
  <si>
    <t>Tomás Frías</t>
  </si>
  <si>
    <t>Tinguipaya</t>
  </si>
  <si>
    <t>Yocalla</t>
  </si>
  <si>
    <t>Belén de Urmiri</t>
  </si>
  <si>
    <t>Rafael Bustillo</t>
  </si>
  <si>
    <t>Uncía</t>
  </si>
  <si>
    <t>Chayanta</t>
  </si>
  <si>
    <t>Llallagua</t>
  </si>
  <si>
    <t>Chuquihuta -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</si>
  <si>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</si>
  <si>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</si>
  <si>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</si>
  <si>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</si>
  <si>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</si>
  <si>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</si>
  <si>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</si>
  <si>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</si>
  <si>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</si>
  <si>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</si>
  <si>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 de Buena Vista</t>
  </si>
  <si>
    <t>Toro Toro</t>
  </si>
  <si>
    <t>Nor Chichas</t>
  </si>
  <si>
    <t>Cotagaita</t>
  </si>
  <si>
    <t>Vitichi</t>
  </si>
  <si>
    <t>Alonso de Ibáñez</t>
  </si>
  <si>
    <t>Sacaca (Villa de Sacaca)</t>
  </si>
  <si>
    <t>Caripuyo</t>
  </si>
  <si>
    <t>Sur Chichas</t>
  </si>
  <si>
    <t>Tupiza</t>
  </si>
  <si>
    <t>Atocha</t>
  </si>
  <si>
    <t>Nor Lipez</t>
  </si>
  <si>
    <t>Colcha ''K'' (Villa Martin)</t>
  </si>
  <si>
    <t>San Pedro de Quemes</t>
  </si>
  <si>
    <t>Sur Lipez</t>
  </si>
  <si>
    <t>San Pablo de Lipez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</si>
  <si>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</si>
  <si>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</si>
  <si>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</si>
  <si>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</si>
  <si>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</si>
  <si>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</si>
  <si>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</si>
  <si>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</si>
  <si>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</si>
  <si>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</si>
  <si>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</si>
  <si>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</si>
  <si>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</si>
  <si>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</si>
  <si>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</si>
  <si>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</si>
  <si>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</si>
  <si>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</si>
  <si>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</si>
  <si>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</si>
  <si>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</si>
  <si>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</si>
  <si>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</si>
  <si>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</si>
  <si>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</si>
  <si>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</si>
  <si>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</si>
  <si>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</si>
  <si>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</si>
  <si>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</si>
  <si>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Yunchará</t>
  </si>
  <si>
    <t>Méndez</t>
  </si>
  <si>
    <t>Villa San Lorenzo</t>
  </si>
  <si>
    <t>El Puente</t>
  </si>
  <si>
    <t>O'Connor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</si>
  <si>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</si>
  <si>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</si>
  <si>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</si>
  <si>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</si>
  <si>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</si>
  <si>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</si>
  <si>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</si>
  <si>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</si>
  <si>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</si>
  <si>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 de Velasco</t>
  </si>
  <si>
    <t>San Miguel de Velasco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</si>
  <si>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</si>
  <si>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</si>
  <si>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</si>
  <si>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</si>
  <si>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</si>
  <si>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</si>
  <si>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</si>
  <si>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</si>
  <si>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Pailón</t>
  </si>
  <si>
    <t>Roboré</t>
  </si>
  <si>
    <t>Sara</t>
  </si>
  <si>
    <t>Portachuelo</t>
  </si>
  <si>
    <t>Santa Rosa del Sara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</si>
  <si>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</si>
  <si>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</si>
  <si>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</si>
  <si>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</si>
  <si>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</si>
  <si>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</si>
  <si>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</si>
  <si>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</si>
  <si>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</si>
  <si>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</si>
  <si>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</si>
  <si>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</si>
  <si>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</si>
  <si>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</si>
  <si>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</si>
  <si>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</si>
  <si>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</si>
  <si>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</si>
  <si>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</si>
  <si>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</si>
  <si>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</si>
  <si>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</si>
  <si>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</si>
  <si>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</si>
  <si>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San Pedro</t>
  </si>
  <si>
    <t>Ñuflo De Chávez</t>
  </si>
  <si>
    <t>Concepción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</si>
  <si>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</si>
  <si>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</si>
  <si>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</si>
  <si>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</si>
  <si>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</si>
  <si>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</si>
  <si>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</si>
  <si>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</si>
  <si>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</si>
  <si>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</si>
  <si>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</si>
  <si>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</si>
  <si>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</si>
  <si>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</si>
  <si>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</si>
  <si>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</si>
  <si>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</si>
  <si>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</si>
  <si>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</si>
  <si>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</si>
  <si>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</si>
  <si>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</si>
  <si>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</si>
  <si>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</si>
  <si>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Santa Rosa</t>
  </si>
  <si>
    <t>Rurrenabaque</t>
  </si>
  <si>
    <t>Yacuma</t>
  </si>
  <si>
    <t>Santa Ana de Yacuma</t>
  </si>
  <si>
    <t>Exaltación</t>
  </si>
  <si>
    <t>Moxos</t>
  </si>
  <si>
    <t>San Ignacio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</si>
  <si>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</si>
  <si>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</si>
  <si>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</si>
  <si>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</si>
  <si>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</si>
  <si>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</si>
  <si>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</si>
  <si>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</si>
  <si>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</si>
  <si>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</si>
  <si>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TIOC-Territorio Indigena Multiétnico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</si>
  <si>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</si>
  <si>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</si>
  <si>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</si>
  <si>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</si>
  <si>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</si>
  <si>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</si>
  <si>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</si>
  <si>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</si>
  <si>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</si>
  <si>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</si>
  <si>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San Lorenzo</t>
  </si>
  <si>
    <t>Sena</t>
  </si>
  <si>
    <t>Abuná</t>
  </si>
  <si>
    <t>Santa Rosa del Abuná</t>
  </si>
  <si>
    <t>Federico Román</t>
  </si>
  <si>
    <t>Nueva Esperanza</t>
  </si>
  <si>
    <t>Villa Nueva (Loma Alta)</t>
  </si>
  <si>
    <t>Santos Mercado</t>
  </si>
  <si>
    <t>Promedio</t>
  </si>
  <si>
    <t>Desv.Est.</t>
  </si>
  <si>
    <t>Min</t>
  </si>
  <si>
    <t>Max</t>
  </si>
  <si>
    <t>Obs</t>
  </si>
  <si>
    <t>Tasa de mortalidad en niños (&lt; 5 años) (por 1,000 nacidos vivos) 2019-2023 (CENSO)</t>
  </si>
  <si>
    <t>Número de niños fallecidos antes de cumplir 5 años 2019-2023 (CENSO)</t>
  </si>
  <si>
    <t>CENSO NACIDOS VIVOS (CENSO) 2019-2023</t>
  </si>
  <si>
    <t>Número de niños fallecidos antes de cumplir 5 años 2024 (CENSO) PROMEDIO</t>
  </si>
  <si>
    <t>CENSO NACIDOS VIVOS (CENSO) 2019-2023 PROMEDIO</t>
  </si>
  <si>
    <t>Número de niños fallecidos antes de cumplir 5 años 2019-2023</t>
  </si>
  <si>
    <t>NACIDOS VIVOS 2019-2023</t>
  </si>
  <si>
    <t>Tasa de mortalidad en niños (&lt; 5 años) (por 1,000 nacidos vivos) 2019-2023</t>
  </si>
  <si>
    <t>INFANTIL Número de niños fallecidos antes de cumplir 1 año 2012</t>
  </si>
  <si>
    <t>INFANTIL Número de niños fallecidos antes de cumplir 1 año 2024</t>
  </si>
  <si>
    <t>NIÑEZ Número de niños fallecidos antes de cumplir 5 años 2012</t>
  </si>
  <si>
    <t>NIÑEZ Número de niños fallecidos antes de cumplir 5 años 2024</t>
  </si>
  <si>
    <t>Número de niños fallecidos antes de cumplir 5 años 2024</t>
  </si>
  <si>
    <t>id_departamento</t>
  </si>
  <si>
    <t>ID</t>
  </si>
  <si>
    <t>MORTALIDAD EN LA NIÑEZ (5q0) 2008</t>
  </si>
  <si>
    <t>MORTALIDAD EN LA NIÑEZ (5q0) 2023 *</t>
  </si>
  <si>
    <t>Diferencia 2008</t>
  </si>
  <si>
    <t>Diferencia 2023</t>
  </si>
  <si>
    <t>(*) Con coeficiente de variación superior a 20% emplearlo solo de forma referencial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</si>
  <si>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</si>
  <si>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</si>
  <si>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</si>
  <si>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</si>
  <si>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</si>
  <si>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</si>
  <si>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</si>
  <si>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</si>
  <si>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</si>
  <si>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</si>
  <si>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 xml:space="preserve">Tasa de mortalidad en niños (&lt; 5 años) (por 1,000 nacidos vivos) </t>
  </si>
  <si>
    <t>Urbano</t>
  </si>
  <si>
    <t>Rural</t>
  </si>
  <si>
    <t>Nacidos vivos ENDSA 2008 Número de caso sin ponderar</t>
  </si>
  <si>
    <t>Nacidos vivos ENDSA 2008 Número de casos ponderador</t>
  </si>
  <si>
    <t>Nacidos vivos EDSA 2023 Número de caso sin ponderar</t>
  </si>
  <si>
    <t>Nacidos vivos EDSA 2023 Número de casos ponderador</t>
  </si>
  <si>
    <t>Defunciones aproximadas con EDSA</t>
  </si>
  <si>
    <t>CENSO Tasa de mortalidad en niños (&lt; 5 años) (por 1,000 nacidos vivos) 2012</t>
  </si>
  <si>
    <t>CENSO Tasa de mortalidad en niños (&lt; 5 años) (por 1,000 nacidos vivos) 2024</t>
  </si>
  <si>
    <t>CENSO Número de niños fallecidos antes de cumplir 5 años 2012</t>
  </si>
  <si>
    <t>CENSO NACIDOS VIVOS 2012</t>
  </si>
  <si>
    <t>Porcentaje de fallecidos por municipio</t>
  </si>
  <si>
    <t>Estimados fallecidos por municipio con EDSA</t>
  </si>
  <si>
    <t>CENSO Número de niños fallecidos antes de cumplir 5 años 2012 (CENSO)</t>
  </si>
  <si>
    <t>Estimados nacidos por municipio con EDSA</t>
  </si>
  <si>
    <t>Porcentaje de nacidos por municipio</t>
  </si>
  <si>
    <t>Tasa de mortalidad acorde a EDSA distribuido por censo</t>
  </si>
  <si>
    <t>Tasa de mortalidad en niños (&lt; 5 años) (por 1,000 nacidos vivos) EDSA 2008 ponderado por censo 2012</t>
  </si>
  <si>
    <t>Tasa de mortalidad acorde a EDSA distribuido por censo 2024</t>
  </si>
  <si>
    <t>Número de niños fallecidos antes de cumplir 5 años 2019-2023 promedio anual</t>
  </si>
  <si>
    <t>Gran chaco</t>
  </si>
  <si>
    <t>NACIDOS VIVOS 2019-2023 promedio anual</t>
  </si>
  <si>
    <t>Defunciones aproximadas con EDSA 2023</t>
  </si>
  <si>
    <t>Tasa de mortalidad en niños (&lt; 5 años) (por 1,000 nacidos vivos) EDSA 2023 ponderado por censo 2024</t>
  </si>
  <si>
    <t>Tasa de mortalidad en niños (&lt; 5 años) (por 1,000 nacidos vivos) EDSA 2023</t>
  </si>
  <si>
    <t>MORTALIDAD EN LA NIÑEZ (5q0) 2008 *</t>
  </si>
  <si>
    <t>Tasa de mortalidad en niños (&lt; 5 años) (por 1,000 nacidos vivos) EDSA 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</si>
</sst>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(* #,##0.0_);_(* \(#,##0.0\);_(* &quot;-&quot;??_);_(@_)"/>
    <numFmt numFmtId="167" formatCode="0.0"/>
    <numFmt numFmtId="168" formatCode="_-* #,##0_-;\-* #,##0_-;_-* &quot;-&quot;??_-;_-@"/>
    <numFmt numFmtId="169" formatCode="_-* #,##0_-;\-* #,##0_-;_-* &quot;-&quot;??_-;_-@_-"/>
  </numFmts>
  <fonts count="17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0"/>
      <color theme="1"/>
      <name val="Calibri"/>
      <family val="2"/>
    </font>
    <font>
      <b/>
      <sz val="9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theme="1"/>
      <name val="Play"/>
    </font>
    <font>
      <sz val="11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100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2" fontId="4" fillId="0" borderId="1" xfId="0" applyNumberFormat="1" applyFont="1" applyBorder="1"/>
    <xf numFmtId="165" fontId="5" fillId="0" borderId="1" xfId="0" applyNumberFormat="1" applyFont="1" applyBorder="1" applyAlignment="1">
      <alignment horizontal="right" vertical="top"/>
    </xf>
    <xf numFmtId="165" fontId="4" fillId="0" borderId="3" xfId="0" applyNumberFormat="1" applyFont="1" applyBorder="1"/>
    <xf numFmtId="165" fontId="4" fillId="0" borderId="2" xfId="0" applyNumberFormat="1" applyFont="1" applyBorder="1"/>
    <xf numFmtId="1" fontId="4" fillId="2" borderId="4" xfId="0" applyNumberFormat="1" applyFont="1" applyFill="1" applyBorder="1"/>
    <xf numFmtId="2" fontId="4" fillId="2" borderId="5" xfId="0" applyNumberFormat="1" applyFont="1" applyFill="1" applyBorder="1" applyAlignment="1">
      <alignment horizontal="center" vertical="center"/>
    </xf>
    <xf numFmtId="166" fontId="4" fillId="0" borderId="2" xfId="0" applyNumberFormat="1" applyFont="1" applyBorder="1"/>
    <xf numFmtId="1" fontId="4" fillId="2" borderId="1" xfId="0" applyNumberFormat="1" applyFont="1" applyFill="1" applyBorder="1"/>
    <xf numFmtId="43" fontId="4" fillId="2" borderId="1" xfId="0" applyNumberFormat="1" applyFont="1" applyFill="1" applyBorder="1"/>
    <xf numFmtId="165" fontId="4" fillId="0" borderId="1" xfId="0" applyNumberFormat="1" applyFont="1" applyBorder="1"/>
    <xf numFmtId="0" fontId="4" fillId="3" borderId="1" xfId="0" applyFont="1" applyFill="1" applyBorder="1" applyAlignment="1">
      <alignment horizontal="center" vertical="center"/>
    </xf>
    <xf numFmtId="165" fontId="6" fillId="0" borderId="0" xfId="0" applyNumberFormat="1" applyFont="1"/>
    <xf numFmtId="165" fontId="5" fillId="0" borderId="3" xfId="0" applyNumberFormat="1" applyFont="1" applyBorder="1" applyAlignment="1">
      <alignment horizontal="right" vertical="top"/>
    </xf>
    <xf numFmtId="165" fontId="5" fillId="0" borderId="6" xfId="0" applyNumberFormat="1" applyFont="1" applyBorder="1" applyAlignment="1">
      <alignment horizontal="right" vertical="top"/>
    </xf>
    <xf numFmtId="165" fontId="4" fillId="0" borderId="7" xfId="0" applyNumberFormat="1" applyFont="1" applyBorder="1"/>
    <xf numFmtId="0" fontId="6" fillId="0" borderId="0" xfId="0" applyFont="1" applyAlignment="1">
      <alignment horizontal="center" vertical="center"/>
    </xf>
    <xf numFmtId="0" fontId="7" fillId="0" borderId="0" xfId="0" applyFont="1"/>
    <xf numFmtId="2" fontId="4" fillId="0" borderId="8" xfId="0" applyNumberFormat="1" applyFont="1" applyBorder="1"/>
    <xf numFmtId="165" fontId="5" fillId="0" borderId="8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2" fontId="4" fillId="0" borderId="0" xfId="0" applyNumberFormat="1" applyFont="1"/>
    <xf numFmtId="165" fontId="5" fillId="0" borderId="0" xfId="0" applyNumberFormat="1" applyFont="1" applyAlignment="1">
      <alignment horizontal="right" vertical="top"/>
    </xf>
    <xf numFmtId="3" fontId="8" fillId="0" borderId="0" xfId="0" applyNumberFormat="1" applyFont="1" applyAlignment="1">
      <alignment horizontal="right" vertical="center"/>
    </xf>
    <xf numFmtId="165" fontId="4" fillId="0" borderId="0" xfId="0" applyNumberFormat="1" applyFont="1"/>
    <xf numFmtId="0" fontId="4" fillId="0" borderId="0" xfId="0" applyFont="1"/>
    <xf numFmtId="2" fontId="9" fillId="0" borderId="1" xfId="0" applyNumberFormat="1" applyFont="1" applyBorder="1"/>
    <xf numFmtId="0" fontId="9" fillId="0" borderId="1" xfId="0" applyFont="1" applyBorder="1"/>
    <xf numFmtId="167" fontId="4" fillId="0" borderId="0" xfId="0" applyNumberFormat="1" applyFont="1"/>
    <xf numFmtId="0" fontId="9" fillId="0" borderId="0" xfId="0" applyFont="1"/>
    <xf numFmtId="0" fontId="2" fillId="0" borderId="0" xfId="0" applyFont="1" applyAlignment="1">
      <alignment vertical="top" wrapText="1"/>
    </xf>
    <xf numFmtId="2" fontId="4" fillId="2" borderId="5" xfId="0" applyNumberFormat="1" applyFont="1" applyFill="1" applyBorder="1"/>
    <xf numFmtId="165" fontId="4" fillId="0" borderId="6" xfId="0" applyNumberFormat="1" applyFont="1" applyBorder="1"/>
    <xf numFmtId="165" fontId="5" fillId="0" borderId="9" xfId="0" applyNumberFormat="1" applyFont="1" applyBorder="1" applyAlignment="1">
      <alignment horizontal="right" vertical="top"/>
    </xf>
    <xf numFmtId="0" fontId="2" fillId="0" borderId="1" xfId="0" applyFont="1" applyBorder="1" applyAlignment="1">
      <alignment vertical="center" wrapText="1"/>
    </xf>
    <xf numFmtId="2" fontId="6" fillId="0" borderId="0" xfId="0" applyNumberFormat="1" applyFont="1"/>
    <xf numFmtId="0" fontId="4" fillId="3" borderId="1" xfId="0" applyFont="1" applyFill="1" applyBorder="1"/>
    <xf numFmtId="0" fontId="2" fillId="0" borderId="1" xfId="0" applyFont="1" applyBorder="1" applyAlignment="1">
      <alignment wrapText="1"/>
    </xf>
    <xf numFmtId="1" fontId="4" fillId="0" borderId="1" xfId="0" applyNumberFormat="1" applyFont="1" applyBorder="1"/>
    <xf numFmtId="0" fontId="10" fillId="0" borderId="0" xfId="0" applyFont="1"/>
    <xf numFmtId="1" fontId="4" fillId="0" borderId="0" xfId="0" applyNumberFormat="1" applyFont="1"/>
    <xf numFmtId="0" fontId="2" fillId="0" borderId="1" xfId="0" applyFont="1" applyBorder="1" applyAlignment="1">
      <alignment horizontal="center" wrapText="1"/>
    </xf>
    <xf numFmtId="0" fontId="2" fillId="0" borderId="1" xfId="0" applyFont="1" applyBorder="1"/>
    <xf numFmtId="2" fontId="4" fillId="0" borderId="1" xfId="0" applyNumberFormat="1" applyFont="1" applyBorder="1" applyAlignment="1">
      <alignment wrapText="1"/>
    </xf>
    <xf numFmtId="0" fontId="11" fillId="0" borderId="0" xfId="0" applyFont="1"/>
    <xf numFmtId="168" fontId="2" fillId="0" borderId="1" xfId="0" applyNumberFormat="1" applyFont="1" applyBorder="1"/>
    <xf numFmtId="168" fontId="4" fillId="0" borderId="1" xfId="0" applyNumberFormat="1" applyFont="1" applyBorder="1"/>
    <xf numFmtId="168" fontId="4" fillId="0" borderId="0" xfId="0" applyNumberFormat="1" applyFont="1"/>
    <xf numFmtId="0" fontId="2" fillId="4" borderId="1" xfId="0" applyFont="1" applyFill="1" applyBorder="1"/>
    <xf numFmtId="0" fontId="12" fillId="5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2" fillId="0" borderId="0" xfId="0" applyFont="1"/>
    <xf numFmtId="0" fontId="6" fillId="0" borderId="1" xfId="0" applyFont="1" applyBorder="1"/>
    <xf numFmtId="0" fontId="14" fillId="0" borderId="10" xfId="0" applyFont="1" applyBorder="1" applyAlignment="1">
      <alignment wrapText="1"/>
    </xf>
    <xf numFmtId="169" fontId="13" fillId="0" borderId="10" xfId="1" applyNumberFormat="1" applyFont="1" applyFill="1" applyBorder="1" applyAlignment="1"/>
    <xf numFmtId="169" fontId="15" fillId="0" borderId="10" xfId="1" applyNumberFormat="1" applyFont="1" applyFill="1" applyBorder="1"/>
    <xf numFmtId="0" fontId="4" fillId="0" borderId="6" xfId="0" applyFont="1" applyBorder="1"/>
    <xf numFmtId="2" fontId="4" fillId="0" borderId="6" xfId="0" applyNumberFormat="1" applyFont="1" applyBorder="1" applyAlignment="1">
      <alignment wrapText="1"/>
    </xf>
    <xf numFmtId="0" fontId="4" fillId="0" borderId="10" xfId="0" applyFont="1" applyBorder="1"/>
    <xf numFmtId="43" fontId="4" fillId="2" borderId="6" xfId="0" applyNumberFormat="1" applyFont="1" applyFill="1" applyBorder="1"/>
    <xf numFmtId="2" fontId="4" fillId="2" borderId="2" xfId="0" applyNumberFormat="1" applyFont="1" applyFill="1" applyBorder="1" applyAlignment="1">
      <alignment horizontal="center" vertical="center"/>
    </xf>
    <xf numFmtId="0" fontId="0" fillId="0" borderId="10" xfId="0" applyBorder="1"/>
    <xf numFmtId="2" fontId="4" fillId="2" borderId="1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wrapText="1"/>
    </xf>
    <xf numFmtId="165" fontId="0" fillId="0" borderId="0" xfId="0" applyNumberFormat="1"/>
    <xf numFmtId="9" fontId="0" fillId="0" borderId="0" xfId="2" applyFont="1"/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9" fontId="0" fillId="0" borderId="0" xfId="0" applyNumberFormat="1"/>
    <xf numFmtId="1" fontId="0" fillId="0" borderId="0" xfId="2" applyNumberFormat="1" applyFont="1"/>
    <xf numFmtId="0" fontId="2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wrapText="1"/>
    </xf>
    <xf numFmtId="0" fontId="0" fillId="9" borderId="0" xfId="0" applyFill="1"/>
    <xf numFmtId="0" fontId="2" fillId="9" borderId="0" xfId="0" applyFont="1" applyFill="1" applyAlignment="1">
      <alignment wrapText="1"/>
    </xf>
    <xf numFmtId="169" fontId="13" fillId="9" borderId="10" xfId="1" applyNumberFormat="1" applyFont="1" applyFill="1" applyBorder="1" applyAlignment="1"/>
    <xf numFmtId="0" fontId="14" fillId="9" borderId="10" xfId="0" applyFont="1" applyFill="1" applyBorder="1" applyAlignment="1">
      <alignment wrapText="1"/>
    </xf>
    <xf numFmtId="167" fontId="0" fillId="0" borderId="0" xfId="0" applyNumberFormat="1"/>
    <xf numFmtId="0" fontId="3" fillId="9" borderId="0" xfId="0" applyFont="1" applyFill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65" fontId="5" fillId="9" borderId="1" xfId="0" applyNumberFormat="1" applyFont="1" applyFill="1" applyBorder="1" applyAlignment="1">
      <alignment horizontal="right" vertical="top"/>
    </xf>
    <xf numFmtId="165" fontId="4" fillId="9" borderId="3" xfId="0" applyNumberFormat="1" applyFont="1" applyFill="1" applyBorder="1"/>
    <xf numFmtId="165" fontId="5" fillId="9" borderId="3" xfId="0" applyNumberFormat="1" applyFont="1" applyFill="1" applyBorder="1" applyAlignment="1">
      <alignment horizontal="right" vertical="top"/>
    </xf>
    <xf numFmtId="165" fontId="5" fillId="9" borderId="6" xfId="0" applyNumberFormat="1" applyFont="1" applyFill="1" applyBorder="1" applyAlignment="1">
      <alignment horizontal="right" vertical="top"/>
    </xf>
    <xf numFmtId="165" fontId="4" fillId="9" borderId="7" xfId="0" applyNumberFormat="1" applyFont="1" applyFill="1" applyBorder="1"/>
    <xf numFmtId="0" fontId="2" fillId="10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wrapText="1"/>
    </xf>
    <xf numFmtId="0" fontId="2" fillId="10" borderId="0" xfId="0" applyFont="1" applyFill="1" applyAlignment="1">
      <alignment wrapText="1"/>
    </xf>
    <xf numFmtId="0" fontId="14" fillId="10" borderId="10" xfId="0" applyFont="1" applyFill="1" applyBorder="1" applyAlignment="1">
      <alignment wrapText="1"/>
    </xf>
    <xf numFmtId="0" fontId="4" fillId="0" borderId="11" xfId="0" applyFont="1" applyBorder="1"/>
    <xf numFmtId="1" fontId="0" fillId="9" borderId="0" xfId="0" applyNumberFormat="1" applyFill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6267450" cy="41529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B1000"/>
  <sheetViews>
    <sheetView workbookViewId="0">
      <selection activeCell="H1" sqref="H1"/>
    </sheetView>
  </sheetViews>
  <sheetFormatPr baseColWidth="10" defaultColWidth="12.59765625" defaultRowHeight="15" customHeight="1"/>
  <cols>
    <col min="1" max="1" width="12.59765625" customWidth="1"/>
    <col min="2" max="2" width="14.09765625" customWidth="1"/>
    <col min="3" max="3" width="9.3984375" customWidth="1"/>
    <col min="4" max="4" width="11.69921875" customWidth="1"/>
    <col min="5" max="5" width="18.09765625" customWidth="1"/>
    <col min="6" max="6" width="20.59765625" customWidth="1"/>
    <col min="7" max="7" width="18.3984375" customWidth="1"/>
    <col min="8" max="8" width="14.69921875" customWidth="1"/>
    <col min="9" max="9" width="9.3984375" customWidth="1"/>
    <col min="10" max="10" width="15.69921875" customWidth="1"/>
    <col min="11" max="11" width="19.69921875" customWidth="1"/>
    <col min="12" max="12" width="14.09765625" customWidth="1"/>
    <col min="13" max="13" width="22.19921875" customWidth="1"/>
    <col min="14" max="28" width="9.3984375" customWidth="1"/>
  </cols>
  <sheetData>
    <row r="1" spans="1:28" ht="72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5"/>
      <c r="I1" s="6"/>
      <c r="J1" s="2" t="s">
        <v>7</v>
      </c>
      <c r="K1" s="3" t="s">
        <v>8</v>
      </c>
      <c r="L1" s="2" t="s">
        <v>9</v>
      </c>
      <c r="M1" s="3" t="s">
        <v>10</v>
      </c>
      <c r="N1" s="5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4.4">
      <c r="A2" s="7">
        <v>10101</v>
      </c>
      <c r="B2" s="8" t="s">
        <v>11</v>
      </c>
      <c r="C2" s="8" t="s">
        <v>12</v>
      </c>
      <c r="D2" s="8" t="s">
        <v>13</v>
      </c>
      <c r="E2" s="9">
        <f t="shared" ref="E2:E256" si="0">(F2/G2)*1000</f>
        <v>43.768400392541707</v>
      </c>
      <c r="F2" s="10">
        <v>223</v>
      </c>
      <c r="G2" s="11">
        <v>5095</v>
      </c>
      <c r="H2" s="12"/>
      <c r="J2" s="8" t="s">
        <v>11</v>
      </c>
      <c r="K2" s="13">
        <f>SUM(F2:F30)</f>
        <v>566</v>
      </c>
      <c r="L2" s="13">
        <f t="shared" ref="L2" si="1">SUM(G2:G30)</f>
        <v>11564</v>
      </c>
      <c r="M2" s="14">
        <f>(K2/L2)*1000</f>
        <v>48.945001729505364</v>
      </c>
      <c r="N2" s="15"/>
    </row>
    <row r="3" spans="1:28" ht="14.4">
      <c r="A3" s="7">
        <v>10102</v>
      </c>
      <c r="B3" s="8" t="s">
        <v>11</v>
      </c>
      <c r="C3" s="8" t="s">
        <v>12</v>
      </c>
      <c r="D3" s="8" t="s">
        <v>14</v>
      </c>
      <c r="E3" s="9">
        <f t="shared" si="0"/>
        <v>59.171597633136095</v>
      </c>
      <c r="F3" s="10">
        <v>10</v>
      </c>
      <c r="G3" s="11">
        <v>169</v>
      </c>
      <c r="H3" s="12"/>
      <c r="J3" s="8" t="s">
        <v>15</v>
      </c>
      <c r="K3" s="16">
        <f>+SUM(F31:F117)</f>
        <v>3667</v>
      </c>
      <c r="L3" s="16">
        <f t="shared" ref="L3" si="2">+SUM(G31:G117)</f>
        <v>54260</v>
      </c>
      <c r="M3" s="14">
        <f t="shared" ref="M3:M12" si="3">(K3/L3)*1000</f>
        <v>67.582012532252108</v>
      </c>
      <c r="N3" s="15"/>
    </row>
    <row r="4" spans="1:28" ht="14.4">
      <c r="A4" s="7">
        <v>10103</v>
      </c>
      <c r="B4" s="8" t="s">
        <v>11</v>
      </c>
      <c r="C4" s="8" t="s">
        <v>12</v>
      </c>
      <c r="D4" s="8" t="s">
        <v>16</v>
      </c>
      <c r="E4" s="9">
        <f t="shared" si="0"/>
        <v>81.632653061224488</v>
      </c>
      <c r="F4" s="10">
        <v>32</v>
      </c>
      <c r="G4" s="11">
        <v>392</v>
      </c>
      <c r="H4" s="12"/>
      <c r="J4" s="8" t="s">
        <v>17</v>
      </c>
      <c r="K4" s="16">
        <f t="shared" ref="K4:L4" si="4">+SUM(F118:F165)</f>
        <v>2241</v>
      </c>
      <c r="L4" s="16">
        <f t="shared" si="4"/>
        <v>37795</v>
      </c>
      <c r="M4" s="14">
        <f t="shared" si="3"/>
        <v>59.293557348855671</v>
      </c>
      <c r="N4" s="15"/>
    </row>
    <row r="5" spans="1:28" ht="14.4">
      <c r="A5" s="7">
        <v>10201</v>
      </c>
      <c r="B5" s="8" t="s">
        <v>11</v>
      </c>
      <c r="C5" s="8" t="s">
        <v>18</v>
      </c>
      <c r="D5" s="8" t="s">
        <v>19</v>
      </c>
      <c r="E5" s="9">
        <f t="shared" si="0"/>
        <v>52.401746724890828</v>
      </c>
      <c r="F5" s="10">
        <v>12</v>
      </c>
      <c r="G5" s="11">
        <v>229</v>
      </c>
      <c r="H5" s="12"/>
      <c r="J5" s="8" t="s">
        <v>20</v>
      </c>
      <c r="K5" s="16">
        <f t="shared" ref="K5:L5" si="5">+SUM(F166:F200)</f>
        <v>517</v>
      </c>
      <c r="L5" s="16">
        <f t="shared" si="5"/>
        <v>10072</v>
      </c>
      <c r="M5" s="14">
        <f t="shared" si="3"/>
        <v>51.330420969023038</v>
      </c>
      <c r="N5" s="15"/>
    </row>
    <row r="6" spans="1:28" ht="14.4">
      <c r="A6" s="7">
        <v>10202</v>
      </c>
      <c r="B6" s="8" t="s">
        <v>11</v>
      </c>
      <c r="C6" s="8" t="s">
        <v>18</v>
      </c>
      <c r="D6" s="8" t="s">
        <v>21</v>
      </c>
      <c r="E6" s="9">
        <f t="shared" si="0"/>
        <v>86.330935251798564</v>
      </c>
      <c r="F6" s="10">
        <v>24</v>
      </c>
      <c r="G6" s="11">
        <v>278</v>
      </c>
      <c r="H6" s="12"/>
      <c r="J6" s="8" t="s">
        <v>22</v>
      </c>
      <c r="K6" s="16">
        <f t="shared" ref="K6:L6" si="6">+SUM(F201:F242)</f>
        <v>1581</v>
      </c>
      <c r="L6" s="16">
        <f t="shared" si="6"/>
        <v>18587</v>
      </c>
      <c r="M6" s="14">
        <f t="shared" si="3"/>
        <v>85.059450153332975</v>
      </c>
      <c r="N6" s="15"/>
    </row>
    <row r="7" spans="1:28" ht="14.4">
      <c r="A7" s="7">
        <v>10301</v>
      </c>
      <c r="B7" s="8" t="s">
        <v>11</v>
      </c>
      <c r="C7" s="8" t="s">
        <v>23</v>
      </c>
      <c r="D7" s="8" t="s">
        <v>24</v>
      </c>
      <c r="E7" s="9">
        <f t="shared" si="0"/>
        <v>58.823529411764703</v>
      </c>
      <c r="F7" s="10">
        <v>13</v>
      </c>
      <c r="G7" s="11">
        <v>221</v>
      </c>
      <c r="H7" s="12"/>
      <c r="J7" s="8" t="s">
        <v>25</v>
      </c>
      <c r="K7" s="16">
        <f t="shared" ref="K7:L7" si="7">+SUM(F243:F253)</f>
        <v>265</v>
      </c>
      <c r="L7" s="16">
        <f t="shared" si="7"/>
        <v>9314</v>
      </c>
      <c r="M7" s="14">
        <f t="shared" si="3"/>
        <v>28.451792999785269</v>
      </c>
      <c r="N7" s="15"/>
    </row>
    <row r="8" spans="1:28" ht="14.4">
      <c r="A8" s="7">
        <v>10302</v>
      </c>
      <c r="B8" s="8" t="s">
        <v>11</v>
      </c>
      <c r="C8" s="8" t="s">
        <v>23</v>
      </c>
      <c r="D8" s="8" t="s">
        <v>26</v>
      </c>
      <c r="E8" s="9">
        <f t="shared" si="0"/>
        <v>123.63636363636364</v>
      </c>
      <c r="F8" s="10">
        <v>34</v>
      </c>
      <c r="G8" s="11">
        <v>275</v>
      </c>
      <c r="H8" s="12"/>
      <c r="J8" s="8" t="s">
        <v>27</v>
      </c>
      <c r="K8" s="16">
        <f t="shared" ref="K8:L8" si="8">+SUM(F254:F309)</f>
        <v>2204</v>
      </c>
      <c r="L8" s="16">
        <f t="shared" si="8"/>
        <v>62306</v>
      </c>
      <c r="M8" s="14">
        <f t="shared" si="3"/>
        <v>35.373800276056883</v>
      </c>
      <c r="N8" s="15"/>
    </row>
    <row r="9" spans="1:28" ht="14.4">
      <c r="A9" s="7">
        <v>10303</v>
      </c>
      <c r="B9" s="8" t="s">
        <v>11</v>
      </c>
      <c r="C9" s="8" t="s">
        <v>23</v>
      </c>
      <c r="D9" s="8" t="s">
        <v>28</v>
      </c>
      <c r="E9" s="9">
        <f t="shared" si="0"/>
        <v>98.484848484848484</v>
      </c>
      <c r="F9" s="10">
        <v>13</v>
      </c>
      <c r="G9" s="11">
        <v>132</v>
      </c>
      <c r="H9" s="12"/>
      <c r="J9" s="8" t="s">
        <v>29</v>
      </c>
      <c r="K9" s="16">
        <f t="shared" ref="K9:L9" si="9">+SUM(F310:F329)</f>
        <v>734</v>
      </c>
      <c r="L9" s="16">
        <f t="shared" si="9"/>
        <v>12026</v>
      </c>
      <c r="M9" s="14">
        <f t="shared" si="3"/>
        <v>61.034425411608183</v>
      </c>
      <c r="N9" s="15"/>
    </row>
    <row r="10" spans="1:28" ht="14.4">
      <c r="A10" s="7">
        <v>10304</v>
      </c>
      <c r="B10" s="8" t="s">
        <v>11</v>
      </c>
      <c r="C10" s="8" t="s">
        <v>23</v>
      </c>
      <c r="D10" s="8" t="s">
        <v>30</v>
      </c>
      <c r="E10" s="9">
        <f t="shared" si="0"/>
        <v>28.776978417266189</v>
      </c>
      <c r="F10" s="10">
        <v>4</v>
      </c>
      <c r="G10" s="11">
        <v>139</v>
      </c>
      <c r="H10" s="12"/>
      <c r="J10" s="8" t="s">
        <v>31</v>
      </c>
      <c r="K10" s="16">
        <f t="shared" ref="K10:L10" si="10">+SUM(F330:F344)</f>
        <v>91</v>
      </c>
      <c r="L10" s="16">
        <f t="shared" si="10"/>
        <v>3404</v>
      </c>
      <c r="M10" s="14">
        <f t="shared" si="3"/>
        <v>26.733254994124557</v>
      </c>
      <c r="N10" s="15"/>
    </row>
    <row r="11" spans="1:28" ht="14.4">
      <c r="A11" s="7">
        <v>10401</v>
      </c>
      <c r="B11" s="8" t="s">
        <v>11</v>
      </c>
      <c r="C11" s="8" t="s">
        <v>32</v>
      </c>
      <c r="D11" s="8" t="s">
        <v>33</v>
      </c>
      <c r="E11" s="9">
        <f t="shared" si="0"/>
        <v>43.010752688172047</v>
      </c>
      <c r="F11" s="10">
        <v>8</v>
      </c>
      <c r="G11" s="11">
        <v>186</v>
      </c>
      <c r="H11" s="12"/>
      <c r="J11" s="66" t="s">
        <v>34</v>
      </c>
      <c r="K11" s="69">
        <f>SUM(K2:K10)</f>
        <v>11866</v>
      </c>
      <c r="L11" s="40">
        <f t="shared" ref="L11" si="11">SUM(L2:L10)</f>
        <v>219328</v>
      </c>
      <c r="M11" s="70">
        <f t="shared" si="3"/>
        <v>54.10161949226729</v>
      </c>
      <c r="N11" s="15"/>
    </row>
    <row r="12" spans="1:28" ht="14.4">
      <c r="A12" s="7">
        <v>10402</v>
      </c>
      <c r="B12" s="8" t="s">
        <v>11</v>
      </c>
      <c r="C12" s="8" t="s">
        <v>32</v>
      </c>
      <c r="D12" s="8" t="s">
        <v>32</v>
      </c>
      <c r="E12" s="9">
        <f t="shared" si="0"/>
        <v>50.505050505050505</v>
      </c>
      <c r="F12" s="10">
        <v>10</v>
      </c>
      <c r="G12" s="11">
        <v>198</v>
      </c>
      <c r="H12" s="12"/>
      <c r="J12" s="68" t="s">
        <v>323</v>
      </c>
      <c r="K12" s="71">
        <v>113</v>
      </c>
      <c r="L12" s="71">
        <v>3036</v>
      </c>
      <c r="M12" s="72">
        <f t="shared" si="3"/>
        <v>37.220026350461133</v>
      </c>
    </row>
    <row r="13" spans="1:28" ht="14.4">
      <c r="A13" s="7">
        <v>10403</v>
      </c>
      <c r="B13" s="8" t="s">
        <v>11</v>
      </c>
      <c r="C13" s="8" t="s">
        <v>32</v>
      </c>
      <c r="D13" s="8" t="s">
        <v>35</v>
      </c>
      <c r="E13" s="9">
        <f t="shared" si="0"/>
        <v>15.503875968992247</v>
      </c>
      <c r="F13" s="10">
        <v>2</v>
      </c>
      <c r="G13" s="11">
        <v>129</v>
      </c>
      <c r="H13" s="12"/>
    </row>
    <row r="14" spans="1:28" ht="14.4">
      <c r="A14" s="7">
        <v>10404</v>
      </c>
      <c r="B14" s="8" t="s">
        <v>11</v>
      </c>
      <c r="C14" s="8" t="s">
        <v>32</v>
      </c>
      <c r="D14" s="8" t="s">
        <v>36</v>
      </c>
      <c r="E14" s="9">
        <f t="shared" si="0"/>
        <v>15.625</v>
      </c>
      <c r="F14" s="10">
        <v>1</v>
      </c>
      <c r="G14" s="11">
        <v>64</v>
      </c>
      <c r="H14" s="12"/>
    </row>
    <row r="15" spans="1:28" ht="14.4">
      <c r="A15" s="7">
        <v>10405</v>
      </c>
      <c r="B15" s="8" t="s">
        <v>11</v>
      </c>
      <c r="C15" s="8" t="s">
        <v>32</v>
      </c>
      <c r="D15" s="8" t="s">
        <v>37</v>
      </c>
      <c r="E15" s="9">
        <f t="shared" si="0"/>
        <v>101.44927536231884</v>
      </c>
      <c r="F15" s="10">
        <v>7</v>
      </c>
      <c r="G15" s="11">
        <v>69</v>
      </c>
      <c r="H15" s="12"/>
    </row>
    <row r="16" spans="1:28" ht="14.4">
      <c r="A16" s="7">
        <v>10501</v>
      </c>
      <c r="B16" s="8" t="s">
        <v>11</v>
      </c>
      <c r="C16" s="8" t="s">
        <v>38</v>
      </c>
      <c r="D16" s="8" t="s">
        <v>39</v>
      </c>
      <c r="E16" s="9">
        <f t="shared" si="0"/>
        <v>44.210526315789473</v>
      </c>
      <c r="F16" s="10">
        <v>21</v>
      </c>
      <c r="G16" s="11">
        <v>475</v>
      </c>
      <c r="H16" s="12"/>
    </row>
    <row r="17" spans="1:8" ht="14.4">
      <c r="A17" s="7">
        <v>10502</v>
      </c>
      <c r="B17" s="8" t="s">
        <v>11</v>
      </c>
      <c r="C17" s="8" t="s">
        <v>38</v>
      </c>
      <c r="D17" s="8" t="s">
        <v>40</v>
      </c>
      <c r="E17" s="9">
        <f t="shared" si="0"/>
        <v>24.096385542168676</v>
      </c>
      <c r="F17" s="10">
        <v>4</v>
      </c>
      <c r="G17" s="11">
        <v>166</v>
      </c>
      <c r="H17" s="12"/>
    </row>
    <row r="18" spans="1:8" ht="14.4">
      <c r="A18" s="7">
        <v>10601</v>
      </c>
      <c r="B18" s="8" t="s">
        <v>11</v>
      </c>
      <c r="C18" s="8" t="s">
        <v>41</v>
      </c>
      <c r="D18" s="8" t="s">
        <v>42</v>
      </c>
      <c r="E18" s="9">
        <f t="shared" si="0"/>
        <v>74.433656957928804</v>
      </c>
      <c r="F18" s="10">
        <v>23</v>
      </c>
      <c r="G18" s="11">
        <v>309</v>
      </c>
      <c r="H18" s="12"/>
    </row>
    <row r="19" spans="1:8" ht="14.4">
      <c r="A19" s="7">
        <v>10602</v>
      </c>
      <c r="B19" s="8" t="s">
        <v>11</v>
      </c>
      <c r="C19" s="8" t="s">
        <v>41</v>
      </c>
      <c r="D19" s="8" t="s">
        <v>41</v>
      </c>
      <c r="E19" s="9">
        <f t="shared" si="0"/>
        <v>39.473684210526315</v>
      </c>
      <c r="F19" s="10">
        <v>6</v>
      </c>
      <c r="G19" s="11">
        <v>152</v>
      </c>
      <c r="H19" s="12"/>
    </row>
    <row r="20" spans="1:8" ht="14.4">
      <c r="A20" s="7">
        <v>10701</v>
      </c>
      <c r="B20" s="8" t="s">
        <v>11</v>
      </c>
      <c r="C20" s="8" t="s">
        <v>43</v>
      </c>
      <c r="D20" s="8" t="s">
        <v>44</v>
      </c>
      <c r="E20" s="9">
        <f t="shared" si="0"/>
        <v>31.358885017421603</v>
      </c>
      <c r="F20" s="10">
        <v>9</v>
      </c>
      <c r="G20" s="11">
        <v>287</v>
      </c>
      <c r="H20" s="12"/>
    </row>
    <row r="21" spans="1:8" ht="15.75" customHeight="1">
      <c r="A21" s="7">
        <v>10702</v>
      </c>
      <c r="B21" s="8" t="s">
        <v>11</v>
      </c>
      <c r="C21" s="8" t="s">
        <v>43</v>
      </c>
      <c r="D21" s="8" t="s">
        <v>45</v>
      </c>
      <c r="E21" s="9">
        <f t="shared" si="0"/>
        <v>60.258249641319942</v>
      </c>
      <c r="F21" s="10">
        <v>42</v>
      </c>
      <c r="G21" s="11">
        <v>697</v>
      </c>
      <c r="H21" s="12"/>
    </row>
    <row r="22" spans="1:8" ht="15.75" customHeight="1">
      <c r="A22" s="7">
        <v>10703</v>
      </c>
      <c r="B22" s="8" t="s">
        <v>11</v>
      </c>
      <c r="C22" s="8" t="s">
        <v>43</v>
      </c>
      <c r="D22" s="8" t="s">
        <v>46</v>
      </c>
      <c r="E22" s="9">
        <f t="shared" si="0"/>
        <v>44.117647058823529</v>
      </c>
      <c r="F22" s="10">
        <v>15</v>
      </c>
      <c r="G22" s="11">
        <v>340</v>
      </c>
      <c r="H22" s="12"/>
    </row>
    <row r="23" spans="1:8" ht="15.75" customHeight="1">
      <c r="A23" s="7">
        <v>10704</v>
      </c>
      <c r="B23" s="8" t="s">
        <v>11</v>
      </c>
      <c r="C23" s="8" t="s">
        <v>43</v>
      </c>
      <c r="D23" s="8" t="s">
        <v>47</v>
      </c>
      <c r="E23" s="9">
        <f t="shared" si="0"/>
        <v>58.679706601466989</v>
      </c>
      <c r="F23" s="10">
        <v>24</v>
      </c>
      <c r="G23" s="11">
        <v>409</v>
      </c>
      <c r="H23" s="12"/>
    </row>
    <row r="24" spans="1:8" ht="15.75" customHeight="1">
      <c r="A24" s="7">
        <v>10801</v>
      </c>
      <c r="B24" s="8" t="s">
        <v>11</v>
      </c>
      <c r="C24" s="8" t="s">
        <v>48</v>
      </c>
      <c r="D24" s="8" t="s">
        <v>49</v>
      </c>
      <c r="E24" s="9">
        <f t="shared" si="0"/>
        <v>30</v>
      </c>
      <c r="F24" s="10">
        <v>6</v>
      </c>
      <c r="G24" s="11">
        <v>200</v>
      </c>
      <c r="H24" s="12"/>
    </row>
    <row r="25" spans="1:8" ht="15.75" customHeight="1">
      <c r="A25" s="7">
        <v>10901</v>
      </c>
      <c r="B25" s="8" t="s">
        <v>11</v>
      </c>
      <c r="C25" s="8" t="s">
        <v>50</v>
      </c>
      <c r="D25" s="8" t="s">
        <v>51</v>
      </c>
      <c r="E25" s="9">
        <f t="shared" si="0"/>
        <v>15.151515151515152</v>
      </c>
      <c r="F25" s="10">
        <v>1</v>
      </c>
      <c r="G25" s="11">
        <v>66</v>
      </c>
      <c r="H25" s="12"/>
    </row>
    <row r="26" spans="1:8" ht="15.75" customHeight="1">
      <c r="A26" s="7">
        <v>10902</v>
      </c>
      <c r="B26" s="8" t="s">
        <v>11</v>
      </c>
      <c r="C26" s="8" t="s">
        <v>50</v>
      </c>
      <c r="D26" s="8" t="s">
        <v>52</v>
      </c>
      <c r="E26" s="9">
        <f t="shared" si="0"/>
        <v>26.829268292682926</v>
      </c>
      <c r="F26" s="10">
        <v>11</v>
      </c>
      <c r="G26" s="11">
        <v>410</v>
      </c>
      <c r="H26" s="12"/>
    </row>
    <row r="27" spans="1:8" ht="15.75" customHeight="1">
      <c r="A27" s="7">
        <v>10903</v>
      </c>
      <c r="B27" s="8" t="s">
        <v>11</v>
      </c>
      <c r="C27" s="8" t="s">
        <v>50</v>
      </c>
      <c r="D27" s="8" t="s">
        <v>53</v>
      </c>
      <c r="E27" s="9">
        <f t="shared" si="0"/>
        <v>14.492753623188406</v>
      </c>
      <c r="F27" s="10">
        <v>1</v>
      </c>
      <c r="G27" s="11">
        <v>69</v>
      </c>
      <c r="H27" s="12"/>
    </row>
    <row r="28" spans="1:8" ht="15.75" customHeight="1">
      <c r="A28" s="7">
        <v>11001</v>
      </c>
      <c r="B28" s="8" t="s">
        <v>11</v>
      </c>
      <c r="C28" s="8" t="s">
        <v>54</v>
      </c>
      <c r="D28" s="8" t="s">
        <v>55</v>
      </c>
      <c r="E28" s="9">
        <f t="shared" si="0"/>
        <v>33.980582524271846</v>
      </c>
      <c r="F28" s="10">
        <v>7</v>
      </c>
      <c r="G28" s="11">
        <v>206</v>
      </c>
      <c r="H28" s="12"/>
    </row>
    <row r="29" spans="1:8" ht="15.75" customHeight="1">
      <c r="A29" s="7">
        <v>11002</v>
      </c>
      <c r="B29" s="8" t="s">
        <v>11</v>
      </c>
      <c r="C29" s="8" t="s">
        <v>54</v>
      </c>
      <c r="D29" s="8" t="s">
        <v>56</v>
      </c>
      <c r="E29" s="9">
        <f t="shared" si="0"/>
        <v>16.949152542372882</v>
      </c>
      <c r="F29" s="10">
        <v>1</v>
      </c>
      <c r="G29" s="11">
        <v>59</v>
      </c>
      <c r="H29" s="12"/>
    </row>
    <row r="30" spans="1:8" ht="15.75" customHeight="1">
      <c r="A30" s="7">
        <v>11003</v>
      </c>
      <c r="B30" s="8" t="s">
        <v>11</v>
      </c>
      <c r="C30" s="8" t="s">
        <v>54</v>
      </c>
      <c r="D30" s="8" t="s">
        <v>57</v>
      </c>
      <c r="E30" s="9">
        <f t="shared" si="0"/>
        <v>13.986013986013987</v>
      </c>
      <c r="F30" s="10">
        <v>2</v>
      </c>
      <c r="G30" s="11">
        <v>143</v>
      </c>
      <c r="H30" s="12"/>
    </row>
    <row r="31" spans="1:8" ht="15.75" customHeight="1">
      <c r="A31" s="7">
        <v>20101</v>
      </c>
      <c r="B31" s="8" t="s">
        <v>15</v>
      </c>
      <c r="C31" s="8" t="s">
        <v>58</v>
      </c>
      <c r="D31" s="8" t="s">
        <v>59</v>
      </c>
      <c r="E31" s="9">
        <f t="shared" si="0"/>
        <v>46.964580224613208</v>
      </c>
      <c r="F31" s="10">
        <v>598</v>
      </c>
      <c r="G31" s="11">
        <v>12733</v>
      </c>
      <c r="H31" s="12"/>
    </row>
    <row r="32" spans="1:8" ht="15.75" customHeight="1">
      <c r="A32" s="7">
        <v>20102</v>
      </c>
      <c r="B32" s="8" t="s">
        <v>15</v>
      </c>
      <c r="C32" s="8" t="s">
        <v>58</v>
      </c>
      <c r="D32" s="8" t="s">
        <v>60</v>
      </c>
      <c r="E32" s="9">
        <f t="shared" si="0"/>
        <v>122.34042553191489</v>
      </c>
      <c r="F32" s="10">
        <v>46</v>
      </c>
      <c r="G32" s="11">
        <v>376</v>
      </c>
      <c r="H32" s="12"/>
    </row>
    <row r="33" spans="1:8" ht="15.75" customHeight="1">
      <c r="A33" s="7">
        <v>20103</v>
      </c>
      <c r="B33" s="8" t="s">
        <v>15</v>
      </c>
      <c r="C33" s="8" t="s">
        <v>58</v>
      </c>
      <c r="D33" s="8" t="s">
        <v>61</v>
      </c>
      <c r="E33" s="9">
        <f t="shared" si="0"/>
        <v>81.911262798634809</v>
      </c>
      <c r="F33" s="10">
        <v>24</v>
      </c>
      <c r="G33" s="11">
        <v>293</v>
      </c>
      <c r="H33" s="12"/>
    </row>
    <row r="34" spans="1:8" ht="15.75" customHeight="1">
      <c r="A34" s="7">
        <v>20104</v>
      </c>
      <c r="B34" s="8" t="s">
        <v>15</v>
      </c>
      <c r="C34" s="8" t="s">
        <v>58</v>
      </c>
      <c r="D34" s="8" t="s">
        <v>62</v>
      </c>
      <c r="E34" s="9">
        <f t="shared" si="0"/>
        <v>132.76231263383298</v>
      </c>
      <c r="F34" s="10">
        <v>62</v>
      </c>
      <c r="G34" s="11">
        <v>467</v>
      </c>
      <c r="H34" s="12"/>
    </row>
    <row r="35" spans="1:8" ht="15.75" customHeight="1">
      <c r="A35" s="7">
        <v>20105</v>
      </c>
      <c r="B35" s="8" t="s">
        <v>15</v>
      </c>
      <c r="C35" s="8" t="s">
        <v>58</v>
      </c>
      <c r="D35" s="8" t="s">
        <v>63</v>
      </c>
      <c r="E35" s="9">
        <f t="shared" si="0"/>
        <v>60.852349692612272</v>
      </c>
      <c r="F35" s="10">
        <v>1168</v>
      </c>
      <c r="G35" s="11">
        <v>19194</v>
      </c>
      <c r="H35" s="12"/>
    </row>
    <row r="36" spans="1:8" ht="15.75" customHeight="1">
      <c r="A36" s="7">
        <v>20201</v>
      </c>
      <c r="B36" s="8" t="s">
        <v>15</v>
      </c>
      <c r="C36" s="8" t="s">
        <v>64</v>
      </c>
      <c r="D36" s="8" t="s">
        <v>65</v>
      </c>
      <c r="E36" s="9">
        <f t="shared" si="0"/>
        <v>92.171717171717162</v>
      </c>
      <c r="F36" s="10">
        <v>73</v>
      </c>
      <c r="G36" s="11">
        <v>792</v>
      </c>
      <c r="H36" s="12"/>
    </row>
    <row r="37" spans="1:8" ht="15.75" customHeight="1">
      <c r="A37" s="7">
        <v>20202</v>
      </c>
      <c r="B37" s="8" t="s">
        <v>15</v>
      </c>
      <c r="C37" s="8" t="s">
        <v>64</v>
      </c>
      <c r="D37" s="8" t="s">
        <v>66</v>
      </c>
      <c r="E37" s="9">
        <f t="shared" si="0"/>
        <v>188.07339449541286</v>
      </c>
      <c r="F37" s="10">
        <v>41</v>
      </c>
      <c r="G37" s="11">
        <v>218</v>
      </c>
      <c r="H37" s="12"/>
    </row>
    <row r="38" spans="1:8" ht="15.75" customHeight="1">
      <c r="A38" s="7">
        <v>20203</v>
      </c>
      <c r="B38" s="8" t="s">
        <v>15</v>
      </c>
      <c r="C38" s="8" t="s">
        <v>64</v>
      </c>
      <c r="D38" s="8" t="s">
        <v>67</v>
      </c>
      <c r="E38" s="9">
        <f t="shared" si="0"/>
        <v>121.21212121212122</v>
      </c>
      <c r="F38" s="10">
        <v>12</v>
      </c>
      <c r="G38" s="11">
        <v>99</v>
      </c>
      <c r="H38" s="12"/>
    </row>
    <row r="39" spans="1:8" ht="15.75" customHeight="1">
      <c r="A39" s="7">
        <v>20204</v>
      </c>
      <c r="B39" s="8" t="s">
        <v>15</v>
      </c>
      <c r="C39" s="8" t="s">
        <v>64</v>
      </c>
      <c r="D39" s="8" t="s">
        <v>68</v>
      </c>
      <c r="E39" s="9">
        <f t="shared" si="0"/>
        <v>72.72727272727272</v>
      </c>
      <c r="F39" s="10">
        <v>8</v>
      </c>
      <c r="G39" s="11">
        <v>110</v>
      </c>
      <c r="H39" s="12"/>
    </row>
    <row r="40" spans="1:8" ht="15.75" customHeight="1">
      <c r="A40" s="7">
        <v>20205</v>
      </c>
      <c r="B40" s="8" t="s">
        <v>15</v>
      </c>
      <c r="C40" s="8" t="s">
        <v>64</v>
      </c>
      <c r="D40" s="8" t="s">
        <v>69</v>
      </c>
      <c r="E40" s="9">
        <f t="shared" si="0"/>
        <v>241.37931034482759</v>
      </c>
      <c r="F40" s="10">
        <v>14</v>
      </c>
      <c r="G40" s="11">
        <v>58</v>
      </c>
      <c r="H40" s="12"/>
    </row>
    <row r="41" spans="1:8" ht="15.75" customHeight="1">
      <c r="A41" s="7">
        <v>20206</v>
      </c>
      <c r="B41" s="8" t="s">
        <v>15</v>
      </c>
      <c r="C41" s="8" t="s">
        <v>64</v>
      </c>
      <c r="D41" s="8" t="s">
        <v>70</v>
      </c>
      <c r="E41" s="9">
        <f t="shared" si="0"/>
        <v>81.081081081081081</v>
      </c>
      <c r="F41" s="10">
        <v>6</v>
      </c>
      <c r="G41" s="11">
        <v>74</v>
      </c>
      <c r="H41" s="12"/>
    </row>
    <row r="42" spans="1:8" ht="15.75" customHeight="1">
      <c r="A42" s="7">
        <v>20301</v>
      </c>
      <c r="B42" s="8" t="s">
        <v>15</v>
      </c>
      <c r="C42" s="8" t="s">
        <v>71</v>
      </c>
      <c r="D42" s="8" t="s">
        <v>72</v>
      </c>
      <c r="E42" s="9">
        <f t="shared" si="0"/>
        <v>55.865921787709496</v>
      </c>
      <c r="F42" s="10">
        <v>10</v>
      </c>
      <c r="G42" s="11">
        <v>179</v>
      </c>
      <c r="H42" s="12"/>
    </row>
    <row r="43" spans="1:8" ht="15.75" customHeight="1">
      <c r="A43" s="7">
        <v>20302</v>
      </c>
      <c r="B43" s="8" t="s">
        <v>15</v>
      </c>
      <c r="C43" s="8" t="s">
        <v>71</v>
      </c>
      <c r="D43" s="8" t="s">
        <v>73</v>
      </c>
      <c r="E43" s="9">
        <f t="shared" si="0"/>
        <v>52</v>
      </c>
      <c r="F43" s="10">
        <v>13</v>
      </c>
      <c r="G43" s="11">
        <v>250</v>
      </c>
      <c r="H43" s="12"/>
    </row>
    <row r="44" spans="1:8" ht="15.75" customHeight="1">
      <c r="A44" s="7">
        <v>20303</v>
      </c>
      <c r="B44" s="8" t="s">
        <v>15</v>
      </c>
      <c r="C44" s="8" t="s">
        <v>71</v>
      </c>
      <c r="D44" s="8" t="s">
        <v>74</v>
      </c>
      <c r="E44" s="9">
        <f t="shared" si="0"/>
        <v>46.242774566473983</v>
      </c>
      <c r="F44" s="10">
        <v>8</v>
      </c>
      <c r="G44" s="11">
        <v>173</v>
      </c>
      <c r="H44" s="12"/>
    </row>
    <row r="45" spans="1:8" ht="15.75" customHeight="1">
      <c r="A45" s="7">
        <v>20304</v>
      </c>
      <c r="B45" s="8" t="s">
        <v>15</v>
      </c>
      <c r="C45" s="8" t="s">
        <v>71</v>
      </c>
      <c r="D45" s="8" t="s">
        <v>75</v>
      </c>
      <c r="E45" s="9">
        <f t="shared" si="0"/>
        <v>44.117647058823529</v>
      </c>
      <c r="F45" s="10">
        <v>3</v>
      </c>
      <c r="G45" s="11">
        <v>68</v>
      </c>
      <c r="H45" s="12"/>
    </row>
    <row r="46" spans="1:8" ht="15.75" customHeight="1">
      <c r="A46" s="7">
        <v>20305</v>
      </c>
      <c r="B46" s="8" t="s">
        <v>15</v>
      </c>
      <c r="C46" s="8" t="s">
        <v>71</v>
      </c>
      <c r="D46" s="8" t="s">
        <v>76</v>
      </c>
      <c r="E46" s="9">
        <f t="shared" si="0"/>
        <v>64.516129032258064</v>
      </c>
      <c r="F46" s="10">
        <v>4</v>
      </c>
      <c r="G46" s="11">
        <v>62</v>
      </c>
      <c r="H46" s="12"/>
    </row>
    <row r="47" spans="1:8" ht="15.75" customHeight="1">
      <c r="A47" s="7">
        <v>20306</v>
      </c>
      <c r="B47" s="8" t="s">
        <v>15</v>
      </c>
      <c r="C47" s="8" t="s">
        <v>71</v>
      </c>
      <c r="D47" s="8" t="s">
        <v>77</v>
      </c>
      <c r="E47" s="9">
        <f t="shared" si="0"/>
        <v>67.961165048543691</v>
      </c>
      <c r="F47" s="10">
        <v>7</v>
      </c>
      <c r="G47" s="11">
        <v>103</v>
      </c>
      <c r="H47" s="12"/>
    </row>
    <row r="48" spans="1:8" ht="15.75" customHeight="1">
      <c r="A48" s="7">
        <v>20307</v>
      </c>
      <c r="B48" s="8" t="s">
        <v>15</v>
      </c>
      <c r="C48" s="8" t="s">
        <v>71</v>
      </c>
      <c r="D48" s="8" t="s">
        <v>78</v>
      </c>
      <c r="E48" s="9">
        <f t="shared" si="0"/>
        <v>0</v>
      </c>
      <c r="F48" s="10">
        <v>0</v>
      </c>
      <c r="G48" s="11">
        <v>13</v>
      </c>
      <c r="H48" s="12"/>
    </row>
    <row r="49" spans="1:8" ht="15.75" customHeight="1">
      <c r="A49" s="7">
        <v>20308</v>
      </c>
      <c r="B49" s="8" t="s">
        <v>15</v>
      </c>
      <c r="C49" s="8" t="s">
        <v>71</v>
      </c>
      <c r="D49" s="8" t="s">
        <v>79</v>
      </c>
      <c r="E49" s="9">
        <f t="shared" si="0"/>
        <v>79.207920792079207</v>
      </c>
      <c r="F49" s="10">
        <v>8</v>
      </c>
      <c r="G49" s="11">
        <v>101</v>
      </c>
      <c r="H49" s="12"/>
    </row>
    <row r="50" spans="1:8" ht="15.75" customHeight="1">
      <c r="A50" s="7">
        <v>20401</v>
      </c>
      <c r="B50" s="8" t="s">
        <v>15</v>
      </c>
      <c r="C50" s="8" t="s">
        <v>80</v>
      </c>
      <c r="D50" s="8" t="s">
        <v>81</v>
      </c>
      <c r="E50" s="9">
        <f t="shared" si="0"/>
        <v>101.91082802547771</v>
      </c>
      <c r="F50" s="10">
        <v>16</v>
      </c>
      <c r="G50" s="11">
        <v>157</v>
      </c>
      <c r="H50" s="12"/>
    </row>
    <row r="51" spans="1:8" ht="15.75" customHeight="1">
      <c r="A51" s="7">
        <v>20402</v>
      </c>
      <c r="B51" s="8" t="s">
        <v>15</v>
      </c>
      <c r="C51" s="8" t="s">
        <v>80</v>
      </c>
      <c r="D51" s="8" t="s">
        <v>82</v>
      </c>
      <c r="E51" s="9">
        <f t="shared" si="0"/>
        <v>127.34082397003746</v>
      </c>
      <c r="F51" s="10">
        <v>34</v>
      </c>
      <c r="G51" s="11">
        <v>267</v>
      </c>
      <c r="H51" s="12"/>
    </row>
    <row r="52" spans="1:8" ht="15.75" customHeight="1">
      <c r="A52" s="7">
        <v>20403</v>
      </c>
      <c r="B52" s="8" t="s">
        <v>15</v>
      </c>
      <c r="C52" s="8" t="s">
        <v>80</v>
      </c>
      <c r="D52" s="8" t="s">
        <v>83</v>
      </c>
      <c r="E52" s="9">
        <f t="shared" si="0"/>
        <v>126.63755458515283</v>
      </c>
      <c r="F52" s="10">
        <v>29</v>
      </c>
      <c r="G52" s="11">
        <v>229</v>
      </c>
      <c r="H52" s="12"/>
    </row>
    <row r="53" spans="1:8" ht="15.75" customHeight="1">
      <c r="A53" s="7">
        <v>20404</v>
      </c>
      <c r="B53" s="8" t="s">
        <v>15</v>
      </c>
      <c r="C53" s="8" t="s">
        <v>80</v>
      </c>
      <c r="D53" s="8" t="s">
        <v>84</v>
      </c>
      <c r="E53" s="9">
        <f t="shared" si="0"/>
        <v>194.17475728155338</v>
      </c>
      <c r="F53" s="10">
        <v>20</v>
      </c>
      <c r="G53" s="11">
        <v>103</v>
      </c>
      <c r="H53" s="12"/>
    </row>
    <row r="54" spans="1:8" ht="15.75" customHeight="1">
      <c r="A54" s="7">
        <v>20405</v>
      </c>
      <c r="B54" s="8" t="s">
        <v>15</v>
      </c>
      <c r="C54" s="8" t="s">
        <v>80</v>
      </c>
      <c r="D54" s="8" t="s">
        <v>85</v>
      </c>
      <c r="E54" s="9">
        <f t="shared" si="0"/>
        <v>255.55555555555554</v>
      </c>
      <c r="F54" s="10">
        <v>23</v>
      </c>
      <c r="G54" s="11">
        <v>90</v>
      </c>
      <c r="H54" s="12"/>
    </row>
    <row r="55" spans="1:8" ht="15.75" customHeight="1">
      <c r="A55" s="7">
        <v>20501</v>
      </c>
      <c r="B55" s="8" t="s">
        <v>15</v>
      </c>
      <c r="C55" s="8" t="s">
        <v>86</v>
      </c>
      <c r="D55" s="8" t="s">
        <v>87</v>
      </c>
      <c r="E55" s="9">
        <f t="shared" si="0"/>
        <v>141.63090128755366</v>
      </c>
      <c r="F55" s="10">
        <v>33</v>
      </c>
      <c r="G55" s="11">
        <v>233</v>
      </c>
      <c r="H55" s="12"/>
    </row>
    <row r="56" spans="1:8" ht="15.75" customHeight="1">
      <c r="A56" s="7">
        <v>20502</v>
      </c>
      <c r="B56" s="8" t="s">
        <v>15</v>
      </c>
      <c r="C56" s="8" t="s">
        <v>86</v>
      </c>
      <c r="D56" s="8" t="s">
        <v>88</v>
      </c>
      <c r="E56" s="9">
        <f t="shared" si="0"/>
        <v>105.26315789473684</v>
      </c>
      <c r="F56" s="10">
        <v>22</v>
      </c>
      <c r="G56" s="11">
        <v>209</v>
      </c>
      <c r="H56" s="12"/>
    </row>
    <row r="57" spans="1:8" ht="15.75" customHeight="1">
      <c r="A57" s="7">
        <v>20503</v>
      </c>
      <c r="B57" s="8" t="s">
        <v>15</v>
      </c>
      <c r="C57" s="8" t="s">
        <v>86</v>
      </c>
      <c r="D57" s="8" t="s">
        <v>89</v>
      </c>
      <c r="E57" s="9">
        <f t="shared" si="0"/>
        <v>123.80952380952381</v>
      </c>
      <c r="F57" s="10">
        <v>13</v>
      </c>
      <c r="G57" s="11">
        <v>105</v>
      </c>
      <c r="H57" s="12"/>
    </row>
    <row r="58" spans="1:8" ht="15.75" customHeight="1">
      <c r="A58" s="7">
        <v>20601</v>
      </c>
      <c r="B58" s="8" t="s">
        <v>15</v>
      </c>
      <c r="C58" s="8" t="s">
        <v>90</v>
      </c>
      <c r="D58" s="8" t="s">
        <v>91</v>
      </c>
      <c r="E58" s="9">
        <f t="shared" si="0"/>
        <v>80.434782608695642</v>
      </c>
      <c r="F58" s="10">
        <v>37</v>
      </c>
      <c r="G58" s="11">
        <v>460</v>
      </c>
      <c r="H58" s="12"/>
    </row>
    <row r="59" spans="1:8" ht="15.75" customHeight="1">
      <c r="A59" s="7">
        <v>20602</v>
      </c>
      <c r="B59" s="8" t="s">
        <v>15</v>
      </c>
      <c r="C59" s="8" t="s">
        <v>90</v>
      </c>
      <c r="D59" s="8" t="s">
        <v>92</v>
      </c>
      <c r="E59" s="9">
        <f t="shared" si="0"/>
        <v>118.38006230529595</v>
      </c>
      <c r="F59" s="10">
        <v>38</v>
      </c>
      <c r="G59" s="11">
        <v>321</v>
      </c>
      <c r="H59" s="12"/>
    </row>
    <row r="60" spans="1:8" ht="15.75" customHeight="1">
      <c r="A60" s="7">
        <v>20603</v>
      </c>
      <c r="B60" s="8" t="s">
        <v>15</v>
      </c>
      <c r="C60" s="8" t="s">
        <v>90</v>
      </c>
      <c r="D60" s="8" t="s">
        <v>93</v>
      </c>
      <c r="E60" s="9">
        <f t="shared" si="0"/>
        <v>76.923076923076934</v>
      </c>
      <c r="F60" s="10">
        <v>14</v>
      </c>
      <c r="G60" s="11">
        <v>182</v>
      </c>
      <c r="H60" s="12"/>
    </row>
    <row r="61" spans="1:8" ht="15.75" customHeight="1">
      <c r="A61" s="7">
        <v>20604</v>
      </c>
      <c r="B61" s="8" t="s">
        <v>15</v>
      </c>
      <c r="C61" s="8" t="s">
        <v>90</v>
      </c>
      <c r="D61" s="8" t="s">
        <v>94</v>
      </c>
      <c r="E61" s="9">
        <f t="shared" si="0"/>
        <v>283.01886792452831</v>
      </c>
      <c r="F61" s="10">
        <v>15</v>
      </c>
      <c r="G61" s="11">
        <v>53</v>
      </c>
      <c r="H61" s="12"/>
    </row>
    <row r="62" spans="1:8" ht="15.75" customHeight="1">
      <c r="A62" s="7">
        <v>20605</v>
      </c>
      <c r="B62" s="8" t="s">
        <v>15</v>
      </c>
      <c r="C62" s="8" t="s">
        <v>90</v>
      </c>
      <c r="D62" s="8" t="s">
        <v>95</v>
      </c>
      <c r="E62" s="9">
        <f t="shared" si="0"/>
        <v>98.039215686274503</v>
      </c>
      <c r="F62" s="10">
        <v>5</v>
      </c>
      <c r="G62" s="11">
        <v>51</v>
      </c>
      <c r="H62" s="12"/>
    </row>
    <row r="63" spans="1:8" ht="15.75" customHeight="1">
      <c r="A63" s="7">
        <v>20606</v>
      </c>
      <c r="B63" s="8" t="s">
        <v>15</v>
      </c>
      <c r="C63" s="8" t="s">
        <v>90</v>
      </c>
      <c r="D63" s="8" t="s">
        <v>96</v>
      </c>
      <c r="E63" s="9">
        <f t="shared" si="0"/>
        <v>97.65625</v>
      </c>
      <c r="F63" s="10">
        <v>25</v>
      </c>
      <c r="G63" s="11">
        <v>256</v>
      </c>
      <c r="H63" s="12"/>
    </row>
    <row r="64" spans="1:8" ht="15.75" customHeight="1">
      <c r="A64" s="7">
        <v>20607</v>
      </c>
      <c r="B64" s="8" t="s">
        <v>15</v>
      </c>
      <c r="C64" s="8" t="s">
        <v>90</v>
      </c>
      <c r="D64" s="8" t="s">
        <v>97</v>
      </c>
      <c r="E64" s="9">
        <f t="shared" si="0"/>
        <v>72.192513368983953</v>
      </c>
      <c r="F64" s="10">
        <v>27</v>
      </c>
      <c r="G64" s="11">
        <v>374</v>
      </c>
      <c r="H64" s="12"/>
    </row>
    <row r="65" spans="1:8" ht="15.75" customHeight="1">
      <c r="A65" s="7">
        <v>20608</v>
      </c>
      <c r="B65" s="8" t="s">
        <v>15</v>
      </c>
      <c r="C65" s="8" t="s">
        <v>90</v>
      </c>
      <c r="D65" s="8" t="s">
        <v>98</v>
      </c>
      <c r="E65" s="9">
        <f t="shared" si="0"/>
        <v>88.607594936708864</v>
      </c>
      <c r="F65" s="10">
        <v>21</v>
      </c>
      <c r="G65" s="11">
        <v>237</v>
      </c>
      <c r="H65" s="12"/>
    </row>
    <row r="66" spans="1:8" ht="15.75" customHeight="1">
      <c r="A66" s="7">
        <v>20701</v>
      </c>
      <c r="B66" s="8" t="s">
        <v>15</v>
      </c>
      <c r="C66" s="8" t="s">
        <v>99</v>
      </c>
      <c r="D66" s="8" t="s">
        <v>100</v>
      </c>
      <c r="E66" s="9">
        <f t="shared" si="0"/>
        <v>108.79629629629629</v>
      </c>
      <c r="F66" s="10">
        <v>47</v>
      </c>
      <c r="G66" s="11">
        <v>432</v>
      </c>
      <c r="H66" s="12"/>
    </row>
    <row r="67" spans="1:8" ht="15.75" customHeight="1">
      <c r="A67" s="7">
        <v>20702</v>
      </c>
      <c r="B67" s="8" t="s">
        <v>15</v>
      </c>
      <c r="C67" s="8" t="s">
        <v>99</v>
      </c>
      <c r="D67" s="8" t="s">
        <v>101</v>
      </c>
      <c r="E67" s="9">
        <f t="shared" si="0"/>
        <v>83.870967741935488</v>
      </c>
      <c r="F67" s="10">
        <v>13</v>
      </c>
      <c r="G67" s="11">
        <v>155</v>
      </c>
      <c r="H67" s="12"/>
    </row>
    <row r="68" spans="1:8" ht="15.75" customHeight="1">
      <c r="A68" s="7">
        <v>20801</v>
      </c>
      <c r="B68" s="8" t="s">
        <v>15</v>
      </c>
      <c r="C68" s="8" t="s">
        <v>102</v>
      </c>
      <c r="D68" s="8" t="s">
        <v>103</v>
      </c>
      <c r="E68" s="9">
        <f t="shared" si="0"/>
        <v>70.415133998949031</v>
      </c>
      <c r="F68" s="10">
        <v>134</v>
      </c>
      <c r="G68" s="11">
        <v>1903</v>
      </c>
      <c r="H68" s="12"/>
    </row>
    <row r="69" spans="1:8" ht="15.75" customHeight="1">
      <c r="A69" s="7">
        <v>20802</v>
      </c>
      <c r="B69" s="8" t="s">
        <v>15</v>
      </c>
      <c r="C69" s="8" t="s">
        <v>102</v>
      </c>
      <c r="D69" s="8" t="s">
        <v>104</v>
      </c>
      <c r="E69" s="9">
        <f t="shared" si="0"/>
        <v>90.909090909090907</v>
      </c>
      <c r="F69" s="10">
        <v>10</v>
      </c>
      <c r="G69" s="11">
        <v>110</v>
      </c>
      <c r="H69" s="12"/>
    </row>
    <row r="70" spans="1:8" ht="15.75" customHeight="1">
      <c r="A70" s="7">
        <v>20803</v>
      </c>
      <c r="B70" s="8" t="s">
        <v>15</v>
      </c>
      <c r="C70" s="8" t="s">
        <v>102</v>
      </c>
      <c r="D70" s="8" t="s">
        <v>105</v>
      </c>
      <c r="E70" s="9">
        <f t="shared" si="0"/>
        <v>85.106382978723403</v>
      </c>
      <c r="F70" s="10">
        <v>20</v>
      </c>
      <c r="G70" s="11">
        <v>235</v>
      </c>
      <c r="H70" s="12"/>
    </row>
    <row r="71" spans="1:8" ht="15.75" customHeight="1">
      <c r="A71" s="7">
        <v>20804</v>
      </c>
      <c r="B71" s="8" t="s">
        <v>15</v>
      </c>
      <c r="C71" s="8" t="s">
        <v>102</v>
      </c>
      <c r="D71" s="8" t="s">
        <v>106</v>
      </c>
      <c r="E71" s="9">
        <f t="shared" si="0"/>
        <v>53.691275167785236</v>
      </c>
      <c r="F71" s="10">
        <v>8</v>
      </c>
      <c r="G71" s="11">
        <v>149</v>
      </c>
      <c r="H71" s="12"/>
    </row>
    <row r="72" spans="1:8" ht="15.75" customHeight="1">
      <c r="A72" s="7">
        <v>20805</v>
      </c>
      <c r="B72" s="8" t="s">
        <v>15</v>
      </c>
      <c r="C72" s="8" t="s">
        <v>102</v>
      </c>
      <c r="D72" s="8" t="s">
        <v>107</v>
      </c>
      <c r="E72" s="9">
        <f t="shared" si="0"/>
        <v>52.631578947368418</v>
      </c>
      <c r="F72" s="10">
        <v>4</v>
      </c>
      <c r="G72" s="11">
        <v>76</v>
      </c>
      <c r="H72" s="12"/>
    </row>
    <row r="73" spans="1:8" ht="15.75" customHeight="1">
      <c r="A73" s="7">
        <v>20806</v>
      </c>
      <c r="B73" s="8" t="s">
        <v>15</v>
      </c>
      <c r="C73" s="8" t="s">
        <v>102</v>
      </c>
      <c r="D73" s="8" t="s">
        <v>108</v>
      </c>
      <c r="E73" s="9">
        <f t="shared" si="0"/>
        <v>73.913043478260875</v>
      </c>
      <c r="F73" s="10">
        <v>17</v>
      </c>
      <c r="G73" s="11">
        <v>230</v>
      </c>
      <c r="H73" s="12"/>
    </row>
    <row r="74" spans="1:8" ht="15.75" customHeight="1">
      <c r="A74" s="7">
        <v>20807</v>
      </c>
      <c r="B74" s="8" t="s">
        <v>15</v>
      </c>
      <c r="C74" s="8" t="s">
        <v>102</v>
      </c>
      <c r="D74" s="8" t="s">
        <v>109</v>
      </c>
      <c r="E74" s="9">
        <f t="shared" si="0"/>
        <v>68.965517241379303</v>
      </c>
      <c r="F74" s="10">
        <v>6</v>
      </c>
      <c r="G74" s="11">
        <v>87</v>
      </c>
      <c r="H74" s="12"/>
    </row>
    <row r="75" spans="1:8" ht="15.75" customHeight="1">
      <c r="A75" s="7">
        <v>20901</v>
      </c>
      <c r="B75" s="8" t="s">
        <v>15</v>
      </c>
      <c r="C75" s="8" t="s">
        <v>110</v>
      </c>
      <c r="D75" s="8" t="s">
        <v>111</v>
      </c>
      <c r="E75" s="9">
        <f t="shared" si="0"/>
        <v>102.94117647058823</v>
      </c>
      <c r="F75" s="10">
        <v>21</v>
      </c>
      <c r="G75" s="11">
        <v>204</v>
      </c>
      <c r="H75" s="12"/>
    </row>
    <row r="76" spans="1:8" ht="15.75" customHeight="1">
      <c r="A76" s="7">
        <v>20902</v>
      </c>
      <c r="B76" s="8" t="s">
        <v>15</v>
      </c>
      <c r="C76" s="8" t="s">
        <v>110</v>
      </c>
      <c r="D76" s="8" t="s">
        <v>112</v>
      </c>
      <c r="E76" s="9">
        <f t="shared" si="0"/>
        <v>82.608695652173907</v>
      </c>
      <c r="F76" s="10">
        <v>19</v>
      </c>
      <c r="G76" s="11">
        <v>230</v>
      </c>
      <c r="H76" s="12"/>
    </row>
    <row r="77" spans="1:8" ht="15.75" customHeight="1">
      <c r="A77" s="7">
        <v>20903</v>
      </c>
      <c r="B77" s="8" t="s">
        <v>15</v>
      </c>
      <c r="C77" s="8" t="s">
        <v>110</v>
      </c>
      <c r="D77" s="8" t="s">
        <v>113</v>
      </c>
      <c r="E77" s="9">
        <f t="shared" si="0"/>
        <v>94.20289855072464</v>
      </c>
      <c r="F77" s="10">
        <v>13</v>
      </c>
      <c r="G77" s="11">
        <v>138</v>
      </c>
      <c r="H77" s="12"/>
    </row>
    <row r="78" spans="1:8" ht="15.75" customHeight="1">
      <c r="A78" s="7">
        <v>20904</v>
      </c>
      <c r="B78" s="8" t="s">
        <v>15</v>
      </c>
      <c r="C78" s="8" t="s">
        <v>110</v>
      </c>
      <c r="D78" s="8" t="s">
        <v>114</v>
      </c>
      <c r="E78" s="9">
        <f t="shared" si="0"/>
        <v>90.909090909090907</v>
      </c>
      <c r="F78" s="10">
        <v>8</v>
      </c>
      <c r="G78" s="11">
        <v>88</v>
      </c>
      <c r="H78" s="12"/>
    </row>
    <row r="79" spans="1:8" ht="15.75" customHeight="1">
      <c r="A79" s="7">
        <v>20905</v>
      </c>
      <c r="B79" s="8" t="s">
        <v>15</v>
      </c>
      <c r="C79" s="8" t="s">
        <v>110</v>
      </c>
      <c r="D79" s="8" t="s">
        <v>115</v>
      </c>
      <c r="E79" s="9">
        <f t="shared" si="0"/>
        <v>106.12244897959184</v>
      </c>
      <c r="F79" s="10">
        <v>26</v>
      </c>
      <c r="G79" s="11">
        <v>245</v>
      </c>
      <c r="H79" s="12"/>
    </row>
    <row r="80" spans="1:8" ht="15.75" customHeight="1">
      <c r="A80" s="7">
        <v>21001</v>
      </c>
      <c r="B80" s="8" t="s">
        <v>15</v>
      </c>
      <c r="C80" s="8" t="s">
        <v>116</v>
      </c>
      <c r="D80" s="8" t="s">
        <v>116</v>
      </c>
      <c r="E80" s="9">
        <f t="shared" si="0"/>
        <v>67.901234567901227</v>
      </c>
      <c r="F80" s="10">
        <v>22</v>
      </c>
      <c r="G80" s="11">
        <v>324</v>
      </c>
      <c r="H80" s="12"/>
    </row>
    <row r="81" spans="1:8" ht="15.75" customHeight="1">
      <c r="A81" s="7">
        <v>21002</v>
      </c>
      <c r="B81" s="8" t="s">
        <v>15</v>
      </c>
      <c r="C81" s="8" t="s">
        <v>116</v>
      </c>
      <c r="D81" s="8" t="s">
        <v>117</v>
      </c>
      <c r="E81" s="9">
        <f t="shared" si="0"/>
        <v>109.89010989010988</v>
      </c>
      <c r="F81" s="10">
        <v>20</v>
      </c>
      <c r="G81" s="11">
        <v>182</v>
      </c>
      <c r="H81" s="12"/>
    </row>
    <row r="82" spans="1:8" ht="15.75" customHeight="1">
      <c r="A82" s="7">
        <v>21003</v>
      </c>
      <c r="B82" s="8" t="s">
        <v>15</v>
      </c>
      <c r="C82" s="8" t="s">
        <v>116</v>
      </c>
      <c r="D82" s="8" t="s">
        <v>118</v>
      </c>
      <c r="E82" s="9">
        <f t="shared" si="0"/>
        <v>99.099099099099107</v>
      </c>
      <c r="F82" s="10">
        <v>22</v>
      </c>
      <c r="G82" s="11">
        <v>222</v>
      </c>
      <c r="H82" s="12"/>
    </row>
    <row r="83" spans="1:8" ht="15.75" customHeight="1">
      <c r="A83" s="7">
        <v>21004</v>
      </c>
      <c r="B83" s="8" t="s">
        <v>15</v>
      </c>
      <c r="C83" s="8" t="s">
        <v>116</v>
      </c>
      <c r="D83" s="8" t="s">
        <v>119</v>
      </c>
      <c r="E83" s="9">
        <f t="shared" si="0"/>
        <v>93.073593073593074</v>
      </c>
      <c r="F83" s="10">
        <v>43</v>
      </c>
      <c r="G83" s="11">
        <v>462</v>
      </c>
      <c r="H83" s="12"/>
    </row>
    <row r="84" spans="1:8" ht="15.75" customHeight="1">
      <c r="A84" s="7">
        <v>21005</v>
      </c>
      <c r="B84" s="8" t="s">
        <v>15</v>
      </c>
      <c r="C84" s="8" t="s">
        <v>116</v>
      </c>
      <c r="D84" s="8" t="s">
        <v>120</v>
      </c>
      <c r="E84" s="9">
        <f t="shared" si="0"/>
        <v>67.114093959731548</v>
      </c>
      <c r="F84" s="10">
        <v>10</v>
      </c>
      <c r="G84" s="11">
        <v>149</v>
      </c>
      <c r="H84" s="12"/>
    </row>
    <row r="85" spans="1:8" ht="15.75" customHeight="1">
      <c r="A85" s="7">
        <v>21006</v>
      </c>
      <c r="B85" s="8" t="s">
        <v>15</v>
      </c>
      <c r="C85" s="8" t="s">
        <v>116</v>
      </c>
      <c r="D85" s="8" t="s">
        <v>121</v>
      </c>
      <c r="E85" s="9">
        <f t="shared" si="0"/>
        <v>24.390243902439025</v>
      </c>
      <c r="F85" s="10">
        <v>2</v>
      </c>
      <c r="G85" s="11">
        <v>82</v>
      </c>
      <c r="H85" s="12"/>
    </row>
    <row r="86" spans="1:8" ht="15.75" customHeight="1">
      <c r="A86" s="7">
        <v>21101</v>
      </c>
      <c r="B86" s="8" t="s">
        <v>15</v>
      </c>
      <c r="C86" s="8" t="s">
        <v>122</v>
      </c>
      <c r="D86" s="8" t="s">
        <v>123</v>
      </c>
      <c r="E86" s="9">
        <f t="shared" si="0"/>
        <v>65.340909090909093</v>
      </c>
      <c r="F86" s="10">
        <v>23</v>
      </c>
      <c r="G86" s="11">
        <v>352</v>
      </c>
      <c r="H86" s="12"/>
    </row>
    <row r="87" spans="1:8" ht="15.75" customHeight="1">
      <c r="A87" s="7">
        <v>21102</v>
      </c>
      <c r="B87" s="8" t="s">
        <v>15</v>
      </c>
      <c r="C87" s="8" t="s">
        <v>122</v>
      </c>
      <c r="D87" s="8" t="s">
        <v>124</v>
      </c>
      <c r="E87" s="9">
        <f t="shared" si="0"/>
        <v>53.475935828877006</v>
      </c>
      <c r="F87" s="10">
        <v>20</v>
      </c>
      <c r="G87" s="11">
        <v>374</v>
      </c>
      <c r="H87" s="12"/>
    </row>
    <row r="88" spans="1:8" ht="15.75" customHeight="1">
      <c r="A88" s="7">
        <v>21103</v>
      </c>
      <c r="B88" s="8" t="s">
        <v>15</v>
      </c>
      <c r="C88" s="8" t="s">
        <v>122</v>
      </c>
      <c r="D88" s="8" t="s">
        <v>125</v>
      </c>
      <c r="E88" s="9">
        <f t="shared" si="0"/>
        <v>61.643835616438352</v>
      </c>
      <c r="F88" s="10">
        <v>9</v>
      </c>
      <c r="G88" s="11">
        <v>146</v>
      </c>
      <c r="H88" s="12"/>
    </row>
    <row r="89" spans="1:8" ht="15.75" customHeight="1">
      <c r="A89" s="7">
        <v>21104</v>
      </c>
      <c r="B89" s="8" t="s">
        <v>15</v>
      </c>
      <c r="C89" s="8" t="s">
        <v>122</v>
      </c>
      <c r="D89" s="8" t="s">
        <v>126</v>
      </c>
      <c r="E89" s="9">
        <f t="shared" si="0"/>
        <v>97.072419106317412</v>
      </c>
      <c r="F89" s="10">
        <v>63</v>
      </c>
      <c r="G89" s="11">
        <v>649</v>
      </c>
      <c r="H89" s="12"/>
    </row>
    <row r="90" spans="1:8" ht="15.75" customHeight="1">
      <c r="A90" s="7">
        <v>21105</v>
      </c>
      <c r="B90" s="8" t="s">
        <v>15</v>
      </c>
      <c r="C90" s="8" t="s">
        <v>122</v>
      </c>
      <c r="D90" s="8" t="s">
        <v>127</v>
      </c>
      <c r="E90" s="9">
        <f t="shared" si="0"/>
        <v>72.041166380789022</v>
      </c>
      <c r="F90" s="10">
        <v>84</v>
      </c>
      <c r="G90" s="11">
        <v>1166</v>
      </c>
      <c r="H90" s="12"/>
    </row>
    <row r="91" spans="1:8" ht="15.75" customHeight="1">
      <c r="A91" s="7">
        <v>21201</v>
      </c>
      <c r="B91" s="8" t="s">
        <v>15</v>
      </c>
      <c r="C91" s="8" t="s">
        <v>128</v>
      </c>
      <c r="D91" s="8" t="s">
        <v>129</v>
      </c>
      <c r="E91" s="9">
        <f t="shared" si="0"/>
        <v>134.58262350936968</v>
      </c>
      <c r="F91" s="10">
        <v>79</v>
      </c>
      <c r="G91" s="11">
        <v>587</v>
      </c>
      <c r="H91" s="12"/>
    </row>
    <row r="92" spans="1:8" ht="15.75" customHeight="1">
      <c r="A92" s="7">
        <v>21202</v>
      </c>
      <c r="B92" s="8" t="s">
        <v>15</v>
      </c>
      <c r="C92" s="8" t="s">
        <v>128</v>
      </c>
      <c r="D92" s="8" t="s">
        <v>130</v>
      </c>
      <c r="E92" s="9">
        <f t="shared" si="0"/>
        <v>88.300220750551887</v>
      </c>
      <c r="F92" s="10">
        <v>40</v>
      </c>
      <c r="G92" s="11">
        <v>453</v>
      </c>
      <c r="H92" s="12"/>
    </row>
    <row r="93" spans="1:8" ht="15.75" customHeight="1">
      <c r="A93" s="7">
        <v>21203</v>
      </c>
      <c r="B93" s="8" t="s">
        <v>15</v>
      </c>
      <c r="C93" s="8" t="s">
        <v>128</v>
      </c>
      <c r="D93" s="8" t="s">
        <v>131</v>
      </c>
      <c r="E93" s="9">
        <f t="shared" si="0"/>
        <v>46.979865771812079</v>
      </c>
      <c r="F93" s="10">
        <v>14</v>
      </c>
      <c r="G93" s="11">
        <v>298</v>
      </c>
      <c r="H93" s="12"/>
    </row>
    <row r="94" spans="1:8" ht="15.75" customHeight="1">
      <c r="A94" s="7">
        <v>21204</v>
      </c>
      <c r="B94" s="8" t="s">
        <v>15</v>
      </c>
      <c r="C94" s="8" t="s">
        <v>128</v>
      </c>
      <c r="D94" s="8" t="s">
        <v>132</v>
      </c>
      <c r="E94" s="9">
        <f t="shared" si="0"/>
        <v>155.55555555555557</v>
      </c>
      <c r="F94" s="10">
        <v>14</v>
      </c>
      <c r="G94" s="11">
        <v>90</v>
      </c>
      <c r="H94" s="12"/>
    </row>
    <row r="95" spans="1:8" ht="15.75" customHeight="1">
      <c r="A95" s="7">
        <v>21301</v>
      </c>
      <c r="B95" s="8" t="s">
        <v>15</v>
      </c>
      <c r="C95" s="8" t="s">
        <v>133</v>
      </c>
      <c r="D95" s="8" t="s">
        <v>134</v>
      </c>
      <c r="E95" s="9">
        <f t="shared" si="0"/>
        <v>77.310924369747909</v>
      </c>
      <c r="F95" s="10">
        <v>46</v>
      </c>
      <c r="G95" s="11">
        <v>595</v>
      </c>
      <c r="H95" s="12"/>
    </row>
    <row r="96" spans="1:8" ht="15.75" customHeight="1">
      <c r="A96" s="7">
        <v>21302</v>
      </c>
      <c r="B96" s="8" t="s">
        <v>15</v>
      </c>
      <c r="C96" s="8" t="s">
        <v>133</v>
      </c>
      <c r="D96" s="8" t="s">
        <v>135</v>
      </c>
      <c r="E96" s="9">
        <f t="shared" si="0"/>
        <v>94.936708860759495</v>
      </c>
      <c r="F96" s="10">
        <v>15</v>
      </c>
      <c r="G96" s="11">
        <v>158</v>
      </c>
      <c r="H96" s="12"/>
    </row>
    <row r="97" spans="1:8" ht="15.75" customHeight="1">
      <c r="A97" s="7">
        <v>21303</v>
      </c>
      <c r="B97" s="8" t="s">
        <v>15</v>
      </c>
      <c r="C97" s="8" t="s">
        <v>133</v>
      </c>
      <c r="D97" s="8" t="s">
        <v>136</v>
      </c>
      <c r="E97" s="9">
        <f t="shared" si="0"/>
        <v>50.561797752808985</v>
      </c>
      <c r="F97" s="10">
        <v>9</v>
      </c>
      <c r="G97" s="11">
        <v>178</v>
      </c>
      <c r="H97" s="12"/>
    </row>
    <row r="98" spans="1:8" ht="15.75" customHeight="1">
      <c r="A98" s="7">
        <v>21304</v>
      </c>
      <c r="B98" s="8" t="s">
        <v>15</v>
      </c>
      <c r="C98" s="8" t="s">
        <v>133</v>
      </c>
      <c r="D98" s="8" t="s">
        <v>137</v>
      </c>
      <c r="E98" s="9">
        <f t="shared" si="0"/>
        <v>85.585585585585591</v>
      </c>
      <c r="F98" s="10">
        <v>19</v>
      </c>
      <c r="G98" s="11">
        <v>222</v>
      </c>
      <c r="H98" s="12"/>
    </row>
    <row r="99" spans="1:8" ht="15.75" customHeight="1">
      <c r="A99" s="7">
        <v>21305</v>
      </c>
      <c r="B99" s="8" t="s">
        <v>15</v>
      </c>
      <c r="C99" s="8" t="s">
        <v>133</v>
      </c>
      <c r="D99" s="8" t="s">
        <v>138</v>
      </c>
      <c r="E99" s="9">
        <f t="shared" si="0"/>
        <v>53.191489361702125</v>
      </c>
      <c r="F99" s="10">
        <v>25</v>
      </c>
      <c r="G99" s="11">
        <v>470</v>
      </c>
      <c r="H99" s="12"/>
    </row>
    <row r="100" spans="1:8" ht="15.75" customHeight="1">
      <c r="A100" s="7">
        <v>21306</v>
      </c>
      <c r="B100" s="8" t="s">
        <v>15</v>
      </c>
      <c r="C100" s="8" t="s">
        <v>133</v>
      </c>
      <c r="D100" s="8" t="s">
        <v>139</v>
      </c>
      <c r="E100" s="9">
        <f t="shared" si="0"/>
        <v>50.847457627118651</v>
      </c>
      <c r="F100" s="10">
        <v>12</v>
      </c>
      <c r="G100" s="11">
        <v>236</v>
      </c>
      <c r="H100" s="12"/>
    </row>
    <row r="101" spans="1:8" ht="15.75" customHeight="1">
      <c r="A101" s="7">
        <v>21307</v>
      </c>
      <c r="B101" s="8" t="s">
        <v>15</v>
      </c>
      <c r="C101" s="8" t="s">
        <v>133</v>
      </c>
      <c r="D101" s="8" t="s">
        <v>140</v>
      </c>
      <c r="E101" s="9">
        <f t="shared" si="0"/>
        <v>22.471910112359549</v>
      </c>
      <c r="F101" s="10">
        <v>2</v>
      </c>
      <c r="G101" s="11">
        <v>89</v>
      </c>
      <c r="H101" s="12"/>
    </row>
    <row r="102" spans="1:8" ht="15.75" customHeight="1">
      <c r="A102" s="7">
        <v>21401</v>
      </c>
      <c r="B102" s="8" t="s">
        <v>15</v>
      </c>
      <c r="C102" s="8" t="s">
        <v>141</v>
      </c>
      <c r="D102" s="8" t="s">
        <v>142</v>
      </c>
      <c r="E102" s="9">
        <f t="shared" si="0"/>
        <v>64.516129032258064</v>
      </c>
      <c r="F102" s="10">
        <v>24</v>
      </c>
      <c r="G102" s="11">
        <v>372</v>
      </c>
      <c r="H102" s="12"/>
    </row>
    <row r="103" spans="1:8" ht="15.75" customHeight="1">
      <c r="A103" s="7">
        <v>21402</v>
      </c>
      <c r="B103" s="8" t="s">
        <v>15</v>
      </c>
      <c r="C103" s="8" t="s">
        <v>141</v>
      </c>
      <c r="D103" s="8" t="s">
        <v>143</v>
      </c>
      <c r="E103" s="9">
        <f t="shared" si="0"/>
        <v>49.04632152588556</v>
      </c>
      <c r="F103" s="10">
        <v>18</v>
      </c>
      <c r="G103" s="11">
        <v>367</v>
      </c>
      <c r="H103" s="12"/>
    </row>
    <row r="104" spans="1:8" ht="15.75" customHeight="1">
      <c r="A104" s="7">
        <v>21501</v>
      </c>
      <c r="B104" s="8" t="s">
        <v>15</v>
      </c>
      <c r="C104" s="8" t="s">
        <v>144</v>
      </c>
      <c r="D104" s="8" t="s">
        <v>145</v>
      </c>
      <c r="E104" s="9">
        <f t="shared" si="0"/>
        <v>38.732394366197177</v>
      </c>
      <c r="F104" s="10">
        <v>11</v>
      </c>
      <c r="G104" s="11">
        <v>284</v>
      </c>
      <c r="H104" s="12"/>
    </row>
    <row r="105" spans="1:8" ht="15.75" customHeight="1">
      <c r="A105" s="7">
        <v>21502</v>
      </c>
      <c r="B105" s="8" t="s">
        <v>15</v>
      </c>
      <c r="C105" s="8" t="s">
        <v>144</v>
      </c>
      <c r="D105" s="8" t="s">
        <v>146</v>
      </c>
      <c r="E105" s="9">
        <f t="shared" si="0"/>
        <v>68.273092369477908</v>
      </c>
      <c r="F105" s="10">
        <v>17</v>
      </c>
      <c r="G105" s="11">
        <v>249</v>
      </c>
      <c r="H105" s="12"/>
    </row>
    <row r="106" spans="1:8" ht="15.75" customHeight="1">
      <c r="A106" s="7">
        <v>21601</v>
      </c>
      <c r="B106" s="8" t="s">
        <v>15</v>
      </c>
      <c r="C106" s="8" t="s">
        <v>147</v>
      </c>
      <c r="D106" s="8" t="s">
        <v>148</v>
      </c>
      <c r="E106" s="9">
        <f t="shared" si="0"/>
        <v>51.194539249146757</v>
      </c>
      <c r="F106" s="10">
        <v>15</v>
      </c>
      <c r="G106" s="11">
        <v>293</v>
      </c>
      <c r="H106" s="12"/>
    </row>
    <row r="107" spans="1:8" ht="15.75" customHeight="1">
      <c r="A107" s="7">
        <v>21602</v>
      </c>
      <c r="B107" s="8" t="s">
        <v>15</v>
      </c>
      <c r="C107" s="8" t="s">
        <v>147</v>
      </c>
      <c r="D107" s="8" t="s">
        <v>149</v>
      </c>
      <c r="E107" s="9">
        <f t="shared" si="0"/>
        <v>57.142857142857139</v>
      </c>
      <c r="F107" s="10">
        <v>4</v>
      </c>
      <c r="G107" s="11">
        <v>70</v>
      </c>
      <c r="H107" s="12"/>
    </row>
    <row r="108" spans="1:8" ht="15.75" customHeight="1">
      <c r="A108" s="7">
        <v>21701</v>
      </c>
      <c r="B108" s="8" t="s">
        <v>15</v>
      </c>
      <c r="C108" s="8" t="s">
        <v>150</v>
      </c>
      <c r="D108" s="8" t="s">
        <v>151</v>
      </c>
      <c r="E108" s="9">
        <f t="shared" si="0"/>
        <v>68.702290076335885</v>
      </c>
      <c r="F108" s="10">
        <v>18</v>
      </c>
      <c r="G108" s="11">
        <v>262</v>
      </c>
      <c r="H108" s="12"/>
    </row>
    <row r="109" spans="1:8" ht="15.75" customHeight="1">
      <c r="A109" s="7">
        <v>21702</v>
      </c>
      <c r="B109" s="8" t="s">
        <v>15</v>
      </c>
      <c r="C109" s="8" t="s">
        <v>150</v>
      </c>
      <c r="D109" s="8" t="s">
        <v>152</v>
      </c>
      <c r="E109" s="9">
        <f t="shared" si="0"/>
        <v>44.117647058823529</v>
      </c>
      <c r="F109" s="10">
        <v>3</v>
      </c>
      <c r="G109" s="11">
        <v>68</v>
      </c>
      <c r="H109" s="12"/>
    </row>
    <row r="110" spans="1:8" ht="15.75" customHeight="1">
      <c r="A110" s="7">
        <v>21703</v>
      </c>
      <c r="B110" s="8" t="s">
        <v>15</v>
      </c>
      <c r="C110" s="8" t="s">
        <v>150</v>
      </c>
      <c r="D110" s="8" t="s">
        <v>153</v>
      </c>
      <c r="E110" s="9">
        <f t="shared" si="0"/>
        <v>101.6949152542373</v>
      </c>
      <c r="F110" s="10">
        <v>6</v>
      </c>
      <c r="G110" s="11">
        <v>59</v>
      </c>
      <c r="H110" s="12"/>
    </row>
    <row r="111" spans="1:8" ht="15.75" customHeight="1">
      <c r="A111" s="7">
        <v>21801</v>
      </c>
      <c r="B111" s="8" t="s">
        <v>15</v>
      </c>
      <c r="C111" s="8" t="s">
        <v>154</v>
      </c>
      <c r="D111" s="8" t="s">
        <v>155</v>
      </c>
      <c r="E111" s="9">
        <f t="shared" si="0"/>
        <v>57.692307692307693</v>
      </c>
      <c r="F111" s="10">
        <v>9</v>
      </c>
      <c r="G111" s="11">
        <v>156</v>
      </c>
      <c r="H111" s="12"/>
    </row>
    <row r="112" spans="1:8" ht="15.75" customHeight="1">
      <c r="A112" s="7">
        <v>21802</v>
      </c>
      <c r="B112" s="8" t="s">
        <v>15</v>
      </c>
      <c r="C112" s="8" t="s">
        <v>156</v>
      </c>
      <c r="D112" s="8" t="s">
        <v>157</v>
      </c>
      <c r="E112" s="9">
        <f t="shared" si="0"/>
        <v>33.898305084745765</v>
      </c>
      <c r="F112" s="10">
        <v>4</v>
      </c>
      <c r="G112" s="11">
        <v>118</v>
      </c>
      <c r="H112" s="12"/>
    </row>
    <row r="113" spans="1:8" ht="15.75" customHeight="1">
      <c r="A113" s="7">
        <v>21803</v>
      </c>
      <c r="B113" s="8" t="s">
        <v>15</v>
      </c>
      <c r="C113" s="8" t="s">
        <v>156</v>
      </c>
      <c r="D113" s="8" t="s">
        <v>158</v>
      </c>
      <c r="E113" s="9">
        <f t="shared" si="0"/>
        <v>185.18518518518516</v>
      </c>
      <c r="F113" s="10">
        <v>5</v>
      </c>
      <c r="G113" s="11">
        <v>27</v>
      </c>
      <c r="H113" s="12"/>
    </row>
    <row r="114" spans="1:8" ht="15.75" customHeight="1">
      <c r="A114" s="7">
        <v>21901</v>
      </c>
      <c r="B114" s="8" t="s">
        <v>15</v>
      </c>
      <c r="C114" s="8" t="s">
        <v>159</v>
      </c>
      <c r="D114" s="8" t="s">
        <v>160</v>
      </c>
      <c r="E114" s="9">
        <f t="shared" si="0"/>
        <v>48.387096774193544</v>
      </c>
      <c r="F114" s="10">
        <v>3</v>
      </c>
      <c r="G114" s="11">
        <v>62</v>
      </c>
      <c r="H114" s="12"/>
    </row>
    <row r="115" spans="1:8" ht="15.75" customHeight="1">
      <c r="A115" s="7">
        <v>21902</v>
      </c>
      <c r="B115" s="8" t="s">
        <v>15</v>
      </c>
      <c r="C115" s="8" t="s">
        <v>159</v>
      </c>
      <c r="D115" s="8" t="s">
        <v>161</v>
      </c>
      <c r="E115" s="9">
        <f t="shared" si="0"/>
        <v>0</v>
      </c>
      <c r="F115" s="10">
        <v>0</v>
      </c>
      <c r="G115" s="11">
        <v>56</v>
      </c>
      <c r="H115" s="12"/>
    </row>
    <row r="116" spans="1:8" ht="15.75" customHeight="1">
      <c r="A116" s="7">
        <v>22001</v>
      </c>
      <c r="B116" s="8" t="s">
        <v>15</v>
      </c>
      <c r="C116" s="8" t="s">
        <v>162</v>
      </c>
      <c r="D116" s="8" t="s">
        <v>162</v>
      </c>
      <c r="E116" s="9">
        <f t="shared" si="0"/>
        <v>82.629107981220656</v>
      </c>
      <c r="F116" s="10">
        <v>88</v>
      </c>
      <c r="G116" s="11">
        <v>1065</v>
      </c>
      <c r="H116" s="12"/>
    </row>
    <row r="117" spans="1:8" ht="15.75" customHeight="1">
      <c r="A117" s="7">
        <v>22002</v>
      </c>
      <c r="B117" s="8" t="s">
        <v>15</v>
      </c>
      <c r="C117" s="8" t="s">
        <v>162</v>
      </c>
      <c r="D117" s="8" t="s">
        <v>163</v>
      </c>
      <c r="E117" s="9">
        <f t="shared" si="0"/>
        <v>87.837837837837839</v>
      </c>
      <c r="F117" s="10">
        <v>26</v>
      </c>
      <c r="G117" s="11">
        <v>296</v>
      </c>
      <c r="H117" s="12"/>
    </row>
    <row r="118" spans="1:8" ht="15.75" customHeight="1">
      <c r="A118" s="7">
        <v>30101</v>
      </c>
      <c r="B118" s="8" t="s">
        <v>17</v>
      </c>
      <c r="C118" s="8" t="s">
        <v>164</v>
      </c>
      <c r="D118" s="8" t="s">
        <v>17</v>
      </c>
      <c r="E118" s="9">
        <f t="shared" si="0"/>
        <v>46.754675467546754</v>
      </c>
      <c r="F118" s="10">
        <v>595</v>
      </c>
      <c r="G118" s="11">
        <v>12726</v>
      </c>
      <c r="H118" s="12"/>
    </row>
    <row r="119" spans="1:8" ht="15.75" customHeight="1">
      <c r="A119" s="7">
        <v>30201</v>
      </c>
      <c r="B119" s="8" t="s">
        <v>17</v>
      </c>
      <c r="C119" s="8" t="s">
        <v>165</v>
      </c>
      <c r="D119" s="8" t="s">
        <v>166</v>
      </c>
      <c r="E119" s="9">
        <f t="shared" si="0"/>
        <v>67.901234567901227</v>
      </c>
      <c r="F119" s="10">
        <v>33</v>
      </c>
      <c r="G119" s="11">
        <v>486</v>
      </c>
      <c r="H119" s="12"/>
    </row>
    <row r="120" spans="1:8" ht="15.75" customHeight="1">
      <c r="A120" s="7">
        <v>30202</v>
      </c>
      <c r="B120" s="8" t="s">
        <v>17</v>
      </c>
      <c r="C120" s="8" t="s">
        <v>165</v>
      </c>
      <c r="D120" s="8" t="s">
        <v>167</v>
      </c>
      <c r="E120" s="9">
        <f t="shared" si="0"/>
        <v>9.0090090090090094</v>
      </c>
      <c r="F120" s="10">
        <v>1</v>
      </c>
      <c r="G120" s="11">
        <v>111</v>
      </c>
      <c r="H120" s="12"/>
    </row>
    <row r="121" spans="1:8" ht="15.75" customHeight="1">
      <c r="A121" s="7">
        <v>30203</v>
      </c>
      <c r="B121" s="8" t="s">
        <v>17</v>
      </c>
      <c r="C121" s="8" t="s">
        <v>165</v>
      </c>
      <c r="D121" s="8" t="s">
        <v>168</v>
      </c>
      <c r="E121" s="9">
        <f t="shared" si="0"/>
        <v>45.112781954887218</v>
      </c>
      <c r="F121" s="10">
        <v>6</v>
      </c>
      <c r="G121" s="11">
        <v>133</v>
      </c>
      <c r="H121" s="12"/>
    </row>
    <row r="122" spans="1:8" ht="15.75" customHeight="1">
      <c r="A122" s="7">
        <v>30301</v>
      </c>
      <c r="B122" s="8" t="s">
        <v>17</v>
      </c>
      <c r="C122" s="8" t="s">
        <v>169</v>
      </c>
      <c r="D122" s="8" t="s">
        <v>170</v>
      </c>
      <c r="E122" s="9">
        <f t="shared" si="0"/>
        <v>94.01709401709401</v>
      </c>
      <c r="F122" s="10">
        <v>55</v>
      </c>
      <c r="G122" s="11">
        <v>585</v>
      </c>
      <c r="H122" s="12"/>
    </row>
    <row r="123" spans="1:8" ht="15.75" customHeight="1">
      <c r="A123" s="7">
        <v>30302</v>
      </c>
      <c r="B123" s="8" t="s">
        <v>17</v>
      </c>
      <c r="C123" s="8" t="s">
        <v>169</v>
      </c>
      <c r="D123" s="8" t="s">
        <v>171</v>
      </c>
      <c r="E123" s="9">
        <f t="shared" si="0"/>
        <v>135.92233009708738</v>
      </c>
      <c r="F123" s="10">
        <v>42</v>
      </c>
      <c r="G123" s="11">
        <v>309</v>
      </c>
      <c r="H123" s="12"/>
    </row>
    <row r="124" spans="1:8" ht="15.75" customHeight="1">
      <c r="A124" s="7">
        <v>30303</v>
      </c>
      <c r="B124" s="8" t="s">
        <v>17</v>
      </c>
      <c r="C124" s="8" t="s">
        <v>169</v>
      </c>
      <c r="D124" s="8" t="s">
        <v>172</v>
      </c>
      <c r="E124" s="9">
        <f t="shared" si="0"/>
        <v>99.415204678362571</v>
      </c>
      <c r="F124" s="10">
        <v>51</v>
      </c>
      <c r="G124" s="11">
        <v>513</v>
      </c>
      <c r="H124" s="12"/>
    </row>
    <row r="125" spans="1:8" ht="15.75" customHeight="1">
      <c r="A125" s="7">
        <v>30401</v>
      </c>
      <c r="B125" s="8" t="s">
        <v>17</v>
      </c>
      <c r="C125" s="8" t="s">
        <v>173</v>
      </c>
      <c r="D125" s="8" t="s">
        <v>174</v>
      </c>
      <c r="E125" s="9">
        <f t="shared" si="0"/>
        <v>98.76543209876543</v>
      </c>
      <c r="F125" s="10">
        <v>16</v>
      </c>
      <c r="G125" s="11">
        <v>162</v>
      </c>
      <c r="H125" s="12"/>
    </row>
    <row r="126" spans="1:8" ht="15.75" customHeight="1">
      <c r="A126" s="7">
        <v>30402</v>
      </c>
      <c r="B126" s="8" t="s">
        <v>17</v>
      </c>
      <c r="C126" s="8" t="s">
        <v>173</v>
      </c>
      <c r="D126" s="8" t="s">
        <v>175</v>
      </c>
      <c r="E126" s="9">
        <f t="shared" si="0"/>
        <v>87.591240875912419</v>
      </c>
      <c r="F126" s="10">
        <v>12</v>
      </c>
      <c r="G126" s="11">
        <v>137</v>
      </c>
      <c r="H126" s="12"/>
    </row>
    <row r="127" spans="1:8" ht="15.75" customHeight="1">
      <c r="A127" s="7">
        <v>30403</v>
      </c>
      <c r="B127" s="8" t="s">
        <v>17</v>
      </c>
      <c r="C127" s="8" t="s">
        <v>173</v>
      </c>
      <c r="D127" s="8" t="s">
        <v>176</v>
      </c>
      <c r="E127" s="9">
        <f t="shared" si="0"/>
        <v>99.7229916897507</v>
      </c>
      <c r="F127" s="10">
        <v>36</v>
      </c>
      <c r="G127" s="11">
        <v>361</v>
      </c>
      <c r="H127" s="12"/>
    </row>
    <row r="128" spans="1:8" ht="15.75" customHeight="1">
      <c r="A128" s="7">
        <v>30404</v>
      </c>
      <c r="B128" s="8" t="s">
        <v>17</v>
      </c>
      <c r="C128" s="8" t="s">
        <v>173</v>
      </c>
      <c r="D128" s="8" t="s">
        <v>177</v>
      </c>
      <c r="E128" s="9">
        <f t="shared" si="0"/>
        <v>96.774193548387089</v>
      </c>
      <c r="F128" s="10">
        <v>9</v>
      </c>
      <c r="G128" s="11">
        <v>93</v>
      </c>
      <c r="H128" s="12"/>
    </row>
    <row r="129" spans="1:8" ht="15.75" customHeight="1">
      <c r="A129" s="7">
        <v>30501</v>
      </c>
      <c r="B129" s="8" t="s">
        <v>17</v>
      </c>
      <c r="C129" s="8" t="s">
        <v>178</v>
      </c>
      <c r="D129" s="8" t="s">
        <v>178</v>
      </c>
      <c r="E129" s="9">
        <f t="shared" si="0"/>
        <v>122.30215827338129</v>
      </c>
      <c r="F129" s="10">
        <v>17</v>
      </c>
      <c r="G129" s="11">
        <v>139</v>
      </c>
      <c r="H129" s="12"/>
    </row>
    <row r="130" spans="1:8" ht="15.75" customHeight="1">
      <c r="A130" s="7">
        <v>30502</v>
      </c>
      <c r="B130" s="8" t="s">
        <v>17</v>
      </c>
      <c r="C130" s="8" t="s">
        <v>178</v>
      </c>
      <c r="D130" s="8" t="s">
        <v>179</v>
      </c>
      <c r="E130" s="9">
        <f t="shared" si="0"/>
        <v>87.912087912087912</v>
      </c>
      <c r="F130" s="10">
        <v>16</v>
      </c>
      <c r="G130" s="11">
        <v>182</v>
      </c>
      <c r="H130" s="12"/>
    </row>
    <row r="131" spans="1:8" ht="15.75" customHeight="1">
      <c r="A131" s="7">
        <v>30601</v>
      </c>
      <c r="B131" s="8" t="s">
        <v>17</v>
      </c>
      <c r="C131" s="8" t="s">
        <v>180</v>
      </c>
      <c r="D131" s="8" t="s">
        <v>180</v>
      </c>
      <c r="E131" s="9">
        <f t="shared" si="0"/>
        <v>79.670329670329664</v>
      </c>
      <c r="F131" s="10">
        <v>29</v>
      </c>
      <c r="G131" s="11">
        <v>364</v>
      </c>
      <c r="H131" s="12"/>
    </row>
    <row r="132" spans="1:8" ht="15.75" customHeight="1">
      <c r="A132" s="7">
        <v>30602</v>
      </c>
      <c r="B132" s="8" t="s">
        <v>17</v>
      </c>
      <c r="C132" s="8" t="s">
        <v>180</v>
      </c>
      <c r="D132" s="8" t="s">
        <v>181</v>
      </c>
      <c r="E132" s="9">
        <f t="shared" si="0"/>
        <v>81.218274111675115</v>
      </c>
      <c r="F132" s="10">
        <v>16</v>
      </c>
      <c r="G132" s="11">
        <v>197</v>
      </c>
      <c r="H132" s="12"/>
    </row>
    <row r="133" spans="1:8" ht="15.75" customHeight="1">
      <c r="A133" s="7">
        <v>30701</v>
      </c>
      <c r="B133" s="8" t="s">
        <v>17</v>
      </c>
      <c r="C133" s="8" t="s">
        <v>182</v>
      </c>
      <c r="D133" s="8" t="s">
        <v>182</v>
      </c>
      <c r="E133" s="9">
        <f t="shared" si="0"/>
        <v>70.615034168564918</v>
      </c>
      <c r="F133" s="10">
        <v>31</v>
      </c>
      <c r="G133" s="11">
        <v>439</v>
      </c>
      <c r="H133" s="12"/>
    </row>
    <row r="134" spans="1:8" ht="15.75" customHeight="1">
      <c r="A134" s="7">
        <v>30702</v>
      </c>
      <c r="B134" s="8" t="s">
        <v>17</v>
      </c>
      <c r="C134" s="8" t="s">
        <v>182</v>
      </c>
      <c r="D134" s="8" t="s">
        <v>183</v>
      </c>
      <c r="E134" s="9">
        <f t="shared" si="0"/>
        <v>71.428571428571431</v>
      </c>
      <c r="F134" s="10">
        <v>9</v>
      </c>
      <c r="G134" s="11">
        <v>126</v>
      </c>
      <c r="H134" s="12"/>
    </row>
    <row r="135" spans="1:8" ht="15.75" customHeight="1">
      <c r="A135" s="7">
        <v>30703</v>
      </c>
      <c r="B135" s="8" t="s">
        <v>17</v>
      </c>
      <c r="C135" s="8" t="s">
        <v>182</v>
      </c>
      <c r="D135" s="8" t="s">
        <v>184</v>
      </c>
      <c r="E135" s="9">
        <f t="shared" si="0"/>
        <v>118.8118811881188</v>
      </c>
      <c r="F135" s="10">
        <v>12</v>
      </c>
      <c r="G135" s="11">
        <v>101</v>
      </c>
      <c r="H135" s="12"/>
    </row>
    <row r="136" spans="1:8" ht="15.75" customHeight="1">
      <c r="A136" s="7">
        <v>30801</v>
      </c>
      <c r="B136" s="8" t="s">
        <v>17</v>
      </c>
      <c r="C136" s="8" t="s">
        <v>185</v>
      </c>
      <c r="D136" s="8" t="s">
        <v>186</v>
      </c>
      <c r="E136" s="9">
        <f t="shared" si="0"/>
        <v>45</v>
      </c>
      <c r="F136" s="10">
        <v>18</v>
      </c>
      <c r="G136" s="11">
        <v>400</v>
      </c>
      <c r="H136" s="12"/>
    </row>
    <row r="137" spans="1:8" ht="15.75" customHeight="1">
      <c r="A137" s="7">
        <v>30802</v>
      </c>
      <c r="B137" s="8" t="s">
        <v>17</v>
      </c>
      <c r="C137" s="8" t="s">
        <v>185</v>
      </c>
      <c r="D137" s="8" t="s">
        <v>187</v>
      </c>
      <c r="E137" s="9">
        <f t="shared" si="0"/>
        <v>100.91743119266056</v>
      </c>
      <c r="F137" s="10">
        <v>11</v>
      </c>
      <c r="G137" s="11">
        <v>109</v>
      </c>
      <c r="H137" s="12"/>
    </row>
    <row r="138" spans="1:8" ht="15.75" customHeight="1">
      <c r="A138" s="7">
        <v>30803</v>
      </c>
      <c r="B138" s="8" t="s">
        <v>17</v>
      </c>
      <c r="C138" s="8" t="s">
        <v>185</v>
      </c>
      <c r="D138" s="8" t="s">
        <v>188</v>
      </c>
      <c r="E138" s="9">
        <f t="shared" si="0"/>
        <v>82.474226804123717</v>
      </c>
      <c r="F138" s="10">
        <v>8</v>
      </c>
      <c r="G138" s="11">
        <v>97</v>
      </c>
      <c r="H138" s="12"/>
    </row>
    <row r="139" spans="1:8" ht="15.75" customHeight="1">
      <c r="A139" s="7">
        <v>30901</v>
      </c>
      <c r="B139" s="8" t="s">
        <v>17</v>
      </c>
      <c r="C139" s="8" t="s">
        <v>189</v>
      </c>
      <c r="D139" s="8" t="s">
        <v>189</v>
      </c>
      <c r="E139" s="9">
        <f t="shared" si="0"/>
        <v>30.763912893190462</v>
      </c>
      <c r="F139" s="10">
        <v>89</v>
      </c>
      <c r="G139" s="11">
        <v>2893</v>
      </c>
      <c r="H139" s="12"/>
    </row>
    <row r="140" spans="1:8" ht="15.75" customHeight="1">
      <c r="A140" s="7">
        <v>30902</v>
      </c>
      <c r="B140" s="8" t="s">
        <v>17</v>
      </c>
      <c r="C140" s="8" t="s">
        <v>189</v>
      </c>
      <c r="D140" s="8" t="s">
        <v>190</v>
      </c>
      <c r="E140" s="9">
        <f t="shared" si="0"/>
        <v>56.782334384858046</v>
      </c>
      <c r="F140" s="10">
        <v>54</v>
      </c>
      <c r="G140" s="11">
        <v>951</v>
      </c>
      <c r="H140" s="12"/>
    </row>
    <row r="141" spans="1:8" ht="15.75" customHeight="1">
      <c r="A141" s="7">
        <v>30903</v>
      </c>
      <c r="B141" s="8" t="s">
        <v>17</v>
      </c>
      <c r="C141" s="8" t="s">
        <v>189</v>
      </c>
      <c r="D141" s="8" t="s">
        <v>191</v>
      </c>
      <c r="E141" s="9">
        <f t="shared" si="0"/>
        <v>29.622980251346501</v>
      </c>
      <c r="F141" s="10">
        <v>33</v>
      </c>
      <c r="G141" s="11">
        <v>1114</v>
      </c>
      <c r="H141" s="12"/>
    </row>
    <row r="142" spans="1:8" ht="15.75" customHeight="1">
      <c r="A142" s="7">
        <v>30904</v>
      </c>
      <c r="B142" s="8" t="s">
        <v>17</v>
      </c>
      <c r="C142" s="8" t="s">
        <v>189</v>
      </c>
      <c r="D142" s="8" t="s">
        <v>192</v>
      </c>
      <c r="E142" s="9">
        <f t="shared" si="0"/>
        <v>46.570702794242173</v>
      </c>
      <c r="F142" s="10">
        <v>55</v>
      </c>
      <c r="G142" s="11">
        <v>1181</v>
      </c>
      <c r="H142" s="12"/>
    </row>
    <row r="143" spans="1:8" ht="15.75" customHeight="1">
      <c r="A143" s="7">
        <v>30905</v>
      </c>
      <c r="B143" s="8" t="s">
        <v>17</v>
      </c>
      <c r="C143" s="8" t="s">
        <v>189</v>
      </c>
      <c r="D143" s="8" t="s">
        <v>193</v>
      </c>
      <c r="E143" s="9">
        <f t="shared" si="0"/>
        <v>22.885572139303481</v>
      </c>
      <c r="F143" s="10">
        <v>23</v>
      </c>
      <c r="G143" s="11">
        <v>1005</v>
      </c>
      <c r="H143" s="12"/>
    </row>
    <row r="144" spans="1:8" ht="15.75" customHeight="1">
      <c r="A144" s="7">
        <v>31001</v>
      </c>
      <c r="B144" s="8" t="s">
        <v>17</v>
      </c>
      <c r="C144" s="8" t="s">
        <v>194</v>
      </c>
      <c r="D144" s="8" t="s">
        <v>195</v>
      </c>
      <c r="E144" s="9">
        <f t="shared" si="0"/>
        <v>53.6682843277191</v>
      </c>
      <c r="F144" s="10">
        <v>188</v>
      </c>
      <c r="G144" s="11">
        <v>3503</v>
      </c>
      <c r="H144" s="12"/>
    </row>
    <row r="145" spans="1:8" ht="15.75" customHeight="1">
      <c r="A145" s="7">
        <v>31002</v>
      </c>
      <c r="B145" s="8" t="s">
        <v>17</v>
      </c>
      <c r="C145" s="8" t="s">
        <v>194</v>
      </c>
      <c r="D145" s="8" t="s">
        <v>196</v>
      </c>
      <c r="E145" s="9">
        <f t="shared" si="0"/>
        <v>87.866108786610866</v>
      </c>
      <c r="F145" s="10">
        <v>42</v>
      </c>
      <c r="G145" s="11">
        <v>478</v>
      </c>
      <c r="H145" s="12"/>
    </row>
    <row r="146" spans="1:8" ht="15.75" customHeight="1">
      <c r="A146" s="7">
        <v>31003</v>
      </c>
      <c r="B146" s="8" t="s">
        <v>17</v>
      </c>
      <c r="C146" s="8" t="s">
        <v>194</v>
      </c>
      <c r="D146" s="8" t="s">
        <v>197</v>
      </c>
      <c r="E146" s="9">
        <f t="shared" si="0"/>
        <v>107.43353228431904</v>
      </c>
      <c r="F146" s="10">
        <v>198</v>
      </c>
      <c r="G146" s="11">
        <v>1843</v>
      </c>
      <c r="H146" s="12"/>
    </row>
    <row r="147" spans="1:8" ht="15.75" customHeight="1">
      <c r="A147" s="7">
        <v>31101</v>
      </c>
      <c r="B147" s="8" t="s">
        <v>17</v>
      </c>
      <c r="C147" s="8" t="s">
        <v>198</v>
      </c>
      <c r="D147" s="8" t="s">
        <v>198</v>
      </c>
      <c r="E147" s="9">
        <f t="shared" si="0"/>
        <v>95.238095238095227</v>
      </c>
      <c r="F147" s="10">
        <v>52</v>
      </c>
      <c r="G147" s="11">
        <v>546</v>
      </c>
      <c r="H147" s="12"/>
    </row>
    <row r="148" spans="1:8" ht="15.75" customHeight="1">
      <c r="A148" s="7">
        <v>31201</v>
      </c>
      <c r="B148" s="8" t="s">
        <v>17</v>
      </c>
      <c r="C148" s="8" t="s">
        <v>199</v>
      </c>
      <c r="D148" s="8" t="s">
        <v>200</v>
      </c>
      <c r="E148" s="9">
        <f t="shared" si="0"/>
        <v>101.19047619047619</v>
      </c>
      <c r="F148" s="10">
        <v>34</v>
      </c>
      <c r="G148" s="11">
        <v>336</v>
      </c>
      <c r="H148" s="12"/>
    </row>
    <row r="149" spans="1:8" ht="15.75" customHeight="1">
      <c r="A149" s="7">
        <v>31202</v>
      </c>
      <c r="B149" s="8" t="s">
        <v>17</v>
      </c>
      <c r="C149" s="8" t="s">
        <v>199</v>
      </c>
      <c r="D149" s="8" t="s">
        <v>201</v>
      </c>
      <c r="E149" s="9">
        <f t="shared" si="0"/>
        <v>59.25925925925926</v>
      </c>
      <c r="F149" s="10">
        <v>16</v>
      </c>
      <c r="G149" s="11">
        <v>270</v>
      </c>
      <c r="H149" s="12"/>
    </row>
    <row r="150" spans="1:8" ht="15.75" customHeight="1">
      <c r="A150" s="7">
        <v>31203</v>
      </c>
      <c r="B150" s="8" t="s">
        <v>17</v>
      </c>
      <c r="C150" s="8" t="s">
        <v>199</v>
      </c>
      <c r="D150" s="8" t="s">
        <v>202</v>
      </c>
      <c r="E150" s="9">
        <f t="shared" si="0"/>
        <v>73.059360730593596</v>
      </c>
      <c r="F150" s="10">
        <v>16</v>
      </c>
      <c r="G150" s="11">
        <v>219</v>
      </c>
      <c r="H150" s="12"/>
    </row>
    <row r="151" spans="1:8" ht="15.75" customHeight="1">
      <c r="A151" s="7">
        <v>31204</v>
      </c>
      <c r="B151" s="8" t="s">
        <v>17</v>
      </c>
      <c r="C151" s="8" t="s">
        <v>199</v>
      </c>
      <c r="D151" s="8" t="s">
        <v>203</v>
      </c>
      <c r="E151" s="9">
        <f t="shared" si="0"/>
        <v>73.756432246998273</v>
      </c>
      <c r="F151" s="10">
        <v>43</v>
      </c>
      <c r="G151" s="11">
        <v>583</v>
      </c>
      <c r="H151" s="12"/>
    </row>
    <row r="152" spans="1:8" ht="15.75" customHeight="1">
      <c r="A152" s="7">
        <v>31205</v>
      </c>
      <c r="B152" s="8" t="s">
        <v>17</v>
      </c>
      <c r="C152" s="8" t="s">
        <v>199</v>
      </c>
      <c r="D152" s="8" t="s">
        <v>204</v>
      </c>
      <c r="E152" s="9">
        <f t="shared" si="0"/>
        <v>83.603896103896091</v>
      </c>
      <c r="F152" s="10">
        <v>103</v>
      </c>
      <c r="G152" s="11">
        <v>1232</v>
      </c>
      <c r="H152" s="12"/>
    </row>
    <row r="153" spans="1:8" ht="15.75" customHeight="1">
      <c r="A153" s="7">
        <v>31206</v>
      </c>
      <c r="B153" s="8" t="s">
        <v>17</v>
      </c>
      <c r="C153" s="8" t="s">
        <v>199</v>
      </c>
      <c r="D153" s="8" t="s">
        <v>205</v>
      </c>
      <c r="E153" s="9">
        <f t="shared" si="0"/>
        <v>96.852300242130752</v>
      </c>
      <c r="F153" s="10">
        <v>80</v>
      </c>
      <c r="G153" s="11">
        <v>826</v>
      </c>
      <c r="H153" s="12"/>
    </row>
    <row r="154" spans="1:8" ht="15.75" customHeight="1">
      <c r="A154" s="7">
        <v>31301</v>
      </c>
      <c r="B154" s="8" t="s">
        <v>17</v>
      </c>
      <c r="C154" s="8" t="s">
        <v>206</v>
      </c>
      <c r="D154" s="8" t="s">
        <v>206</v>
      </c>
      <c r="E154" s="9">
        <f t="shared" si="0"/>
        <v>49.689440993788814</v>
      </c>
      <c r="F154" s="10">
        <v>24</v>
      </c>
      <c r="G154" s="11">
        <v>483</v>
      </c>
      <c r="H154" s="12"/>
    </row>
    <row r="155" spans="1:8" ht="15.75" customHeight="1">
      <c r="A155" s="7">
        <v>31302</v>
      </c>
      <c r="B155" s="8" t="s">
        <v>17</v>
      </c>
      <c r="C155" s="8" t="s">
        <v>206</v>
      </c>
      <c r="D155" s="8" t="s">
        <v>207</v>
      </c>
      <c r="E155" s="9">
        <f t="shared" si="0"/>
        <v>92.592592592592581</v>
      </c>
      <c r="F155" s="10">
        <v>10</v>
      </c>
      <c r="G155" s="11">
        <v>108</v>
      </c>
      <c r="H155" s="12"/>
    </row>
    <row r="156" spans="1:8" ht="15.75" customHeight="1">
      <c r="A156" s="7">
        <v>31303</v>
      </c>
      <c r="B156" s="8" t="s">
        <v>17</v>
      </c>
      <c r="C156" s="8" t="s">
        <v>206</v>
      </c>
      <c r="D156" s="8" t="s">
        <v>208</v>
      </c>
      <c r="E156" s="9">
        <f t="shared" si="0"/>
        <v>36.585365853658537</v>
      </c>
      <c r="F156" s="10">
        <v>3</v>
      </c>
      <c r="G156" s="11">
        <v>82</v>
      </c>
      <c r="H156" s="12"/>
    </row>
    <row r="157" spans="1:8" ht="15.75" customHeight="1">
      <c r="A157" s="19">
        <v>31304</v>
      </c>
      <c r="B157" s="8" t="s">
        <v>17</v>
      </c>
      <c r="C157" s="8" t="s">
        <v>206</v>
      </c>
      <c r="D157" s="8" t="s">
        <v>209</v>
      </c>
      <c r="E157" s="9">
        <f t="shared" si="0"/>
        <v>43.062200956937801</v>
      </c>
      <c r="F157" s="10">
        <v>9</v>
      </c>
      <c r="G157" s="11">
        <v>209</v>
      </c>
      <c r="H157" s="12"/>
    </row>
    <row r="158" spans="1:8" ht="15.75" customHeight="1">
      <c r="A158" s="7">
        <v>31401</v>
      </c>
      <c r="B158" s="8" t="s">
        <v>17</v>
      </c>
      <c r="C158" s="8" t="s">
        <v>210</v>
      </c>
      <c r="D158" s="8" t="s">
        <v>210</v>
      </c>
      <c r="E158" s="9">
        <f t="shared" si="0"/>
        <v>41.044776119402982</v>
      </c>
      <c r="F158" s="10">
        <v>22</v>
      </c>
      <c r="G158" s="11">
        <v>536</v>
      </c>
      <c r="H158" s="12"/>
    </row>
    <row r="159" spans="1:8" ht="15.75" customHeight="1">
      <c r="A159" s="7">
        <v>31402</v>
      </c>
      <c r="B159" s="8" t="s">
        <v>17</v>
      </c>
      <c r="C159" s="8" t="s">
        <v>210</v>
      </c>
      <c r="D159" s="8" t="s">
        <v>211</v>
      </c>
      <c r="E159" s="9">
        <f t="shared" si="0"/>
        <v>40.229885057471265</v>
      </c>
      <c r="F159" s="10">
        <v>7</v>
      </c>
      <c r="G159" s="11">
        <v>174</v>
      </c>
      <c r="H159" s="12"/>
    </row>
    <row r="160" spans="1:8" ht="15.75" customHeight="1">
      <c r="A160" s="7">
        <v>31403</v>
      </c>
      <c r="B160" s="8" t="s">
        <v>17</v>
      </c>
      <c r="C160" s="8" t="s">
        <v>210</v>
      </c>
      <c r="D160" s="8" t="s">
        <v>212</v>
      </c>
      <c r="E160" s="9">
        <f t="shared" si="0"/>
        <v>73.73271889400921</v>
      </c>
      <c r="F160" s="10">
        <v>16</v>
      </c>
      <c r="G160" s="11">
        <v>217</v>
      </c>
      <c r="H160" s="12"/>
    </row>
    <row r="161" spans="1:8" ht="15.75" customHeight="1">
      <c r="A161" s="7">
        <v>31404</v>
      </c>
      <c r="B161" s="8" t="s">
        <v>17</v>
      </c>
      <c r="C161" s="8" t="s">
        <v>210</v>
      </c>
      <c r="D161" s="8" t="s">
        <v>213</v>
      </c>
      <c r="E161" s="9">
        <f t="shared" si="0"/>
        <v>86.956521739130437</v>
      </c>
      <c r="F161" s="10">
        <v>2</v>
      </c>
      <c r="G161" s="11">
        <v>23</v>
      </c>
      <c r="H161" s="12"/>
    </row>
    <row r="162" spans="1:8" ht="15.75" customHeight="1">
      <c r="A162" s="7">
        <v>31405</v>
      </c>
      <c r="B162" s="8" t="s">
        <v>17</v>
      </c>
      <c r="C162" s="8" t="s">
        <v>210</v>
      </c>
      <c r="D162" s="8" t="s">
        <v>214</v>
      </c>
      <c r="E162" s="9">
        <f t="shared" si="0"/>
        <v>40.816326530612244</v>
      </c>
      <c r="F162" s="10">
        <v>2</v>
      </c>
      <c r="G162" s="11">
        <v>49</v>
      </c>
      <c r="H162" s="12"/>
    </row>
    <row r="163" spans="1:8" ht="15.75" customHeight="1">
      <c r="A163" s="7">
        <v>31501</v>
      </c>
      <c r="B163" s="8" t="s">
        <v>17</v>
      </c>
      <c r="C163" s="8" t="s">
        <v>215</v>
      </c>
      <c r="D163" s="8" t="s">
        <v>215</v>
      </c>
      <c r="E163" s="9">
        <f t="shared" si="0"/>
        <v>229.62962962962962</v>
      </c>
      <c r="F163" s="10">
        <v>31</v>
      </c>
      <c r="G163" s="11">
        <v>135</v>
      </c>
      <c r="H163" s="12"/>
    </row>
    <row r="164" spans="1:8" ht="15.75" customHeight="1">
      <c r="A164" s="7">
        <v>31601</v>
      </c>
      <c r="B164" s="8" t="s">
        <v>17</v>
      </c>
      <c r="C164" s="8" t="s">
        <v>216</v>
      </c>
      <c r="D164" s="8" t="s">
        <v>216</v>
      </c>
      <c r="E164" s="9">
        <f t="shared" si="0"/>
        <v>78.891257995735614</v>
      </c>
      <c r="F164" s="10">
        <v>37</v>
      </c>
      <c r="G164" s="11">
        <v>469</v>
      </c>
      <c r="H164" s="12"/>
    </row>
    <row r="165" spans="1:8" ht="15.75" customHeight="1">
      <c r="A165" s="7">
        <v>31602</v>
      </c>
      <c r="B165" s="8" t="s">
        <v>17</v>
      </c>
      <c r="C165" s="8" t="s">
        <v>216</v>
      </c>
      <c r="D165" s="8" t="s">
        <v>217</v>
      </c>
      <c r="E165" s="9">
        <f t="shared" si="0"/>
        <v>51.785714285714292</v>
      </c>
      <c r="F165" s="10">
        <v>29</v>
      </c>
      <c r="G165" s="11">
        <v>560</v>
      </c>
      <c r="H165" s="12"/>
    </row>
    <row r="166" spans="1:8" ht="15.75" customHeight="1">
      <c r="A166" s="7">
        <v>40101</v>
      </c>
      <c r="B166" s="8" t="s">
        <v>20</v>
      </c>
      <c r="C166" s="8" t="s">
        <v>164</v>
      </c>
      <c r="D166" s="8" t="s">
        <v>20</v>
      </c>
      <c r="E166" s="9">
        <f t="shared" si="0"/>
        <v>29.536611248673506</v>
      </c>
      <c r="F166" s="10">
        <v>167</v>
      </c>
      <c r="G166" s="11">
        <v>5654</v>
      </c>
      <c r="H166" s="12"/>
    </row>
    <row r="167" spans="1:8" ht="15.75" customHeight="1">
      <c r="A167" s="7">
        <v>40102</v>
      </c>
      <c r="B167" s="8" t="s">
        <v>20</v>
      </c>
      <c r="C167" s="8" t="s">
        <v>164</v>
      </c>
      <c r="D167" s="8" t="s">
        <v>218</v>
      </c>
      <c r="E167" s="9">
        <f t="shared" si="0"/>
        <v>82.969432314410483</v>
      </c>
      <c r="F167" s="10">
        <v>38</v>
      </c>
      <c r="G167" s="11">
        <v>458</v>
      </c>
      <c r="H167" s="12"/>
    </row>
    <row r="168" spans="1:8" ht="15.75" customHeight="1">
      <c r="A168" s="7">
        <v>40103</v>
      </c>
      <c r="B168" s="8" t="s">
        <v>20</v>
      </c>
      <c r="C168" s="8" t="s">
        <v>164</v>
      </c>
      <c r="D168" s="8" t="s">
        <v>219</v>
      </c>
      <c r="E168" s="9">
        <f t="shared" si="0"/>
        <v>68.02721088435375</v>
      </c>
      <c r="F168" s="10">
        <v>10</v>
      </c>
      <c r="G168" s="11">
        <v>147</v>
      </c>
      <c r="H168" s="12"/>
    </row>
    <row r="169" spans="1:8" ht="15.75" customHeight="1">
      <c r="A169" s="7">
        <v>40104</v>
      </c>
      <c r="B169" s="8" t="s">
        <v>20</v>
      </c>
      <c r="C169" s="8" t="s">
        <v>164</v>
      </c>
      <c r="D169" s="8" t="s">
        <v>220</v>
      </c>
      <c r="E169" s="9">
        <f t="shared" si="0"/>
        <v>94.339622641509436</v>
      </c>
      <c r="F169" s="10">
        <v>25</v>
      </c>
      <c r="G169" s="11">
        <v>265</v>
      </c>
      <c r="H169" s="12"/>
    </row>
    <row r="170" spans="1:8" ht="15.75" customHeight="1">
      <c r="A170" s="7">
        <v>40201</v>
      </c>
      <c r="B170" s="8" t="s">
        <v>20</v>
      </c>
      <c r="C170" s="8" t="s">
        <v>221</v>
      </c>
      <c r="D170" s="8" t="s">
        <v>222</v>
      </c>
      <c r="E170" s="9">
        <f t="shared" si="0"/>
        <v>115.49707602339181</v>
      </c>
      <c r="F170" s="10">
        <v>79</v>
      </c>
      <c r="G170" s="11">
        <v>684</v>
      </c>
      <c r="H170" s="12"/>
    </row>
    <row r="171" spans="1:8" ht="15.75" customHeight="1">
      <c r="A171" s="7">
        <v>40202</v>
      </c>
      <c r="B171" s="8" t="s">
        <v>20</v>
      </c>
      <c r="C171" s="8" t="s">
        <v>221</v>
      </c>
      <c r="D171" s="8" t="s">
        <v>223</v>
      </c>
      <c r="E171" s="9">
        <f t="shared" si="0"/>
        <v>135.80246913580245</v>
      </c>
      <c r="F171" s="10">
        <v>11</v>
      </c>
      <c r="G171" s="11">
        <v>81</v>
      </c>
      <c r="H171" s="12"/>
    </row>
    <row r="172" spans="1:8" ht="15.75" customHeight="1">
      <c r="A172" s="7">
        <v>40301</v>
      </c>
      <c r="B172" s="8" t="s">
        <v>20</v>
      </c>
      <c r="C172" s="8" t="s">
        <v>224</v>
      </c>
      <c r="D172" s="8" t="s">
        <v>225</v>
      </c>
      <c r="E172" s="9">
        <f t="shared" si="0"/>
        <v>24.539877300613497</v>
      </c>
      <c r="F172" s="10">
        <v>4</v>
      </c>
      <c r="G172" s="11">
        <v>163</v>
      </c>
      <c r="H172" s="12"/>
    </row>
    <row r="173" spans="1:8" ht="15.75" customHeight="1">
      <c r="A173" s="7">
        <v>40302</v>
      </c>
      <c r="B173" s="8" t="s">
        <v>20</v>
      </c>
      <c r="C173" s="8" t="s">
        <v>224</v>
      </c>
      <c r="D173" s="8" t="s">
        <v>226</v>
      </c>
      <c r="E173" s="9">
        <f t="shared" si="0"/>
        <v>100</v>
      </c>
      <c r="F173" s="10">
        <v>3</v>
      </c>
      <c r="G173" s="11">
        <v>30</v>
      </c>
      <c r="H173" s="12"/>
    </row>
    <row r="174" spans="1:8" ht="15.75" customHeight="1">
      <c r="A174" s="7">
        <v>40401</v>
      </c>
      <c r="B174" s="8" t="s">
        <v>20</v>
      </c>
      <c r="C174" s="8" t="s">
        <v>227</v>
      </c>
      <c r="D174" s="8" t="s">
        <v>228</v>
      </c>
      <c r="E174" s="9">
        <f t="shared" si="0"/>
        <v>128.2051282051282</v>
      </c>
      <c r="F174" s="10">
        <v>10</v>
      </c>
      <c r="G174" s="11">
        <v>78</v>
      </c>
      <c r="H174" s="12"/>
    </row>
    <row r="175" spans="1:8" ht="15.75" customHeight="1">
      <c r="A175" s="7">
        <v>40402</v>
      </c>
      <c r="B175" s="8" t="s">
        <v>20</v>
      </c>
      <c r="C175" s="8" t="s">
        <v>227</v>
      </c>
      <c r="D175" s="8" t="s">
        <v>229</v>
      </c>
      <c r="E175" s="9">
        <f t="shared" si="0"/>
        <v>83.333333333333329</v>
      </c>
      <c r="F175" s="10">
        <v>8</v>
      </c>
      <c r="G175" s="11">
        <v>96</v>
      </c>
      <c r="H175" s="12"/>
    </row>
    <row r="176" spans="1:8" ht="15.75" customHeight="1">
      <c r="A176" s="7">
        <v>40501</v>
      </c>
      <c r="B176" s="8" t="s">
        <v>20</v>
      </c>
      <c r="C176" s="8" t="s">
        <v>230</v>
      </c>
      <c r="D176" s="8" t="s">
        <v>231</v>
      </c>
      <c r="E176" s="9">
        <f t="shared" si="0"/>
        <v>90.909090909090907</v>
      </c>
      <c r="F176" s="10">
        <v>1</v>
      </c>
      <c r="G176" s="11">
        <v>11</v>
      </c>
      <c r="H176" s="12"/>
    </row>
    <row r="177" spans="1:8" ht="15.75" customHeight="1">
      <c r="A177" s="7">
        <v>40502</v>
      </c>
      <c r="B177" s="8" t="s">
        <v>20</v>
      </c>
      <c r="C177" s="8" t="s">
        <v>230</v>
      </c>
      <c r="D177" s="8" t="s">
        <v>232</v>
      </c>
      <c r="E177" s="9">
        <f t="shared" si="0"/>
        <v>64.102564102564102</v>
      </c>
      <c r="F177" s="10">
        <v>5</v>
      </c>
      <c r="G177" s="11">
        <v>78</v>
      </c>
      <c r="H177" s="12"/>
    </row>
    <row r="178" spans="1:8" ht="15.75" customHeight="1">
      <c r="A178" s="7">
        <v>40503</v>
      </c>
      <c r="B178" s="8" t="s">
        <v>20</v>
      </c>
      <c r="C178" s="8" t="s">
        <v>230</v>
      </c>
      <c r="D178" s="8" t="s">
        <v>233</v>
      </c>
      <c r="E178" s="9">
        <f t="shared" si="0"/>
        <v>58.823529411764703</v>
      </c>
      <c r="F178" s="10">
        <v>2</v>
      </c>
      <c r="G178" s="11">
        <v>34</v>
      </c>
      <c r="H178" s="12"/>
    </row>
    <row r="179" spans="1:8" ht="15.75" customHeight="1">
      <c r="A179" s="7">
        <v>40504</v>
      </c>
      <c r="B179" s="8" t="s">
        <v>20</v>
      </c>
      <c r="C179" s="8" t="s">
        <v>230</v>
      </c>
      <c r="D179" s="8" t="s">
        <v>234</v>
      </c>
      <c r="E179" s="9">
        <f t="shared" si="0"/>
        <v>0</v>
      </c>
      <c r="F179" s="10"/>
      <c r="G179" s="11">
        <v>8</v>
      </c>
      <c r="H179" s="12"/>
    </row>
    <row r="180" spans="1:8" ht="15.75" customHeight="1">
      <c r="A180" s="7">
        <v>40505</v>
      </c>
      <c r="B180" s="8" t="s">
        <v>20</v>
      </c>
      <c r="C180" s="8" t="s">
        <v>230</v>
      </c>
      <c r="D180" s="8" t="s">
        <v>235</v>
      </c>
      <c r="E180" s="9">
        <f t="shared" si="0"/>
        <v>50</v>
      </c>
      <c r="F180" s="10">
        <v>3</v>
      </c>
      <c r="G180" s="11">
        <v>60</v>
      </c>
      <c r="H180" s="12"/>
    </row>
    <row r="181" spans="1:8" ht="15.75" customHeight="1">
      <c r="A181" s="7">
        <v>40601</v>
      </c>
      <c r="B181" s="8" t="s">
        <v>20</v>
      </c>
      <c r="C181" s="8" t="s">
        <v>236</v>
      </c>
      <c r="D181" s="8" t="s">
        <v>236</v>
      </c>
      <c r="E181" s="9">
        <f t="shared" si="0"/>
        <v>134.45378151260505</v>
      </c>
      <c r="F181" s="10">
        <v>16</v>
      </c>
      <c r="G181" s="11">
        <v>119</v>
      </c>
      <c r="H181" s="12"/>
    </row>
    <row r="182" spans="1:8" ht="15.75" customHeight="1">
      <c r="A182" s="7">
        <v>40602</v>
      </c>
      <c r="B182" s="8" t="s">
        <v>20</v>
      </c>
      <c r="C182" s="8" t="s">
        <v>236</v>
      </c>
      <c r="D182" s="8" t="s">
        <v>237</v>
      </c>
      <c r="E182" s="9">
        <f t="shared" si="0"/>
        <v>53.571428571428569</v>
      </c>
      <c r="F182" s="10">
        <v>6</v>
      </c>
      <c r="G182" s="11">
        <v>112</v>
      </c>
      <c r="H182" s="12"/>
    </row>
    <row r="183" spans="1:8" ht="15.75" customHeight="1">
      <c r="A183" s="7">
        <v>40603</v>
      </c>
      <c r="B183" s="8" t="s">
        <v>20</v>
      </c>
      <c r="C183" s="8" t="s">
        <v>236</v>
      </c>
      <c r="D183" s="8" t="s">
        <v>238</v>
      </c>
      <c r="E183" s="9">
        <f t="shared" si="0"/>
        <v>16.393442622950822</v>
      </c>
      <c r="F183" s="10">
        <v>1</v>
      </c>
      <c r="G183" s="11">
        <v>61</v>
      </c>
      <c r="H183" s="12"/>
    </row>
    <row r="184" spans="1:8" ht="15.75" customHeight="1">
      <c r="A184" s="7">
        <v>40701</v>
      </c>
      <c r="B184" s="8" t="s">
        <v>20</v>
      </c>
      <c r="C184" s="8" t="s">
        <v>239</v>
      </c>
      <c r="D184" s="8" t="s">
        <v>240</v>
      </c>
      <c r="E184" s="9">
        <f t="shared" si="0"/>
        <v>70.208728652751418</v>
      </c>
      <c r="F184" s="10">
        <v>37</v>
      </c>
      <c r="G184" s="11">
        <v>527</v>
      </c>
      <c r="H184" s="12"/>
    </row>
    <row r="185" spans="1:8" ht="15.75" customHeight="1">
      <c r="A185" s="7">
        <v>40702</v>
      </c>
      <c r="B185" s="8" t="s">
        <v>20</v>
      </c>
      <c r="C185" s="8" t="s">
        <v>239</v>
      </c>
      <c r="D185" s="8" t="s">
        <v>241</v>
      </c>
      <c r="E185" s="9">
        <f t="shared" si="0"/>
        <v>45.454545454545453</v>
      </c>
      <c r="F185" s="10">
        <v>4</v>
      </c>
      <c r="G185" s="11">
        <v>88</v>
      </c>
      <c r="H185" s="12"/>
    </row>
    <row r="186" spans="1:8" ht="15.75" customHeight="1">
      <c r="A186" s="7">
        <v>40801</v>
      </c>
      <c r="B186" s="8" t="s">
        <v>20</v>
      </c>
      <c r="C186" s="8" t="s">
        <v>242</v>
      </c>
      <c r="D186" s="8" t="s">
        <v>243</v>
      </c>
      <c r="E186" s="9">
        <f t="shared" si="0"/>
        <v>81.632653061224488</v>
      </c>
      <c r="F186" s="10">
        <v>16</v>
      </c>
      <c r="G186" s="11">
        <v>196</v>
      </c>
      <c r="H186" s="12"/>
    </row>
    <row r="187" spans="1:8" ht="15.75" customHeight="1">
      <c r="A187" s="7">
        <v>40802</v>
      </c>
      <c r="B187" s="8" t="s">
        <v>20</v>
      </c>
      <c r="C187" s="8" t="s">
        <v>242</v>
      </c>
      <c r="D187" s="8" t="s">
        <v>244</v>
      </c>
      <c r="E187" s="9">
        <f t="shared" si="0"/>
        <v>46.875</v>
      </c>
      <c r="F187" s="10">
        <v>3</v>
      </c>
      <c r="G187" s="11">
        <v>64</v>
      </c>
      <c r="H187" s="12"/>
    </row>
    <row r="188" spans="1:8" ht="15.75" customHeight="1">
      <c r="A188" s="7">
        <v>40901</v>
      </c>
      <c r="B188" s="8" t="s">
        <v>20</v>
      </c>
      <c r="C188" s="8" t="s">
        <v>245</v>
      </c>
      <c r="D188" s="8" t="s">
        <v>245</v>
      </c>
      <c r="E188" s="9">
        <f t="shared" si="0"/>
        <v>33.898305084745765</v>
      </c>
      <c r="F188" s="10">
        <v>6</v>
      </c>
      <c r="G188" s="11">
        <v>177</v>
      </c>
      <c r="H188" s="12"/>
    </row>
    <row r="189" spans="1:8" ht="15.75" customHeight="1">
      <c r="A189" s="7">
        <v>40902</v>
      </c>
      <c r="B189" s="8" t="s">
        <v>20</v>
      </c>
      <c r="C189" s="8" t="s">
        <v>245</v>
      </c>
      <c r="D189" s="8" t="s">
        <v>246</v>
      </c>
      <c r="E189" s="9">
        <f t="shared" si="0"/>
        <v>0</v>
      </c>
      <c r="F189" s="10">
        <v>0</v>
      </c>
      <c r="G189" s="11">
        <v>18</v>
      </c>
      <c r="H189" s="12"/>
    </row>
    <row r="190" spans="1:8" ht="15.75" customHeight="1">
      <c r="A190" s="7">
        <v>40903</v>
      </c>
      <c r="B190" s="8" t="s">
        <v>20</v>
      </c>
      <c r="C190" s="8" t="s">
        <v>245</v>
      </c>
      <c r="D190" s="8" t="s">
        <v>247</v>
      </c>
      <c r="E190" s="9">
        <f t="shared" si="0"/>
        <v>78.431372549019613</v>
      </c>
      <c r="F190" s="10">
        <v>4</v>
      </c>
      <c r="G190" s="11">
        <v>51</v>
      </c>
      <c r="H190" s="12"/>
    </row>
    <row r="191" spans="1:8" ht="15.75" customHeight="1">
      <c r="A191" s="7">
        <v>41001</v>
      </c>
      <c r="B191" s="8" t="s">
        <v>20</v>
      </c>
      <c r="C191" s="8" t="s">
        <v>248</v>
      </c>
      <c r="D191" s="8" t="s">
        <v>249</v>
      </c>
      <c r="E191" s="9">
        <f t="shared" si="0"/>
        <v>62.068965517241381</v>
      </c>
      <c r="F191" s="10">
        <v>9</v>
      </c>
      <c r="G191" s="11">
        <v>145</v>
      </c>
      <c r="H191" s="12"/>
    </row>
    <row r="192" spans="1:8" ht="15.75" customHeight="1">
      <c r="A192" s="7">
        <v>41101</v>
      </c>
      <c r="B192" s="8" t="s">
        <v>20</v>
      </c>
      <c r="C192" s="8" t="s">
        <v>250</v>
      </c>
      <c r="D192" s="8" t="s">
        <v>251</v>
      </c>
      <c r="E192" s="9">
        <f t="shared" si="0"/>
        <v>131.31313131313132</v>
      </c>
      <c r="F192" s="10">
        <v>13</v>
      </c>
      <c r="G192" s="11">
        <v>99</v>
      </c>
      <c r="H192" s="12"/>
    </row>
    <row r="193" spans="1:8" ht="15.75" customHeight="1">
      <c r="A193" s="7">
        <v>41201</v>
      </c>
      <c r="B193" s="8" t="s">
        <v>20</v>
      </c>
      <c r="C193" s="8" t="s">
        <v>252</v>
      </c>
      <c r="D193" s="8" t="s">
        <v>253</v>
      </c>
      <c r="E193" s="9">
        <f t="shared" si="0"/>
        <v>63.291139240506332</v>
      </c>
      <c r="F193" s="10">
        <v>5</v>
      </c>
      <c r="G193" s="11">
        <v>79</v>
      </c>
      <c r="H193" s="12"/>
    </row>
    <row r="194" spans="1:8" ht="15.75" customHeight="1">
      <c r="A194" s="7">
        <v>41202</v>
      </c>
      <c r="B194" s="8" t="s">
        <v>20</v>
      </c>
      <c r="C194" s="8" t="s">
        <v>252</v>
      </c>
      <c r="D194" s="8" t="s">
        <v>254</v>
      </c>
      <c r="E194" s="9">
        <f t="shared" si="0"/>
        <v>28.571428571428569</v>
      </c>
      <c r="F194" s="10">
        <v>1</v>
      </c>
      <c r="G194" s="11">
        <v>35</v>
      </c>
      <c r="H194" s="12"/>
    </row>
    <row r="195" spans="1:8" ht="15.75" customHeight="1">
      <c r="A195" s="7">
        <v>41301</v>
      </c>
      <c r="B195" s="8" t="s">
        <v>20</v>
      </c>
      <c r="C195" s="8" t="s">
        <v>255</v>
      </c>
      <c r="D195" s="8" t="s">
        <v>255</v>
      </c>
      <c r="E195" s="9">
        <f t="shared" si="0"/>
        <v>27.777777777777775</v>
      </c>
      <c r="F195" s="10">
        <v>3</v>
      </c>
      <c r="G195" s="11">
        <v>108</v>
      </c>
      <c r="H195" s="12"/>
    </row>
    <row r="196" spans="1:8" ht="15.75" customHeight="1">
      <c r="A196" s="7">
        <v>41401</v>
      </c>
      <c r="B196" s="8" t="s">
        <v>20</v>
      </c>
      <c r="C196" s="8" t="s">
        <v>256</v>
      </c>
      <c r="D196" s="8" t="s">
        <v>257</v>
      </c>
      <c r="E196" s="9">
        <f t="shared" si="0"/>
        <v>84.070796460176993</v>
      </c>
      <c r="F196" s="10">
        <v>19</v>
      </c>
      <c r="G196" s="11">
        <v>226</v>
      </c>
      <c r="H196" s="12"/>
    </row>
    <row r="197" spans="1:8" ht="15.75" customHeight="1">
      <c r="A197" s="7">
        <v>41501</v>
      </c>
      <c r="B197" s="8" t="s">
        <v>20</v>
      </c>
      <c r="C197" s="8" t="s">
        <v>258</v>
      </c>
      <c r="D197" s="8" t="s">
        <v>259</v>
      </c>
      <c r="E197" s="9">
        <f t="shared" si="0"/>
        <v>100</v>
      </c>
      <c r="F197" s="10">
        <v>1</v>
      </c>
      <c r="G197" s="11">
        <v>10</v>
      </c>
      <c r="H197" s="12"/>
    </row>
    <row r="198" spans="1:8" ht="15.75" customHeight="1">
      <c r="A198" s="7">
        <v>41502</v>
      </c>
      <c r="B198" s="8" t="s">
        <v>20</v>
      </c>
      <c r="C198" s="8" t="s">
        <v>258</v>
      </c>
      <c r="D198" s="8" t="s">
        <v>260</v>
      </c>
      <c r="E198" s="9">
        <f t="shared" si="0"/>
        <v>0</v>
      </c>
      <c r="F198" s="10">
        <v>0</v>
      </c>
      <c r="G198" s="11">
        <v>20</v>
      </c>
      <c r="H198" s="12"/>
    </row>
    <row r="199" spans="1:8" ht="15.75" customHeight="1">
      <c r="A199" s="7">
        <v>41503</v>
      </c>
      <c r="B199" s="8" t="s">
        <v>20</v>
      </c>
      <c r="C199" s="8" t="s">
        <v>258</v>
      </c>
      <c r="D199" s="8" t="s">
        <v>224</v>
      </c>
      <c r="E199" s="9">
        <f t="shared" si="0"/>
        <v>0</v>
      </c>
      <c r="F199" s="10"/>
      <c r="G199" s="11">
        <v>15</v>
      </c>
      <c r="H199" s="12"/>
    </row>
    <row r="200" spans="1:8" ht="15.75" customHeight="1">
      <c r="A200" s="7">
        <v>41601</v>
      </c>
      <c r="B200" s="8" t="s">
        <v>20</v>
      </c>
      <c r="C200" s="8" t="s">
        <v>261</v>
      </c>
      <c r="D200" s="8" t="s">
        <v>262</v>
      </c>
      <c r="E200" s="9">
        <f t="shared" si="0"/>
        <v>93.333333333333343</v>
      </c>
      <c r="F200" s="10">
        <v>7</v>
      </c>
      <c r="G200" s="11">
        <v>75</v>
      </c>
      <c r="H200" s="12"/>
    </row>
    <row r="201" spans="1:8" ht="15.75" customHeight="1">
      <c r="A201" s="7">
        <v>50101</v>
      </c>
      <c r="B201" s="8" t="s">
        <v>263</v>
      </c>
      <c r="C201" s="8" t="s">
        <v>264</v>
      </c>
      <c r="D201" s="8" t="s">
        <v>263</v>
      </c>
      <c r="E201" s="9">
        <f t="shared" si="0"/>
        <v>60.715088823926237</v>
      </c>
      <c r="F201" s="10">
        <v>270</v>
      </c>
      <c r="G201" s="11">
        <v>4447</v>
      </c>
      <c r="H201" s="12"/>
    </row>
    <row r="202" spans="1:8" ht="15.75" customHeight="1">
      <c r="A202" s="7">
        <v>50102</v>
      </c>
      <c r="B202" s="8" t="s">
        <v>263</v>
      </c>
      <c r="C202" s="8" t="s">
        <v>264</v>
      </c>
      <c r="D202" s="8" t="s">
        <v>265</v>
      </c>
      <c r="E202" s="9">
        <f t="shared" si="0"/>
        <v>171.33956386292834</v>
      </c>
      <c r="F202" s="10">
        <v>110</v>
      </c>
      <c r="G202" s="11">
        <v>642</v>
      </c>
      <c r="H202" s="12"/>
    </row>
    <row r="203" spans="1:8" ht="15.75" customHeight="1">
      <c r="A203" s="7">
        <v>50103</v>
      </c>
      <c r="B203" s="8" t="s">
        <v>263</v>
      </c>
      <c r="C203" s="8" t="s">
        <v>264</v>
      </c>
      <c r="D203" s="8" t="s">
        <v>266</v>
      </c>
      <c r="E203" s="9">
        <f t="shared" si="0"/>
        <v>70.967741935483872</v>
      </c>
      <c r="F203" s="10">
        <v>11</v>
      </c>
      <c r="G203" s="11">
        <v>155</v>
      </c>
      <c r="H203" s="12"/>
    </row>
    <row r="204" spans="1:8" ht="15.75" customHeight="1">
      <c r="A204" s="7">
        <v>50104</v>
      </c>
      <c r="B204" s="8" t="s">
        <v>263</v>
      </c>
      <c r="C204" s="8" t="s">
        <v>264</v>
      </c>
      <c r="D204" s="8" t="s">
        <v>267</v>
      </c>
      <c r="E204" s="9">
        <f t="shared" si="0"/>
        <v>50</v>
      </c>
      <c r="F204" s="10">
        <v>3</v>
      </c>
      <c r="G204" s="11">
        <v>60</v>
      </c>
      <c r="H204" s="12"/>
    </row>
    <row r="205" spans="1:8" ht="15.75" customHeight="1">
      <c r="A205" s="7">
        <v>50201</v>
      </c>
      <c r="B205" s="8" t="s">
        <v>263</v>
      </c>
      <c r="C205" s="8" t="s">
        <v>268</v>
      </c>
      <c r="D205" s="8" t="s">
        <v>269</v>
      </c>
      <c r="E205" s="9">
        <f t="shared" si="0"/>
        <v>162.16216216216216</v>
      </c>
      <c r="F205" s="10">
        <v>72</v>
      </c>
      <c r="G205" s="11">
        <v>444</v>
      </c>
      <c r="H205" s="12"/>
    </row>
    <row r="206" spans="1:8" ht="15.75" customHeight="1">
      <c r="A206" s="7">
        <v>50202</v>
      </c>
      <c r="B206" s="8" t="s">
        <v>263</v>
      </c>
      <c r="C206" s="8" t="s">
        <v>268</v>
      </c>
      <c r="D206" s="8" t="s">
        <v>270</v>
      </c>
      <c r="E206" s="9">
        <f t="shared" si="0"/>
        <v>112.82051282051282</v>
      </c>
      <c r="F206" s="10">
        <v>44</v>
      </c>
      <c r="G206" s="11">
        <v>390</v>
      </c>
      <c r="H206" s="12"/>
    </row>
    <row r="207" spans="1:8" ht="15.75" customHeight="1">
      <c r="A207" s="7">
        <v>50203</v>
      </c>
      <c r="B207" s="8" t="s">
        <v>263</v>
      </c>
      <c r="C207" s="8" t="s">
        <v>268</v>
      </c>
      <c r="D207" s="8" t="s">
        <v>271</v>
      </c>
      <c r="E207" s="9">
        <f t="shared" si="0"/>
        <v>74.850299401197603</v>
      </c>
      <c r="F207" s="10">
        <v>75</v>
      </c>
      <c r="G207" s="11">
        <v>1002</v>
      </c>
      <c r="H207" s="12"/>
    </row>
    <row r="208" spans="1:8" ht="15.75" customHeight="1">
      <c r="A208" s="7">
        <v>50204</v>
      </c>
      <c r="B208" s="8" t="s">
        <v>263</v>
      </c>
      <c r="C208" s="8" t="s">
        <v>268</v>
      </c>
      <c r="D208" s="8" t="s">
        <v>272</v>
      </c>
      <c r="E208" s="9">
        <f t="shared" si="0"/>
        <v>166.00790513833994</v>
      </c>
      <c r="F208" s="10">
        <v>42</v>
      </c>
      <c r="G208" s="11">
        <v>253</v>
      </c>
      <c r="H208" s="12"/>
    </row>
    <row r="209" spans="1:8" ht="15.75" customHeight="1">
      <c r="A209" s="7">
        <v>50301</v>
      </c>
      <c r="B209" s="8" t="s">
        <v>263</v>
      </c>
      <c r="C209" s="8" t="s">
        <v>273</v>
      </c>
      <c r="D209" s="8" t="s">
        <v>274</v>
      </c>
      <c r="E209" s="9">
        <f t="shared" si="0"/>
        <v>106.08424336973479</v>
      </c>
      <c r="F209" s="10">
        <v>68</v>
      </c>
      <c r="G209" s="11">
        <v>641</v>
      </c>
      <c r="H209" s="12"/>
    </row>
    <row r="210" spans="1:8" ht="15.75" customHeight="1">
      <c r="A210" s="7">
        <v>50302</v>
      </c>
      <c r="B210" s="8" t="s">
        <v>263</v>
      </c>
      <c r="C210" s="8" t="s">
        <v>273</v>
      </c>
      <c r="D210" s="8" t="s">
        <v>275</v>
      </c>
      <c r="E210" s="9">
        <f t="shared" si="0"/>
        <v>141.1764705882353</v>
      </c>
      <c r="F210" s="10">
        <v>24</v>
      </c>
      <c r="G210" s="11">
        <v>170</v>
      </c>
      <c r="H210" s="12"/>
    </row>
    <row r="211" spans="1:8" ht="15.75" customHeight="1">
      <c r="A211" s="7">
        <v>50303</v>
      </c>
      <c r="B211" s="8" t="s">
        <v>263</v>
      </c>
      <c r="C211" s="8" t="s">
        <v>273</v>
      </c>
      <c r="D211" s="8" t="s">
        <v>276</v>
      </c>
      <c r="E211" s="9">
        <f t="shared" si="0"/>
        <v>134.92063492063491</v>
      </c>
      <c r="F211" s="10">
        <v>34</v>
      </c>
      <c r="G211" s="11">
        <v>252</v>
      </c>
      <c r="H211" s="12"/>
    </row>
    <row r="212" spans="1:8" ht="15.75" customHeight="1">
      <c r="A212" s="7">
        <v>50401</v>
      </c>
      <c r="B212" s="8" t="s">
        <v>263</v>
      </c>
      <c r="C212" s="8" t="s">
        <v>270</v>
      </c>
      <c r="D212" s="8" t="s">
        <v>277</v>
      </c>
      <c r="E212" s="9">
        <f t="shared" si="0"/>
        <v>230.15873015873015</v>
      </c>
      <c r="F212" s="10">
        <v>87</v>
      </c>
      <c r="G212" s="11">
        <v>378</v>
      </c>
      <c r="H212" s="12"/>
    </row>
    <row r="213" spans="1:8" ht="15.75" customHeight="1">
      <c r="A213" s="7">
        <v>50402</v>
      </c>
      <c r="B213" s="8" t="s">
        <v>263</v>
      </c>
      <c r="C213" s="8" t="s">
        <v>270</v>
      </c>
      <c r="D213" s="8" t="s">
        <v>278</v>
      </c>
      <c r="E213" s="9">
        <f t="shared" si="0"/>
        <v>95.02262443438913</v>
      </c>
      <c r="F213" s="10">
        <v>42</v>
      </c>
      <c r="G213" s="11">
        <v>442</v>
      </c>
      <c r="H213" s="12"/>
    </row>
    <row r="214" spans="1:8" ht="15.75" customHeight="1">
      <c r="A214" s="7">
        <v>50403</v>
      </c>
      <c r="B214" s="8" t="s">
        <v>263</v>
      </c>
      <c r="C214" s="8" t="s">
        <v>270</v>
      </c>
      <c r="D214" s="8" t="s">
        <v>279</v>
      </c>
      <c r="E214" s="9">
        <f t="shared" si="0"/>
        <v>159.78456014362658</v>
      </c>
      <c r="F214" s="10">
        <v>89</v>
      </c>
      <c r="G214" s="11">
        <v>557</v>
      </c>
      <c r="H214" s="12"/>
    </row>
    <row r="215" spans="1:8" ht="15.75" customHeight="1">
      <c r="A215" s="7">
        <v>50404</v>
      </c>
      <c r="B215" s="8" t="s">
        <v>263</v>
      </c>
      <c r="C215" s="8" t="s">
        <v>270</v>
      </c>
      <c r="D215" s="8" t="s">
        <v>280</v>
      </c>
      <c r="E215" s="9">
        <f t="shared" si="0"/>
        <v>177.66497461928935</v>
      </c>
      <c r="F215" s="10">
        <v>70</v>
      </c>
      <c r="G215" s="11">
        <v>394</v>
      </c>
      <c r="H215" s="12"/>
    </row>
    <row r="216" spans="1:8" ht="15.75" customHeight="1">
      <c r="A216" s="19">
        <v>50405</v>
      </c>
      <c r="B216" s="8" t="s">
        <v>263</v>
      </c>
      <c r="C216" s="8" t="s">
        <v>270</v>
      </c>
      <c r="D216" s="8" t="s">
        <v>281</v>
      </c>
      <c r="E216" s="9">
        <f t="shared" si="0"/>
        <v>182.00836820083683</v>
      </c>
      <c r="F216" s="10">
        <v>87</v>
      </c>
      <c r="G216" s="11">
        <v>478</v>
      </c>
      <c r="H216" s="12"/>
    </row>
    <row r="217" spans="1:8" ht="15.75" customHeight="1">
      <c r="A217" s="7">
        <v>50501</v>
      </c>
      <c r="B217" s="8" t="s">
        <v>263</v>
      </c>
      <c r="C217" s="8" t="s">
        <v>282</v>
      </c>
      <c r="D217" s="8" t="s">
        <v>283</v>
      </c>
      <c r="E217" s="9">
        <f t="shared" si="0"/>
        <v>173.07692307692307</v>
      </c>
      <c r="F217" s="10">
        <v>126</v>
      </c>
      <c r="G217" s="11">
        <v>728</v>
      </c>
      <c r="H217" s="12"/>
    </row>
    <row r="218" spans="1:8" ht="15.75" customHeight="1">
      <c r="A218" s="7">
        <v>50502</v>
      </c>
      <c r="B218" s="8" t="s">
        <v>263</v>
      </c>
      <c r="C218" s="8" t="s">
        <v>282</v>
      </c>
      <c r="D218" s="8" t="s">
        <v>284</v>
      </c>
      <c r="E218" s="9">
        <f t="shared" si="0"/>
        <v>119.23076923076924</v>
      </c>
      <c r="F218" s="10">
        <v>31</v>
      </c>
      <c r="G218" s="11">
        <v>260</v>
      </c>
      <c r="H218" s="12"/>
    </row>
    <row r="219" spans="1:8" ht="15.75" customHeight="1">
      <c r="A219" s="7">
        <v>50601</v>
      </c>
      <c r="B219" s="8" t="s">
        <v>263</v>
      </c>
      <c r="C219" s="8" t="s">
        <v>285</v>
      </c>
      <c r="D219" s="8" t="s">
        <v>286</v>
      </c>
      <c r="E219" s="9">
        <f t="shared" si="0"/>
        <v>31.456953642384107</v>
      </c>
      <c r="F219" s="10">
        <v>19</v>
      </c>
      <c r="G219" s="11">
        <v>604</v>
      </c>
      <c r="H219" s="12"/>
    </row>
    <row r="220" spans="1:8" ht="15.75" customHeight="1">
      <c r="A220" s="7">
        <v>50602</v>
      </c>
      <c r="B220" s="8" t="s">
        <v>263</v>
      </c>
      <c r="C220" s="8" t="s">
        <v>285</v>
      </c>
      <c r="D220" s="8" t="s">
        <v>287</v>
      </c>
      <c r="E220" s="9">
        <f t="shared" si="0"/>
        <v>41.666666666666664</v>
      </c>
      <c r="F220" s="10">
        <v>8</v>
      </c>
      <c r="G220" s="11">
        <v>192</v>
      </c>
      <c r="H220" s="12"/>
    </row>
    <row r="221" spans="1:8" ht="15.75" customHeight="1">
      <c r="A221" s="7">
        <v>50701</v>
      </c>
      <c r="B221" s="8" t="s">
        <v>263</v>
      </c>
      <c r="C221" s="8" t="s">
        <v>288</v>
      </c>
      <c r="D221" s="8" t="s">
        <v>289</v>
      </c>
      <c r="E221" s="9">
        <f t="shared" si="0"/>
        <v>82.073434125269969</v>
      </c>
      <c r="F221" s="10">
        <v>38</v>
      </c>
      <c r="G221" s="11">
        <v>463</v>
      </c>
      <c r="H221" s="12"/>
    </row>
    <row r="222" spans="1:8" ht="15.75" customHeight="1">
      <c r="A222" s="7">
        <v>50702</v>
      </c>
      <c r="B222" s="8" t="s">
        <v>263</v>
      </c>
      <c r="C222" s="8" t="s">
        <v>288</v>
      </c>
      <c r="D222" s="8" t="s">
        <v>290</v>
      </c>
      <c r="E222" s="9">
        <f t="shared" si="0"/>
        <v>99.526066350710906</v>
      </c>
      <c r="F222" s="10">
        <v>21</v>
      </c>
      <c r="G222" s="11">
        <v>211</v>
      </c>
      <c r="H222" s="12"/>
    </row>
    <row r="223" spans="1:8" ht="15.75" customHeight="1">
      <c r="A223" s="7">
        <v>50801</v>
      </c>
      <c r="B223" s="8" t="s">
        <v>263</v>
      </c>
      <c r="C223" s="8" t="s">
        <v>291</v>
      </c>
      <c r="D223" s="8" t="s">
        <v>292</v>
      </c>
      <c r="E223" s="9">
        <f t="shared" si="0"/>
        <v>28.169014084507044</v>
      </c>
      <c r="F223" s="10">
        <v>26</v>
      </c>
      <c r="G223" s="11">
        <v>923</v>
      </c>
      <c r="H223" s="12"/>
    </row>
    <row r="224" spans="1:8" ht="15.75" customHeight="1">
      <c r="A224" s="7">
        <v>50802</v>
      </c>
      <c r="B224" s="8" t="s">
        <v>263</v>
      </c>
      <c r="C224" s="8" t="s">
        <v>291</v>
      </c>
      <c r="D224" s="8" t="s">
        <v>293</v>
      </c>
      <c r="E224" s="9">
        <f t="shared" si="0"/>
        <v>11.450381679389313</v>
      </c>
      <c r="F224" s="10">
        <v>3</v>
      </c>
      <c r="G224" s="11">
        <v>262</v>
      </c>
      <c r="H224" s="12"/>
    </row>
    <row r="225" spans="1:8" ht="15.75" customHeight="1">
      <c r="A225" s="7">
        <v>50901</v>
      </c>
      <c r="B225" s="8" t="s">
        <v>263</v>
      </c>
      <c r="C225" s="8" t="s">
        <v>294</v>
      </c>
      <c r="D225" s="8" t="s">
        <v>295</v>
      </c>
      <c r="E225" s="9">
        <f t="shared" si="0"/>
        <v>24.305555555555557</v>
      </c>
      <c r="F225" s="10">
        <v>7</v>
      </c>
      <c r="G225" s="11">
        <v>288</v>
      </c>
      <c r="H225" s="12"/>
    </row>
    <row r="226" spans="1:8" ht="15.75" customHeight="1">
      <c r="A226" s="7">
        <v>50902</v>
      </c>
      <c r="B226" s="8" t="s">
        <v>263</v>
      </c>
      <c r="C226" s="8" t="s">
        <v>294</v>
      </c>
      <c r="D226" s="8" t="s">
        <v>296</v>
      </c>
      <c r="E226" s="9">
        <f t="shared" si="0"/>
        <v>62.5</v>
      </c>
      <c r="F226" s="10">
        <v>1</v>
      </c>
      <c r="G226" s="11">
        <v>16</v>
      </c>
      <c r="H226" s="12"/>
    </row>
    <row r="227" spans="1:8" ht="15.75" customHeight="1">
      <c r="A227" s="7">
        <v>51001</v>
      </c>
      <c r="B227" s="8" t="s">
        <v>263</v>
      </c>
      <c r="C227" s="8" t="s">
        <v>297</v>
      </c>
      <c r="D227" s="8" t="s">
        <v>298</v>
      </c>
      <c r="E227" s="9">
        <f t="shared" si="0"/>
        <v>42.553191489361701</v>
      </c>
      <c r="F227" s="10">
        <v>4</v>
      </c>
      <c r="G227" s="11">
        <v>94</v>
      </c>
      <c r="H227" s="12"/>
    </row>
    <row r="228" spans="1:8" ht="15.75" customHeight="1">
      <c r="A228" s="7">
        <v>51002</v>
      </c>
      <c r="B228" s="8" t="s">
        <v>263</v>
      </c>
      <c r="C228" s="8" t="s">
        <v>297</v>
      </c>
      <c r="D228" s="8" t="s">
        <v>299</v>
      </c>
      <c r="E228" s="9">
        <f t="shared" si="0"/>
        <v>0</v>
      </c>
      <c r="F228" s="10">
        <v>0</v>
      </c>
      <c r="G228" s="11">
        <v>31</v>
      </c>
      <c r="H228" s="12"/>
    </row>
    <row r="229" spans="1:8" ht="15.75" customHeight="1">
      <c r="A229" s="7">
        <v>51003</v>
      </c>
      <c r="B229" s="8" t="s">
        <v>263</v>
      </c>
      <c r="C229" s="8" t="s">
        <v>297</v>
      </c>
      <c r="D229" s="8" t="s">
        <v>300</v>
      </c>
      <c r="E229" s="9">
        <f t="shared" si="0"/>
        <v>0</v>
      </c>
      <c r="F229" s="10">
        <v>0</v>
      </c>
      <c r="G229" s="11">
        <v>56</v>
      </c>
      <c r="H229" s="12"/>
    </row>
    <row r="230" spans="1:8" ht="15.75" customHeight="1">
      <c r="A230" s="7">
        <v>51101</v>
      </c>
      <c r="B230" s="8" t="s">
        <v>263</v>
      </c>
      <c r="C230" s="8" t="s">
        <v>301</v>
      </c>
      <c r="D230" s="8" t="s">
        <v>302</v>
      </c>
      <c r="E230" s="9">
        <f t="shared" si="0"/>
        <v>38.116591928251118</v>
      </c>
      <c r="F230" s="10">
        <v>17</v>
      </c>
      <c r="G230" s="11">
        <v>446</v>
      </c>
      <c r="H230" s="12"/>
    </row>
    <row r="231" spans="1:8" ht="15.75" customHeight="1">
      <c r="A231" s="7">
        <v>51102</v>
      </c>
      <c r="B231" s="8" t="s">
        <v>263</v>
      </c>
      <c r="C231" s="8" t="s">
        <v>301</v>
      </c>
      <c r="D231" s="8" t="s">
        <v>303</v>
      </c>
      <c r="E231" s="9">
        <f t="shared" si="0"/>
        <v>31.963470319634702</v>
      </c>
      <c r="F231" s="10">
        <v>7</v>
      </c>
      <c r="G231" s="11">
        <v>219</v>
      </c>
      <c r="H231" s="12"/>
    </row>
    <row r="232" spans="1:8" ht="15.75" customHeight="1">
      <c r="A232" s="7">
        <v>51103</v>
      </c>
      <c r="B232" s="8" t="s">
        <v>263</v>
      </c>
      <c r="C232" s="8" t="s">
        <v>301</v>
      </c>
      <c r="D232" s="8" t="s">
        <v>304</v>
      </c>
      <c r="E232" s="9">
        <f t="shared" si="0"/>
        <v>102.32558139534883</v>
      </c>
      <c r="F232" s="10">
        <v>44</v>
      </c>
      <c r="G232" s="11">
        <v>430</v>
      </c>
      <c r="H232" s="12"/>
    </row>
    <row r="233" spans="1:8" ht="15.75" customHeight="1">
      <c r="A233" s="7">
        <v>51201</v>
      </c>
      <c r="B233" s="8" t="s">
        <v>263</v>
      </c>
      <c r="C233" s="8" t="s">
        <v>305</v>
      </c>
      <c r="D233" s="8" t="s">
        <v>306</v>
      </c>
      <c r="E233" s="9">
        <f t="shared" si="0"/>
        <v>28.943560057887119</v>
      </c>
      <c r="F233" s="10">
        <v>20</v>
      </c>
      <c r="G233" s="11">
        <v>691</v>
      </c>
      <c r="H233" s="12"/>
    </row>
    <row r="234" spans="1:8" ht="15.75" customHeight="1">
      <c r="A234" s="7">
        <v>51202</v>
      </c>
      <c r="B234" s="8" t="s">
        <v>263</v>
      </c>
      <c r="C234" s="8" t="s">
        <v>305</v>
      </c>
      <c r="D234" s="8" t="s">
        <v>307</v>
      </c>
      <c r="E234" s="9">
        <f t="shared" si="0"/>
        <v>46.242774566473983</v>
      </c>
      <c r="F234" s="10">
        <v>8</v>
      </c>
      <c r="G234" s="11">
        <v>173</v>
      </c>
      <c r="H234" s="12"/>
    </row>
    <row r="235" spans="1:8" ht="15.75" customHeight="1">
      <c r="A235" s="7">
        <v>51203</v>
      </c>
      <c r="B235" s="8" t="s">
        <v>263</v>
      </c>
      <c r="C235" s="8" t="s">
        <v>305</v>
      </c>
      <c r="D235" s="8" t="s">
        <v>308</v>
      </c>
      <c r="E235" s="9">
        <f t="shared" si="0"/>
        <v>31.446540880503143</v>
      </c>
      <c r="F235" s="10">
        <v>10</v>
      </c>
      <c r="G235" s="11">
        <v>318</v>
      </c>
      <c r="H235" s="12"/>
    </row>
    <row r="236" spans="1:8" ht="15.75" customHeight="1">
      <c r="A236" s="19">
        <v>51204</v>
      </c>
      <c r="B236" s="8" t="s">
        <v>263</v>
      </c>
      <c r="C236" s="8"/>
      <c r="D236" s="8" t="s">
        <v>309</v>
      </c>
      <c r="E236" s="9">
        <f t="shared" si="0"/>
        <v>61.53846153846154</v>
      </c>
      <c r="F236" s="10">
        <v>8</v>
      </c>
      <c r="G236" s="11">
        <v>130</v>
      </c>
      <c r="H236" s="12"/>
    </row>
    <row r="237" spans="1:8" ht="15.75" customHeight="1">
      <c r="A237" s="7">
        <v>51301</v>
      </c>
      <c r="B237" s="8" t="s">
        <v>263</v>
      </c>
      <c r="C237" s="8" t="s">
        <v>310</v>
      </c>
      <c r="D237" s="8" t="s">
        <v>311</v>
      </c>
      <c r="E237" s="9">
        <f t="shared" si="0"/>
        <v>27.27272727272727</v>
      </c>
      <c r="F237" s="10">
        <v>3</v>
      </c>
      <c r="G237" s="11">
        <v>110</v>
      </c>
      <c r="H237" s="12"/>
    </row>
    <row r="238" spans="1:8" ht="15.75" customHeight="1">
      <c r="A238" s="7">
        <v>51302</v>
      </c>
      <c r="B238" s="8" t="s">
        <v>263</v>
      </c>
      <c r="C238" s="8" t="s">
        <v>310</v>
      </c>
      <c r="D238" s="8" t="s">
        <v>312</v>
      </c>
      <c r="E238" s="9">
        <f t="shared" si="0"/>
        <v>54.263565891472865</v>
      </c>
      <c r="F238" s="10">
        <v>7</v>
      </c>
      <c r="G238" s="11">
        <v>129</v>
      </c>
      <c r="H238" s="12"/>
    </row>
    <row r="239" spans="1:8" ht="15.75" customHeight="1">
      <c r="A239" s="7">
        <v>51401</v>
      </c>
      <c r="B239" s="8" t="s">
        <v>263</v>
      </c>
      <c r="C239" s="8" t="s">
        <v>313</v>
      </c>
      <c r="D239" s="8" t="s">
        <v>314</v>
      </c>
      <c r="E239" s="9">
        <f t="shared" si="0"/>
        <v>97.560975609756099</v>
      </c>
      <c r="F239" s="10">
        <v>8</v>
      </c>
      <c r="G239" s="11">
        <v>82</v>
      </c>
      <c r="H239" s="12"/>
    </row>
    <row r="240" spans="1:8" ht="15.75" customHeight="1">
      <c r="A240" s="7">
        <v>51402</v>
      </c>
      <c r="B240" s="8" t="s">
        <v>263</v>
      </c>
      <c r="C240" s="8" t="s">
        <v>313</v>
      </c>
      <c r="D240" s="8" t="s">
        <v>315</v>
      </c>
      <c r="E240" s="9">
        <f t="shared" si="0"/>
        <v>76.923076923076934</v>
      </c>
      <c r="F240" s="10">
        <v>2</v>
      </c>
      <c r="G240" s="11">
        <v>26</v>
      </c>
      <c r="H240" s="12"/>
    </row>
    <row r="241" spans="1:12" ht="15.75" customHeight="1">
      <c r="A241" s="7">
        <v>51501</v>
      </c>
      <c r="B241" s="8" t="s">
        <v>263</v>
      </c>
      <c r="C241" s="8" t="s">
        <v>316</v>
      </c>
      <c r="D241" s="8" t="s">
        <v>317</v>
      </c>
      <c r="E241" s="9">
        <f t="shared" si="0"/>
        <v>35.67787971457696</v>
      </c>
      <c r="F241" s="10">
        <v>35</v>
      </c>
      <c r="G241" s="11">
        <v>981</v>
      </c>
      <c r="H241" s="12"/>
    </row>
    <row r="242" spans="1:12" ht="15.75" customHeight="1">
      <c r="A242" s="7">
        <v>51601</v>
      </c>
      <c r="B242" s="8" t="s">
        <v>263</v>
      </c>
      <c r="C242" s="8" t="s">
        <v>318</v>
      </c>
      <c r="D242" s="8" t="s">
        <v>319</v>
      </c>
      <c r="E242" s="9">
        <f t="shared" si="0"/>
        <v>0</v>
      </c>
      <c r="F242" s="10">
        <v>0</v>
      </c>
      <c r="G242" s="11">
        <v>19</v>
      </c>
      <c r="H242" s="12"/>
    </row>
    <row r="243" spans="1:12" ht="15.75" customHeight="1">
      <c r="A243" s="7">
        <v>60101</v>
      </c>
      <c r="B243" s="8" t="s">
        <v>25</v>
      </c>
      <c r="C243" s="8" t="s">
        <v>164</v>
      </c>
      <c r="D243" s="8" t="s">
        <v>25</v>
      </c>
      <c r="E243" s="9">
        <f t="shared" si="0"/>
        <v>19.815059445178335</v>
      </c>
      <c r="F243" s="10">
        <v>75</v>
      </c>
      <c r="G243" s="11">
        <v>3785</v>
      </c>
      <c r="H243" s="12"/>
    </row>
    <row r="244" spans="1:12" ht="15.75" customHeight="1">
      <c r="A244" s="7">
        <v>60201</v>
      </c>
      <c r="B244" s="8" t="s">
        <v>25</v>
      </c>
      <c r="C244" s="8" t="s">
        <v>320</v>
      </c>
      <c r="D244" s="8" t="s">
        <v>321</v>
      </c>
      <c r="E244" s="9">
        <f t="shared" si="0"/>
        <v>27.522935779816514</v>
      </c>
      <c r="F244" s="10">
        <v>9</v>
      </c>
      <c r="G244" s="11">
        <v>327</v>
      </c>
      <c r="H244" s="12"/>
    </row>
    <row r="245" spans="1:12" ht="15.75" customHeight="1">
      <c r="A245" s="7">
        <v>60202</v>
      </c>
      <c r="B245" s="8" t="s">
        <v>25</v>
      </c>
      <c r="C245" s="8" t="s">
        <v>320</v>
      </c>
      <c r="D245" s="8" t="s">
        <v>322</v>
      </c>
      <c r="E245" s="9">
        <f t="shared" si="0"/>
        <v>31.473533619456365</v>
      </c>
      <c r="F245" s="10">
        <v>22</v>
      </c>
      <c r="G245" s="11">
        <v>699</v>
      </c>
      <c r="H245" s="12"/>
    </row>
    <row r="246" spans="1:12" ht="15.75" customHeight="1">
      <c r="A246" s="7">
        <v>60301</v>
      </c>
      <c r="B246" s="8" t="s">
        <v>25</v>
      </c>
      <c r="C246" s="8" t="s">
        <v>323</v>
      </c>
      <c r="D246" s="8" t="s">
        <v>324</v>
      </c>
      <c r="E246" s="9">
        <f t="shared" si="0"/>
        <v>35.84804708400214</v>
      </c>
      <c r="F246" s="10">
        <v>67</v>
      </c>
      <c r="G246" s="11">
        <v>1869</v>
      </c>
      <c r="H246" s="12"/>
      <c r="J246" s="20"/>
      <c r="K246" s="20"/>
      <c r="L246" s="20"/>
    </row>
    <row r="247" spans="1:12" ht="15.75" customHeight="1">
      <c r="A247" s="7">
        <v>60302</v>
      </c>
      <c r="B247" s="8" t="s">
        <v>25</v>
      </c>
      <c r="C247" s="8" t="s">
        <v>323</v>
      </c>
      <c r="D247" s="8" t="s">
        <v>325</v>
      </c>
      <c r="E247" s="9">
        <f t="shared" si="0"/>
        <v>17.667844522968199</v>
      </c>
      <c r="F247" s="10">
        <v>5</v>
      </c>
      <c r="G247" s="11">
        <v>283</v>
      </c>
      <c r="H247" s="12"/>
    </row>
    <row r="248" spans="1:12" ht="15.75" customHeight="1">
      <c r="A248" s="7">
        <v>60303</v>
      </c>
      <c r="B248" s="8" t="s">
        <v>25</v>
      </c>
      <c r="C248" s="8" t="s">
        <v>323</v>
      </c>
      <c r="D248" s="8" t="s">
        <v>326</v>
      </c>
      <c r="E248" s="9">
        <f t="shared" si="0"/>
        <v>46.380090497737555</v>
      </c>
      <c r="F248" s="10">
        <v>41</v>
      </c>
      <c r="G248" s="11">
        <v>884</v>
      </c>
      <c r="H248" s="12"/>
    </row>
    <row r="249" spans="1:12" ht="15.75" customHeight="1">
      <c r="A249" s="7">
        <v>60401</v>
      </c>
      <c r="B249" s="8" t="s">
        <v>25</v>
      </c>
      <c r="C249" s="8" t="s">
        <v>327</v>
      </c>
      <c r="D249" s="8" t="s">
        <v>328</v>
      </c>
      <c r="E249" s="9">
        <f t="shared" si="0"/>
        <v>13.937282229965156</v>
      </c>
      <c r="F249" s="10">
        <v>4</v>
      </c>
      <c r="G249" s="11">
        <v>287</v>
      </c>
      <c r="H249" s="12"/>
    </row>
    <row r="250" spans="1:12" ht="15.75" customHeight="1">
      <c r="A250" s="7">
        <v>60402</v>
      </c>
      <c r="B250" s="8" t="s">
        <v>25</v>
      </c>
      <c r="C250" s="8" t="s">
        <v>327</v>
      </c>
      <c r="D250" s="8" t="s">
        <v>329</v>
      </c>
      <c r="E250" s="9">
        <f t="shared" si="0"/>
        <v>85.470085470085465</v>
      </c>
      <c r="F250" s="10">
        <v>10</v>
      </c>
      <c r="G250" s="11">
        <v>117</v>
      </c>
      <c r="H250" s="12"/>
    </row>
    <row r="251" spans="1:12" ht="15.75" customHeight="1">
      <c r="A251" s="7">
        <v>60501</v>
      </c>
      <c r="B251" s="8" t="s">
        <v>25</v>
      </c>
      <c r="C251" s="8" t="s">
        <v>330</v>
      </c>
      <c r="D251" s="8" t="s">
        <v>331</v>
      </c>
      <c r="E251" s="9">
        <f t="shared" si="0"/>
        <v>33.816425120772948</v>
      </c>
      <c r="F251" s="10">
        <v>14</v>
      </c>
      <c r="G251" s="11">
        <v>414</v>
      </c>
      <c r="H251" s="12"/>
    </row>
    <row r="252" spans="1:12" ht="15.75" customHeight="1">
      <c r="A252" s="7">
        <v>60502</v>
      </c>
      <c r="B252" s="8" t="s">
        <v>25</v>
      </c>
      <c r="C252" s="8" t="s">
        <v>330</v>
      </c>
      <c r="D252" s="8" t="s">
        <v>332</v>
      </c>
      <c r="E252" s="9">
        <f t="shared" si="0"/>
        <v>40.178571428571431</v>
      </c>
      <c r="F252" s="10">
        <v>9</v>
      </c>
      <c r="G252" s="11">
        <v>224</v>
      </c>
      <c r="H252" s="12"/>
    </row>
    <row r="253" spans="1:12" ht="15.75" customHeight="1">
      <c r="A253" s="7">
        <v>60601</v>
      </c>
      <c r="B253" s="8" t="s">
        <v>25</v>
      </c>
      <c r="C253" s="8" t="s">
        <v>333</v>
      </c>
      <c r="D253" s="8" t="s">
        <v>205</v>
      </c>
      <c r="E253" s="9">
        <f t="shared" si="0"/>
        <v>21.176470588235293</v>
      </c>
      <c r="F253" s="10">
        <v>9</v>
      </c>
      <c r="G253" s="11">
        <v>425</v>
      </c>
      <c r="H253" s="12"/>
    </row>
    <row r="254" spans="1:12" ht="15.75" customHeight="1">
      <c r="A254" s="7">
        <v>70101</v>
      </c>
      <c r="B254" s="8" t="s">
        <v>27</v>
      </c>
      <c r="C254" s="8" t="s">
        <v>334</v>
      </c>
      <c r="D254" s="8" t="s">
        <v>335</v>
      </c>
      <c r="E254" s="9">
        <f t="shared" si="0"/>
        <v>31.405374787588897</v>
      </c>
      <c r="F254" s="10">
        <v>998</v>
      </c>
      <c r="G254" s="11">
        <v>31778</v>
      </c>
      <c r="H254" s="12"/>
    </row>
    <row r="255" spans="1:12" ht="15.75" customHeight="1">
      <c r="A255" s="7">
        <v>70102</v>
      </c>
      <c r="B255" s="8" t="s">
        <v>27</v>
      </c>
      <c r="C255" s="8" t="s">
        <v>334</v>
      </c>
      <c r="D255" s="8" t="s">
        <v>336</v>
      </c>
      <c r="E255" s="9">
        <f t="shared" si="0"/>
        <v>55.916775032509754</v>
      </c>
      <c r="F255" s="10">
        <v>86</v>
      </c>
      <c r="G255" s="11">
        <v>1538</v>
      </c>
      <c r="H255" s="12"/>
    </row>
    <row r="256" spans="1:12" ht="15.75" customHeight="1">
      <c r="A256" s="7">
        <v>70103</v>
      </c>
      <c r="B256" s="8" t="s">
        <v>27</v>
      </c>
      <c r="C256" s="8" t="s">
        <v>334</v>
      </c>
      <c r="D256" s="8" t="s">
        <v>337</v>
      </c>
      <c r="E256" s="9">
        <f t="shared" si="0"/>
        <v>18.75</v>
      </c>
      <c r="F256" s="10">
        <v>6</v>
      </c>
      <c r="G256" s="11">
        <v>320</v>
      </c>
      <c r="H256" s="12"/>
    </row>
    <row r="257" spans="1:8" ht="15.75" customHeight="1">
      <c r="A257" s="7">
        <v>70104</v>
      </c>
      <c r="B257" s="8" t="s">
        <v>27</v>
      </c>
      <c r="C257" s="8" t="s">
        <v>334</v>
      </c>
      <c r="D257" s="8" t="s">
        <v>338</v>
      </c>
      <c r="E257" s="9">
        <f t="shared" ref="E257:E344" si="12">(F257/G257)*1000</f>
        <v>26.990553306342782</v>
      </c>
      <c r="F257" s="10">
        <v>60</v>
      </c>
      <c r="G257" s="11">
        <v>2223</v>
      </c>
      <c r="H257" s="12"/>
    </row>
    <row r="258" spans="1:8" ht="15.75" customHeight="1">
      <c r="A258" s="7">
        <v>70105</v>
      </c>
      <c r="B258" s="8" t="s">
        <v>27</v>
      </c>
      <c r="C258" s="8" t="s">
        <v>334</v>
      </c>
      <c r="D258" s="8" t="s">
        <v>339</v>
      </c>
      <c r="E258" s="9">
        <f t="shared" si="12"/>
        <v>34.946236559139784</v>
      </c>
      <c r="F258" s="10">
        <v>39</v>
      </c>
      <c r="G258" s="11">
        <v>1116</v>
      </c>
      <c r="H258" s="12"/>
    </row>
    <row r="259" spans="1:8" ht="15.75" customHeight="1">
      <c r="A259" s="7">
        <v>70201</v>
      </c>
      <c r="B259" s="8" t="s">
        <v>27</v>
      </c>
      <c r="C259" s="8" t="s">
        <v>340</v>
      </c>
      <c r="D259" s="8" t="s">
        <v>340</v>
      </c>
      <c r="E259" s="9">
        <f t="shared" si="12"/>
        <v>28.636021100226074</v>
      </c>
      <c r="F259" s="10">
        <v>76</v>
      </c>
      <c r="G259" s="11">
        <v>2654</v>
      </c>
      <c r="H259" s="12"/>
    </row>
    <row r="260" spans="1:8" ht="15.75" customHeight="1">
      <c r="A260" s="7">
        <v>70202</v>
      </c>
      <c r="B260" s="8" t="s">
        <v>27</v>
      </c>
      <c r="C260" s="8" t="s">
        <v>340</v>
      </c>
      <c r="D260" s="8" t="s">
        <v>341</v>
      </c>
      <c r="E260" s="9">
        <f t="shared" si="12"/>
        <v>23.17880794701987</v>
      </c>
      <c r="F260" s="10">
        <v>7</v>
      </c>
      <c r="G260" s="11">
        <v>302</v>
      </c>
      <c r="H260" s="12"/>
    </row>
    <row r="261" spans="1:8" ht="15.75" customHeight="1">
      <c r="A261" s="7">
        <v>70301</v>
      </c>
      <c r="B261" s="8" t="s">
        <v>27</v>
      </c>
      <c r="C261" s="8" t="s">
        <v>342</v>
      </c>
      <c r="D261" s="8" t="s">
        <v>343</v>
      </c>
      <c r="E261" s="9">
        <f t="shared" si="12"/>
        <v>43.617703656189867</v>
      </c>
      <c r="F261" s="10">
        <v>68</v>
      </c>
      <c r="G261" s="11">
        <v>1559</v>
      </c>
      <c r="H261" s="12"/>
    </row>
    <row r="262" spans="1:8" ht="15.75" customHeight="1">
      <c r="A262" s="7">
        <v>70302</v>
      </c>
      <c r="B262" s="8" t="s">
        <v>27</v>
      </c>
      <c r="C262" s="8" t="s">
        <v>342</v>
      </c>
      <c r="D262" s="8" t="s">
        <v>344</v>
      </c>
      <c r="E262" s="9">
        <f t="shared" si="12"/>
        <v>56.53710247349823</v>
      </c>
      <c r="F262" s="10">
        <v>16</v>
      </c>
      <c r="G262" s="11">
        <v>283</v>
      </c>
      <c r="H262" s="12"/>
    </row>
    <row r="263" spans="1:8" ht="15.75" customHeight="1">
      <c r="A263" s="7">
        <v>70303</v>
      </c>
      <c r="B263" s="8" t="s">
        <v>27</v>
      </c>
      <c r="C263" s="8" t="s">
        <v>342</v>
      </c>
      <c r="D263" s="8" t="s">
        <v>345</v>
      </c>
      <c r="E263" s="9">
        <f t="shared" si="12"/>
        <v>69.444444444444443</v>
      </c>
      <c r="F263" s="10">
        <v>10</v>
      </c>
      <c r="G263" s="11">
        <v>144</v>
      </c>
      <c r="H263" s="12"/>
    </row>
    <row r="264" spans="1:8" ht="15.75" customHeight="1">
      <c r="A264" s="7">
        <v>70401</v>
      </c>
      <c r="B264" s="8" t="s">
        <v>27</v>
      </c>
      <c r="C264" s="8" t="s">
        <v>346</v>
      </c>
      <c r="D264" s="8" t="s">
        <v>347</v>
      </c>
      <c r="E264" s="9">
        <f t="shared" si="12"/>
        <v>28.481012658227847</v>
      </c>
      <c r="F264" s="10">
        <v>9</v>
      </c>
      <c r="G264" s="11">
        <v>316</v>
      </c>
      <c r="H264" s="12"/>
    </row>
    <row r="265" spans="1:8" ht="15.75" customHeight="1">
      <c r="A265" s="7">
        <v>70402</v>
      </c>
      <c r="B265" s="8" t="s">
        <v>27</v>
      </c>
      <c r="C265" s="8" t="s">
        <v>346</v>
      </c>
      <c r="D265" s="8" t="s">
        <v>348</v>
      </c>
      <c r="E265" s="9">
        <f t="shared" si="12"/>
        <v>29.469548133595286</v>
      </c>
      <c r="F265" s="10">
        <v>15</v>
      </c>
      <c r="G265" s="11">
        <v>509</v>
      </c>
      <c r="H265" s="12"/>
    </row>
    <row r="266" spans="1:8" ht="15.75" customHeight="1">
      <c r="A266" s="7">
        <v>70403</v>
      </c>
      <c r="B266" s="8" t="s">
        <v>27</v>
      </c>
      <c r="C266" s="8" t="s">
        <v>346</v>
      </c>
      <c r="D266" s="8" t="s">
        <v>349</v>
      </c>
      <c r="E266" s="9">
        <f t="shared" si="12"/>
        <v>69.958847736625515</v>
      </c>
      <c r="F266" s="10">
        <v>85</v>
      </c>
      <c r="G266" s="11">
        <v>1215</v>
      </c>
      <c r="H266" s="12"/>
    </row>
    <row r="267" spans="1:8" ht="15.75" customHeight="1">
      <c r="A267" s="7">
        <v>70404</v>
      </c>
      <c r="B267" s="8" t="s">
        <v>27</v>
      </c>
      <c r="C267" s="8" t="s">
        <v>346</v>
      </c>
      <c r="D267" s="8" t="s">
        <v>350</v>
      </c>
      <c r="E267" s="9">
        <f t="shared" si="12"/>
        <v>38.626609442060087</v>
      </c>
      <c r="F267" s="10">
        <v>9</v>
      </c>
      <c r="G267" s="11">
        <v>233</v>
      </c>
      <c r="H267" s="12"/>
    </row>
    <row r="268" spans="1:8" ht="15.75" customHeight="1">
      <c r="A268" s="7">
        <v>70501</v>
      </c>
      <c r="B268" s="8" t="s">
        <v>27</v>
      </c>
      <c r="C268" s="8" t="s">
        <v>351</v>
      </c>
      <c r="D268" s="8" t="s">
        <v>352</v>
      </c>
      <c r="E268" s="9">
        <f t="shared" si="12"/>
        <v>21.304926764314249</v>
      </c>
      <c r="F268" s="10">
        <v>16</v>
      </c>
      <c r="G268" s="11">
        <v>751</v>
      </c>
      <c r="H268" s="12"/>
    </row>
    <row r="269" spans="1:8" ht="15.75" customHeight="1">
      <c r="A269" s="7">
        <v>70502</v>
      </c>
      <c r="B269" s="8" t="s">
        <v>27</v>
      </c>
      <c r="C269" s="8" t="s">
        <v>351</v>
      </c>
      <c r="D269" s="8" t="s">
        <v>353</v>
      </c>
      <c r="E269" s="9">
        <f t="shared" si="12"/>
        <v>29.041626331074539</v>
      </c>
      <c r="F269" s="10">
        <v>30</v>
      </c>
      <c r="G269" s="11">
        <v>1033</v>
      </c>
      <c r="H269" s="12"/>
    </row>
    <row r="270" spans="1:8" ht="15.75" customHeight="1">
      <c r="A270" s="7">
        <v>70503</v>
      </c>
      <c r="B270" s="8" t="s">
        <v>27</v>
      </c>
      <c r="C270" s="8" t="s">
        <v>351</v>
      </c>
      <c r="D270" s="8" t="s">
        <v>354</v>
      </c>
      <c r="E270" s="9">
        <f t="shared" si="12"/>
        <v>51.829268292682926</v>
      </c>
      <c r="F270" s="10">
        <v>17</v>
      </c>
      <c r="G270" s="11">
        <v>328</v>
      </c>
      <c r="H270" s="12"/>
    </row>
    <row r="271" spans="1:8" ht="15.75" customHeight="1">
      <c r="A271" s="7">
        <v>70601</v>
      </c>
      <c r="B271" s="8" t="s">
        <v>27</v>
      </c>
      <c r="C271" s="8" t="s">
        <v>355</v>
      </c>
      <c r="D271" s="8" t="s">
        <v>356</v>
      </c>
      <c r="E271" s="9">
        <f t="shared" si="12"/>
        <v>18.306636155606409</v>
      </c>
      <c r="F271" s="10">
        <v>8</v>
      </c>
      <c r="G271" s="11">
        <v>437</v>
      </c>
      <c r="H271" s="12"/>
    </row>
    <row r="272" spans="1:8" ht="15.75" customHeight="1">
      <c r="A272" s="7">
        <v>70602</v>
      </c>
      <c r="B272" s="8" t="s">
        <v>27</v>
      </c>
      <c r="C272" s="8" t="s">
        <v>355</v>
      </c>
      <c r="D272" s="8" t="s">
        <v>357</v>
      </c>
      <c r="E272" s="9">
        <f t="shared" si="12"/>
        <v>36.144578313253014</v>
      </c>
      <c r="F272" s="10">
        <v>18</v>
      </c>
      <c r="G272" s="11">
        <v>498</v>
      </c>
      <c r="H272" s="12"/>
    </row>
    <row r="273" spans="1:8" ht="15.75" customHeight="1">
      <c r="A273" s="7">
        <v>70603</v>
      </c>
      <c r="B273" s="8" t="s">
        <v>27</v>
      </c>
      <c r="C273" s="8" t="s">
        <v>355</v>
      </c>
      <c r="D273" s="8" t="s">
        <v>358</v>
      </c>
      <c r="E273" s="9">
        <f t="shared" si="12"/>
        <v>33.333333333333336</v>
      </c>
      <c r="F273" s="10">
        <v>5</v>
      </c>
      <c r="G273" s="11">
        <v>150</v>
      </c>
      <c r="H273" s="12"/>
    </row>
    <row r="274" spans="1:8" ht="15.75" customHeight="1">
      <c r="A274" s="7">
        <v>70701</v>
      </c>
      <c r="B274" s="8" t="s">
        <v>27</v>
      </c>
      <c r="C274" s="8" t="s">
        <v>359</v>
      </c>
      <c r="D274" s="8" t="s">
        <v>360</v>
      </c>
      <c r="E274" s="9">
        <f t="shared" si="12"/>
        <v>31.007751937984494</v>
      </c>
      <c r="F274" s="10">
        <v>4</v>
      </c>
      <c r="G274" s="11">
        <v>129</v>
      </c>
      <c r="H274" s="12"/>
    </row>
    <row r="275" spans="1:8" ht="15.75" customHeight="1">
      <c r="A275" s="7">
        <v>70702</v>
      </c>
      <c r="B275" s="8" t="s">
        <v>27</v>
      </c>
      <c r="C275" s="8" t="s">
        <v>359</v>
      </c>
      <c r="D275" s="8" t="s">
        <v>361</v>
      </c>
      <c r="E275" s="9">
        <f t="shared" si="12"/>
        <v>49.327354260089685</v>
      </c>
      <c r="F275" s="10">
        <v>44</v>
      </c>
      <c r="G275" s="11">
        <v>892</v>
      </c>
      <c r="H275" s="12"/>
    </row>
    <row r="276" spans="1:8" ht="15.75" customHeight="1">
      <c r="A276" s="7">
        <v>70703</v>
      </c>
      <c r="B276" s="8" t="s">
        <v>27</v>
      </c>
      <c r="C276" s="8" t="s">
        <v>359</v>
      </c>
      <c r="D276" s="8" t="s">
        <v>362</v>
      </c>
      <c r="E276" s="9">
        <f t="shared" si="12"/>
        <v>25.33532041728763</v>
      </c>
      <c r="F276" s="10">
        <v>17</v>
      </c>
      <c r="G276" s="11">
        <v>671</v>
      </c>
      <c r="H276" s="12"/>
    </row>
    <row r="277" spans="1:8" ht="15.75" customHeight="1">
      <c r="A277" s="7">
        <v>70704</v>
      </c>
      <c r="B277" s="8" t="s">
        <v>27</v>
      </c>
      <c r="C277" s="8" t="s">
        <v>359</v>
      </c>
      <c r="D277" s="8" t="s">
        <v>363</v>
      </c>
      <c r="E277" s="9">
        <f t="shared" si="12"/>
        <v>17.857142857142858</v>
      </c>
      <c r="F277" s="10">
        <v>2</v>
      </c>
      <c r="G277" s="11">
        <v>112</v>
      </c>
      <c r="H277" s="12"/>
    </row>
    <row r="278" spans="1:8" ht="15.75" customHeight="1">
      <c r="A278" s="7">
        <v>70705</v>
      </c>
      <c r="B278" s="8" t="s">
        <v>27</v>
      </c>
      <c r="C278" s="8" t="s">
        <v>359</v>
      </c>
      <c r="D278" s="8" t="s">
        <v>364</v>
      </c>
      <c r="E278" s="9">
        <f t="shared" si="12"/>
        <v>103.55029585798816</v>
      </c>
      <c r="F278" s="10">
        <v>35</v>
      </c>
      <c r="G278" s="11">
        <v>338</v>
      </c>
      <c r="H278" s="12"/>
    </row>
    <row r="279" spans="1:8" ht="15.75" customHeight="1">
      <c r="A279" s="7">
        <v>70706</v>
      </c>
      <c r="B279" s="8" t="s">
        <v>27</v>
      </c>
      <c r="C279" s="8" t="s">
        <v>359</v>
      </c>
      <c r="D279" s="8" t="s">
        <v>365</v>
      </c>
      <c r="E279" s="9">
        <f t="shared" si="12"/>
        <v>29.940119760479043</v>
      </c>
      <c r="F279" s="10">
        <v>20</v>
      </c>
      <c r="G279" s="11">
        <v>668</v>
      </c>
      <c r="H279" s="12"/>
    </row>
    <row r="280" spans="1:8" ht="15.75" customHeight="1">
      <c r="A280" s="7">
        <v>70707</v>
      </c>
      <c r="B280" s="8" t="s">
        <v>27</v>
      </c>
      <c r="C280" s="8" t="s">
        <v>359</v>
      </c>
      <c r="D280" s="8" t="s">
        <v>366</v>
      </c>
      <c r="E280" s="9">
        <f t="shared" si="12"/>
        <v>17.699115044247787</v>
      </c>
      <c r="F280" s="10">
        <v>2</v>
      </c>
      <c r="G280" s="11">
        <v>113</v>
      </c>
      <c r="H280" s="12"/>
    </row>
    <row r="281" spans="1:8" ht="15.75" customHeight="1">
      <c r="A281" s="7">
        <v>70801</v>
      </c>
      <c r="B281" s="8" t="s">
        <v>27</v>
      </c>
      <c r="C281" s="8" t="s">
        <v>367</v>
      </c>
      <c r="D281" s="8" t="s">
        <v>367</v>
      </c>
      <c r="E281" s="9">
        <f t="shared" si="12"/>
        <v>24.691358024691358</v>
      </c>
      <c r="F281" s="10">
        <v>8</v>
      </c>
      <c r="G281" s="11">
        <v>324</v>
      </c>
      <c r="H281" s="12"/>
    </row>
    <row r="282" spans="1:8" ht="15.75" customHeight="1">
      <c r="A282" s="7">
        <v>70802</v>
      </c>
      <c r="B282" s="8" t="s">
        <v>27</v>
      </c>
      <c r="C282" s="8" t="s">
        <v>367</v>
      </c>
      <c r="D282" s="8" t="s">
        <v>368</v>
      </c>
      <c r="E282" s="9">
        <f t="shared" si="12"/>
        <v>0</v>
      </c>
      <c r="F282" s="10">
        <v>0</v>
      </c>
      <c r="G282" s="11">
        <v>33</v>
      </c>
      <c r="H282" s="12"/>
    </row>
    <row r="283" spans="1:8" ht="15.75" customHeight="1">
      <c r="A283" s="7">
        <v>70803</v>
      </c>
      <c r="B283" s="8" t="s">
        <v>27</v>
      </c>
      <c r="C283" s="8" t="s">
        <v>367</v>
      </c>
      <c r="D283" s="8" t="s">
        <v>369</v>
      </c>
      <c r="E283" s="9">
        <f t="shared" si="12"/>
        <v>0</v>
      </c>
      <c r="F283" s="10">
        <v>0</v>
      </c>
      <c r="G283" s="11">
        <v>70</v>
      </c>
      <c r="H283" s="12"/>
    </row>
    <row r="284" spans="1:8" ht="15.75" customHeight="1">
      <c r="A284" s="7">
        <v>70804</v>
      </c>
      <c r="B284" s="8" t="s">
        <v>27</v>
      </c>
      <c r="C284" s="8" t="s">
        <v>367</v>
      </c>
      <c r="D284" s="8" t="s">
        <v>370</v>
      </c>
      <c r="E284" s="9">
        <f t="shared" si="12"/>
        <v>0</v>
      </c>
      <c r="F284" s="10">
        <v>0</v>
      </c>
      <c r="G284" s="11">
        <v>46</v>
      </c>
      <c r="H284" s="12"/>
    </row>
    <row r="285" spans="1:8" ht="15.75" customHeight="1">
      <c r="A285" s="7">
        <v>70805</v>
      </c>
      <c r="B285" s="8" t="s">
        <v>27</v>
      </c>
      <c r="C285" s="8" t="s">
        <v>367</v>
      </c>
      <c r="D285" s="8" t="s">
        <v>371</v>
      </c>
      <c r="E285" s="9">
        <f t="shared" si="12"/>
        <v>0</v>
      </c>
      <c r="F285" s="10">
        <v>0</v>
      </c>
      <c r="G285" s="11">
        <v>40</v>
      </c>
      <c r="H285" s="12"/>
    </row>
    <row r="286" spans="1:8" ht="15.75" customHeight="1">
      <c r="A286" s="7">
        <v>70901</v>
      </c>
      <c r="B286" s="8" t="s">
        <v>27</v>
      </c>
      <c r="C286" s="8" t="s">
        <v>372</v>
      </c>
      <c r="D286" s="8" t="s">
        <v>373</v>
      </c>
      <c r="E286" s="9">
        <f t="shared" si="12"/>
        <v>9.3023255813953494</v>
      </c>
      <c r="F286" s="10">
        <v>2</v>
      </c>
      <c r="G286" s="11">
        <v>215</v>
      </c>
      <c r="H286" s="12"/>
    </row>
    <row r="287" spans="1:8" ht="15.75" customHeight="1">
      <c r="A287" s="7">
        <v>70902</v>
      </c>
      <c r="B287" s="8" t="s">
        <v>27</v>
      </c>
      <c r="C287" s="8" t="s">
        <v>372</v>
      </c>
      <c r="D287" s="8" t="s">
        <v>374</v>
      </c>
      <c r="E287" s="9">
        <f t="shared" si="12"/>
        <v>36.529680365296798</v>
      </c>
      <c r="F287" s="10">
        <v>8</v>
      </c>
      <c r="G287" s="11">
        <v>219</v>
      </c>
      <c r="H287" s="12"/>
    </row>
    <row r="288" spans="1:8" ht="15.75" customHeight="1">
      <c r="A288" s="7">
        <v>70903</v>
      </c>
      <c r="B288" s="8" t="s">
        <v>27</v>
      </c>
      <c r="C288" s="8" t="s">
        <v>372</v>
      </c>
      <c r="D288" s="8" t="s">
        <v>375</v>
      </c>
      <c r="E288" s="9">
        <f t="shared" si="12"/>
        <v>43.13725490196078</v>
      </c>
      <c r="F288" s="10">
        <v>11</v>
      </c>
      <c r="G288" s="11">
        <v>255</v>
      </c>
      <c r="H288" s="12"/>
    </row>
    <row r="289" spans="1:8" ht="15.75" customHeight="1">
      <c r="A289" s="7">
        <v>70904</v>
      </c>
      <c r="B289" s="8" t="s">
        <v>27</v>
      </c>
      <c r="C289" s="8" t="s">
        <v>372</v>
      </c>
      <c r="D289" s="8" t="s">
        <v>376</v>
      </c>
      <c r="E289" s="9">
        <f t="shared" si="12"/>
        <v>42.553191489361701</v>
      </c>
      <c r="F289" s="10">
        <v>2</v>
      </c>
      <c r="G289" s="11">
        <v>47</v>
      </c>
      <c r="H289" s="12"/>
    </row>
    <row r="290" spans="1:8" ht="15.75" customHeight="1">
      <c r="A290" s="7">
        <v>71001</v>
      </c>
      <c r="B290" s="8" t="s">
        <v>27</v>
      </c>
      <c r="C290" s="8" t="s">
        <v>377</v>
      </c>
      <c r="D290" s="8" t="s">
        <v>378</v>
      </c>
      <c r="E290" s="9">
        <f t="shared" si="12"/>
        <v>34.304684618222062</v>
      </c>
      <c r="F290" s="10">
        <v>93</v>
      </c>
      <c r="G290" s="11">
        <v>2711</v>
      </c>
      <c r="H290" s="12"/>
    </row>
    <row r="291" spans="1:8" ht="15.75" customHeight="1">
      <c r="A291" s="7">
        <v>71002</v>
      </c>
      <c r="B291" s="8" t="s">
        <v>27</v>
      </c>
      <c r="C291" s="8" t="s">
        <v>377</v>
      </c>
      <c r="D291" s="8" t="s">
        <v>379</v>
      </c>
      <c r="E291" s="9">
        <f t="shared" si="12"/>
        <v>32.87671232876712</v>
      </c>
      <c r="F291" s="10">
        <v>12</v>
      </c>
      <c r="G291" s="11">
        <v>365</v>
      </c>
      <c r="H291" s="12"/>
    </row>
    <row r="292" spans="1:8" ht="15.75" customHeight="1">
      <c r="A292" s="7">
        <v>71003</v>
      </c>
      <c r="B292" s="8" t="s">
        <v>27</v>
      </c>
      <c r="C292" s="8" t="s">
        <v>377</v>
      </c>
      <c r="D292" s="8" t="s">
        <v>380</v>
      </c>
      <c r="E292" s="9">
        <f t="shared" si="12"/>
        <v>73.783359497645208</v>
      </c>
      <c r="F292" s="10">
        <v>47</v>
      </c>
      <c r="G292" s="11">
        <v>637</v>
      </c>
      <c r="H292" s="12"/>
    </row>
    <row r="293" spans="1:8" ht="15.75" customHeight="1">
      <c r="A293" s="7">
        <v>71004</v>
      </c>
      <c r="B293" s="8" t="s">
        <v>27</v>
      </c>
      <c r="C293" s="8" t="s">
        <v>377</v>
      </c>
      <c r="D293" s="8" t="s">
        <v>381</v>
      </c>
      <c r="E293" s="9">
        <f t="shared" si="12"/>
        <v>58.651026392961882</v>
      </c>
      <c r="F293" s="10">
        <v>20</v>
      </c>
      <c r="G293" s="11">
        <v>341</v>
      </c>
      <c r="H293" s="12"/>
    </row>
    <row r="294" spans="1:8" ht="15.75" customHeight="1">
      <c r="A294" s="7">
        <v>71005</v>
      </c>
      <c r="B294" s="8" t="s">
        <v>27</v>
      </c>
      <c r="C294" s="8" t="s">
        <v>377</v>
      </c>
      <c r="D294" s="8" t="s">
        <v>382</v>
      </c>
      <c r="E294" s="9">
        <f t="shared" si="12"/>
        <v>28.571428571428569</v>
      </c>
      <c r="F294" s="10">
        <v>12</v>
      </c>
      <c r="G294" s="11">
        <v>420</v>
      </c>
      <c r="H294" s="12"/>
    </row>
    <row r="295" spans="1:8" ht="15.75" customHeight="1">
      <c r="A295" s="7">
        <v>71101</v>
      </c>
      <c r="B295" s="8" t="s">
        <v>27</v>
      </c>
      <c r="C295" s="8" t="s">
        <v>383</v>
      </c>
      <c r="D295" s="8" t="s">
        <v>384</v>
      </c>
      <c r="E295" s="9">
        <f t="shared" si="12"/>
        <v>46.816479400749067</v>
      </c>
      <c r="F295" s="10">
        <v>25</v>
      </c>
      <c r="G295" s="11">
        <v>534</v>
      </c>
      <c r="H295" s="12"/>
    </row>
    <row r="296" spans="1:8" ht="15.75" customHeight="1">
      <c r="A296" s="7">
        <v>71102</v>
      </c>
      <c r="B296" s="8" t="s">
        <v>27</v>
      </c>
      <c r="C296" s="8" t="s">
        <v>383</v>
      </c>
      <c r="D296" s="8" t="s">
        <v>385</v>
      </c>
      <c r="E296" s="9">
        <f t="shared" si="12"/>
        <v>87.818696883852681</v>
      </c>
      <c r="F296" s="10">
        <v>31</v>
      </c>
      <c r="G296" s="11">
        <v>353</v>
      </c>
      <c r="H296" s="12"/>
    </row>
    <row r="297" spans="1:8" ht="15.75" customHeight="1">
      <c r="A297" s="7">
        <v>71103</v>
      </c>
      <c r="B297" s="8" t="s">
        <v>27</v>
      </c>
      <c r="C297" s="8" t="s">
        <v>383</v>
      </c>
      <c r="D297" s="8" t="s">
        <v>386</v>
      </c>
      <c r="E297" s="9">
        <f t="shared" si="12"/>
        <v>49.627791563275437</v>
      </c>
      <c r="F297" s="10">
        <v>60</v>
      </c>
      <c r="G297" s="11">
        <v>1209</v>
      </c>
      <c r="H297" s="12"/>
    </row>
    <row r="298" spans="1:8" ht="15.75" customHeight="1">
      <c r="A298" s="7">
        <v>71104</v>
      </c>
      <c r="B298" s="8" t="s">
        <v>27</v>
      </c>
      <c r="C298" s="8" t="s">
        <v>383</v>
      </c>
      <c r="D298" s="8" t="s">
        <v>387</v>
      </c>
      <c r="E298" s="9">
        <f t="shared" si="12"/>
        <v>135.48387096774195</v>
      </c>
      <c r="F298" s="10">
        <v>21</v>
      </c>
      <c r="G298" s="11">
        <v>155</v>
      </c>
      <c r="H298" s="12"/>
    </row>
    <row r="299" spans="1:8" ht="15.75" customHeight="1">
      <c r="A299" s="7">
        <v>71105</v>
      </c>
      <c r="B299" s="8" t="s">
        <v>27</v>
      </c>
      <c r="C299" s="8" t="s">
        <v>383</v>
      </c>
      <c r="D299" s="8" t="s">
        <v>388</v>
      </c>
      <c r="E299" s="9">
        <f t="shared" si="12"/>
        <v>32.407407407407405</v>
      </c>
      <c r="F299" s="10">
        <v>7</v>
      </c>
      <c r="G299" s="11">
        <v>216</v>
      </c>
      <c r="H299" s="12"/>
    </row>
    <row r="300" spans="1:8" ht="15.75" customHeight="1">
      <c r="A300" s="7">
        <v>71106</v>
      </c>
      <c r="B300" s="8" t="s">
        <v>27</v>
      </c>
      <c r="C300" s="8" t="s">
        <v>383</v>
      </c>
      <c r="D300" s="8" t="s">
        <v>389</v>
      </c>
      <c r="E300" s="9">
        <f t="shared" si="12"/>
        <v>39.586919104991395</v>
      </c>
      <c r="F300" s="10">
        <v>23</v>
      </c>
      <c r="G300" s="11">
        <v>581</v>
      </c>
      <c r="H300" s="12"/>
    </row>
    <row r="301" spans="1:8" ht="15.75" customHeight="1">
      <c r="A301" s="7">
        <v>71201</v>
      </c>
      <c r="B301" s="8" t="s">
        <v>27</v>
      </c>
      <c r="C301" s="8" t="s">
        <v>390</v>
      </c>
      <c r="D301" s="8" t="s">
        <v>391</v>
      </c>
      <c r="E301" s="9">
        <f t="shared" si="12"/>
        <v>33.707865168539328</v>
      </c>
      <c r="F301" s="10">
        <v>12</v>
      </c>
      <c r="G301" s="11">
        <v>356</v>
      </c>
      <c r="H301" s="12"/>
    </row>
    <row r="302" spans="1:8" ht="15.75" customHeight="1">
      <c r="A302" s="7">
        <v>71301</v>
      </c>
      <c r="B302" s="8" t="s">
        <v>27</v>
      </c>
      <c r="C302" s="8" t="s">
        <v>392</v>
      </c>
      <c r="D302" s="8" t="s">
        <v>393</v>
      </c>
      <c r="E302" s="9">
        <f t="shared" si="12"/>
        <v>37.946428571428569</v>
      </c>
      <c r="F302" s="10">
        <v>17</v>
      </c>
      <c r="G302" s="11">
        <v>448</v>
      </c>
      <c r="H302" s="12"/>
    </row>
    <row r="303" spans="1:8" ht="15.75" customHeight="1">
      <c r="A303" s="7">
        <v>71302</v>
      </c>
      <c r="B303" s="8" t="s">
        <v>27</v>
      </c>
      <c r="C303" s="8" t="s">
        <v>392</v>
      </c>
      <c r="D303" s="8" t="s">
        <v>394</v>
      </c>
      <c r="E303" s="9">
        <f t="shared" si="12"/>
        <v>34.285714285714285</v>
      </c>
      <c r="F303" s="10">
        <v>6</v>
      </c>
      <c r="G303" s="11">
        <v>175</v>
      </c>
      <c r="H303" s="12"/>
    </row>
    <row r="304" spans="1:8" ht="15.75" customHeight="1">
      <c r="A304" s="7">
        <v>71401</v>
      </c>
      <c r="B304" s="8" t="s">
        <v>27</v>
      </c>
      <c r="C304" s="8" t="s">
        <v>395</v>
      </c>
      <c r="D304" s="8" t="s">
        <v>396</v>
      </c>
      <c r="E304" s="9">
        <f t="shared" si="12"/>
        <v>23.49869451697128</v>
      </c>
      <c r="F304" s="10">
        <v>9</v>
      </c>
      <c r="G304" s="11">
        <v>383</v>
      </c>
      <c r="H304" s="12"/>
    </row>
    <row r="305" spans="1:8" ht="15.75" customHeight="1">
      <c r="A305" s="7">
        <v>71402</v>
      </c>
      <c r="B305" s="8" t="s">
        <v>27</v>
      </c>
      <c r="C305" s="8" t="s">
        <v>395</v>
      </c>
      <c r="D305" s="8" t="s">
        <v>397</v>
      </c>
      <c r="E305" s="9">
        <f t="shared" si="12"/>
        <v>40.094339622641506</v>
      </c>
      <c r="F305" s="10">
        <v>17</v>
      </c>
      <c r="G305" s="11">
        <v>424</v>
      </c>
      <c r="H305" s="12"/>
    </row>
    <row r="306" spans="1:8" ht="15.75" customHeight="1">
      <c r="A306" s="7">
        <v>71403</v>
      </c>
      <c r="B306" s="8" t="s">
        <v>27</v>
      </c>
      <c r="C306" s="8" t="s">
        <v>395</v>
      </c>
      <c r="D306" s="8" t="s">
        <v>398</v>
      </c>
      <c r="E306" s="9">
        <f t="shared" si="12"/>
        <v>45.801526717557252</v>
      </c>
      <c r="F306" s="10">
        <v>6</v>
      </c>
      <c r="G306" s="11">
        <v>131</v>
      </c>
      <c r="H306" s="12"/>
    </row>
    <row r="307" spans="1:8" ht="15.75" customHeight="1">
      <c r="A307" s="7">
        <v>71501</v>
      </c>
      <c r="B307" s="8" t="s">
        <v>27</v>
      </c>
      <c r="C307" s="8" t="s">
        <v>399</v>
      </c>
      <c r="D307" s="8" t="s">
        <v>400</v>
      </c>
      <c r="E307" s="9">
        <f t="shared" si="12"/>
        <v>37.241379310344826</v>
      </c>
      <c r="F307" s="10">
        <v>27</v>
      </c>
      <c r="G307" s="11">
        <v>725</v>
      </c>
      <c r="H307" s="12"/>
    </row>
    <row r="308" spans="1:8" ht="15.75" customHeight="1">
      <c r="A308" s="7">
        <v>71502</v>
      </c>
      <c r="B308" s="8" t="s">
        <v>27</v>
      </c>
      <c r="C308" s="8" t="s">
        <v>399</v>
      </c>
      <c r="D308" s="8" t="s">
        <v>401</v>
      </c>
      <c r="E308" s="9">
        <f t="shared" si="12"/>
        <v>55.248618784530386</v>
      </c>
      <c r="F308" s="10">
        <v>10</v>
      </c>
      <c r="G308" s="11">
        <v>181</v>
      </c>
      <c r="H308" s="12"/>
    </row>
    <row r="309" spans="1:8" ht="15.75" customHeight="1">
      <c r="A309" s="7">
        <v>71503</v>
      </c>
      <c r="B309" s="8" t="s">
        <v>27</v>
      </c>
      <c r="C309" s="8" t="s">
        <v>399</v>
      </c>
      <c r="D309" s="8" t="s">
        <v>332</v>
      </c>
      <c r="E309" s="9">
        <f t="shared" si="12"/>
        <v>39.800995024875618</v>
      </c>
      <c r="F309" s="10">
        <v>16</v>
      </c>
      <c r="G309" s="11">
        <v>402</v>
      </c>
      <c r="H309" s="12"/>
    </row>
    <row r="310" spans="1:8" ht="15.75" customHeight="1">
      <c r="A310" s="7">
        <v>80101</v>
      </c>
      <c r="B310" s="8" t="s">
        <v>29</v>
      </c>
      <c r="C310" s="8" t="s">
        <v>164</v>
      </c>
      <c r="D310" s="8" t="s">
        <v>402</v>
      </c>
      <c r="E310" s="9">
        <f t="shared" si="12"/>
        <v>42.007434944237922</v>
      </c>
      <c r="F310" s="10">
        <v>113</v>
      </c>
      <c r="G310" s="11">
        <v>2690</v>
      </c>
      <c r="H310" s="12"/>
    </row>
    <row r="311" spans="1:8" ht="15.75" customHeight="1">
      <c r="A311" s="7">
        <v>80102</v>
      </c>
      <c r="B311" s="8" t="s">
        <v>29</v>
      </c>
      <c r="C311" s="8" t="s">
        <v>164</v>
      </c>
      <c r="D311" s="8" t="s">
        <v>385</v>
      </c>
      <c r="E311" s="9">
        <f t="shared" si="12"/>
        <v>58.479532163742689</v>
      </c>
      <c r="F311" s="10">
        <v>10</v>
      </c>
      <c r="G311" s="11">
        <v>171</v>
      </c>
      <c r="H311" s="12"/>
    </row>
    <row r="312" spans="1:8" ht="15.75" customHeight="1">
      <c r="A312" s="7">
        <v>80201</v>
      </c>
      <c r="B312" s="8" t="s">
        <v>29</v>
      </c>
      <c r="C312" s="8" t="s">
        <v>403</v>
      </c>
      <c r="D312" s="8" t="s">
        <v>404</v>
      </c>
      <c r="E312" s="9">
        <f t="shared" si="12"/>
        <v>77.917659067710105</v>
      </c>
      <c r="F312" s="10">
        <v>229</v>
      </c>
      <c r="G312" s="11">
        <v>2939</v>
      </c>
      <c r="H312" s="12"/>
    </row>
    <row r="313" spans="1:8" ht="15.75" customHeight="1">
      <c r="A313" s="7">
        <v>80202</v>
      </c>
      <c r="B313" s="8" t="s">
        <v>29</v>
      </c>
      <c r="C313" s="8" t="s">
        <v>403</v>
      </c>
      <c r="D313" s="8" t="s">
        <v>405</v>
      </c>
      <c r="E313" s="9">
        <f t="shared" si="12"/>
        <v>49.044056525353284</v>
      </c>
      <c r="F313" s="10">
        <v>59</v>
      </c>
      <c r="G313" s="11">
        <v>1203</v>
      </c>
      <c r="H313" s="12"/>
    </row>
    <row r="314" spans="1:8" ht="15.75" customHeight="1">
      <c r="A314" s="7">
        <v>80301</v>
      </c>
      <c r="B314" s="8" t="s">
        <v>29</v>
      </c>
      <c r="C314" s="8" t="s">
        <v>406</v>
      </c>
      <c r="D314" s="8" t="s">
        <v>407</v>
      </c>
      <c r="E314" s="9">
        <f t="shared" si="12"/>
        <v>64.615384615384613</v>
      </c>
      <c r="F314" s="10">
        <v>21</v>
      </c>
      <c r="G314" s="11">
        <v>325</v>
      </c>
      <c r="H314" s="12"/>
    </row>
    <row r="315" spans="1:8" ht="15.75" customHeight="1">
      <c r="A315" s="7">
        <v>80302</v>
      </c>
      <c r="B315" s="8" t="s">
        <v>29</v>
      </c>
      <c r="C315" s="8" t="s">
        <v>406</v>
      </c>
      <c r="D315" s="8" t="s">
        <v>408</v>
      </c>
      <c r="E315" s="9">
        <f t="shared" si="12"/>
        <v>117.33333333333333</v>
      </c>
      <c r="F315" s="10">
        <v>132</v>
      </c>
      <c r="G315" s="11">
        <v>1125</v>
      </c>
      <c r="H315" s="12"/>
    </row>
    <row r="316" spans="1:8" ht="15.75" customHeight="1">
      <c r="A316" s="7">
        <v>80303</v>
      </c>
      <c r="B316" s="8" t="s">
        <v>29</v>
      </c>
      <c r="C316" s="8" t="s">
        <v>406</v>
      </c>
      <c r="D316" s="8" t="s">
        <v>409</v>
      </c>
      <c r="E316" s="9">
        <f t="shared" si="12"/>
        <v>33.333333333333336</v>
      </c>
      <c r="F316" s="10">
        <v>11</v>
      </c>
      <c r="G316" s="11">
        <v>330</v>
      </c>
      <c r="H316" s="12"/>
    </row>
    <row r="317" spans="1:8" ht="15.75" customHeight="1">
      <c r="A317" s="7">
        <v>80304</v>
      </c>
      <c r="B317" s="8" t="s">
        <v>29</v>
      </c>
      <c r="C317" s="8" t="s">
        <v>406</v>
      </c>
      <c r="D317" s="8" t="s">
        <v>410</v>
      </c>
      <c r="E317" s="9">
        <f t="shared" si="12"/>
        <v>57.971014492753625</v>
      </c>
      <c r="F317" s="10">
        <v>32</v>
      </c>
      <c r="G317" s="11">
        <v>552</v>
      </c>
      <c r="H317" s="12"/>
    </row>
    <row r="318" spans="1:8" ht="15.75" customHeight="1">
      <c r="A318" s="7">
        <v>80401</v>
      </c>
      <c r="B318" s="8" t="s">
        <v>29</v>
      </c>
      <c r="C318" s="8" t="s">
        <v>411</v>
      </c>
      <c r="D318" s="8" t="s">
        <v>412</v>
      </c>
      <c r="E318" s="9">
        <f t="shared" si="12"/>
        <v>73.73271889400921</v>
      </c>
      <c r="F318" s="10">
        <v>32</v>
      </c>
      <c r="G318" s="11">
        <v>434</v>
      </c>
      <c r="H318" s="12"/>
    </row>
    <row r="319" spans="1:8" ht="15.75" customHeight="1">
      <c r="A319" s="7">
        <v>80402</v>
      </c>
      <c r="B319" s="8" t="s">
        <v>29</v>
      </c>
      <c r="C319" s="8" t="s">
        <v>411</v>
      </c>
      <c r="D319" s="8" t="s">
        <v>413</v>
      </c>
      <c r="E319" s="9">
        <f t="shared" si="12"/>
        <v>21.857923497267759</v>
      </c>
      <c r="F319" s="10">
        <v>4</v>
      </c>
      <c r="G319" s="11">
        <v>183</v>
      </c>
      <c r="H319" s="12"/>
    </row>
    <row r="320" spans="1:8" ht="15.75" customHeight="1">
      <c r="A320" s="7">
        <v>80501</v>
      </c>
      <c r="B320" s="8" t="s">
        <v>29</v>
      </c>
      <c r="C320" s="8" t="s">
        <v>414</v>
      </c>
      <c r="D320" s="8" t="s">
        <v>415</v>
      </c>
      <c r="E320" s="9">
        <f t="shared" si="12"/>
        <v>75.438596491228068</v>
      </c>
      <c r="F320" s="10">
        <v>43</v>
      </c>
      <c r="G320" s="11">
        <v>570</v>
      </c>
      <c r="H320" s="12"/>
    </row>
    <row r="321" spans="1:8" ht="15.75" customHeight="1">
      <c r="A321" s="7">
        <v>80601</v>
      </c>
      <c r="B321" s="8" t="s">
        <v>29</v>
      </c>
      <c r="C321" s="8" t="s">
        <v>416</v>
      </c>
      <c r="D321" s="8" t="s">
        <v>417</v>
      </c>
      <c r="E321" s="9">
        <f t="shared" si="12"/>
        <v>46.875</v>
      </c>
      <c r="F321" s="10">
        <v>6</v>
      </c>
      <c r="G321" s="11">
        <v>128</v>
      </c>
      <c r="H321" s="12"/>
    </row>
    <row r="322" spans="1:8" ht="15.75" customHeight="1">
      <c r="A322" s="7">
        <v>80602</v>
      </c>
      <c r="B322" s="8" t="s">
        <v>29</v>
      </c>
      <c r="C322" s="8" t="s">
        <v>416</v>
      </c>
      <c r="D322" s="8" t="s">
        <v>418</v>
      </c>
      <c r="E322" s="9">
        <f t="shared" si="12"/>
        <v>33.707865168539328</v>
      </c>
      <c r="F322" s="10">
        <v>12</v>
      </c>
      <c r="G322" s="11">
        <v>356</v>
      </c>
      <c r="H322" s="12"/>
    </row>
    <row r="323" spans="1:8" ht="15.75" customHeight="1">
      <c r="A323" s="7">
        <v>80701</v>
      </c>
      <c r="B323" s="8" t="s">
        <v>29</v>
      </c>
      <c r="C323" s="8" t="s">
        <v>419</v>
      </c>
      <c r="D323" s="8" t="s">
        <v>420</v>
      </c>
      <c r="E323" s="9">
        <f t="shared" si="12"/>
        <v>52.325581395348841</v>
      </c>
      <c r="F323" s="10">
        <v>9</v>
      </c>
      <c r="G323" s="11">
        <v>172</v>
      </c>
      <c r="H323" s="12"/>
    </row>
    <row r="324" spans="1:8" ht="15.75" customHeight="1">
      <c r="A324" s="7">
        <v>80702</v>
      </c>
      <c r="B324" s="8" t="s">
        <v>29</v>
      </c>
      <c r="C324" s="8" t="s">
        <v>419</v>
      </c>
      <c r="D324" s="8" t="s">
        <v>386</v>
      </c>
      <c r="E324" s="9">
        <f t="shared" si="12"/>
        <v>24.590163934426229</v>
      </c>
      <c r="F324" s="10">
        <v>3</v>
      </c>
      <c r="G324" s="11">
        <v>122</v>
      </c>
      <c r="H324" s="12"/>
    </row>
    <row r="325" spans="1:8" ht="15.75" customHeight="1">
      <c r="A325" s="7">
        <v>80703</v>
      </c>
      <c r="B325" s="8" t="s">
        <v>29</v>
      </c>
      <c r="C325" s="8" t="s">
        <v>419</v>
      </c>
      <c r="D325" s="8" t="s">
        <v>421</v>
      </c>
      <c r="E325" s="9">
        <f t="shared" si="12"/>
        <v>96.774193548387089</v>
      </c>
      <c r="F325" s="10">
        <v>3</v>
      </c>
      <c r="G325" s="11">
        <v>31</v>
      </c>
      <c r="H325" s="12"/>
    </row>
    <row r="326" spans="1:8" ht="15.75" customHeight="1">
      <c r="A326" s="7">
        <v>80801</v>
      </c>
      <c r="B326" s="8" t="s">
        <v>29</v>
      </c>
      <c r="C326" s="8" t="s">
        <v>422</v>
      </c>
      <c r="D326" s="8" t="s">
        <v>423</v>
      </c>
      <c r="E326" s="9">
        <f t="shared" si="12"/>
        <v>6.6889632107023411</v>
      </c>
      <c r="F326" s="10">
        <v>2</v>
      </c>
      <c r="G326" s="11">
        <v>299</v>
      </c>
      <c r="H326" s="12"/>
    </row>
    <row r="327" spans="1:8" ht="15.75" customHeight="1">
      <c r="A327" s="7">
        <v>80802</v>
      </c>
      <c r="B327" s="8" t="s">
        <v>29</v>
      </c>
      <c r="C327" s="8" t="s">
        <v>422</v>
      </c>
      <c r="D327" s="8" t="s">
        <v>424</v>
      </c>
      <c r="E327" s="9">
        <f t="shared" si="12"/>
        <v>25.641025641025639</v>
      </c>
      <c r="F327" s="10">
        <v>4</v>
      </c>
      <c r="G327" s="11">
        <v>156</v>
      </c>
      <c r="H327" s="12"/>
    </row>
    <row r="328" spans="1:8" ht="15.75" customHeight="1">
      <c r="A328" s="7">
        <v>80803</v>
      </c>
      <c r="B328" s="8" t="s">
        <v>29</v>
      </c>
      <c r="C328" s="8" t="s">
        <v>422</v>
      </c>
      <c r="D328" s="8" t="s">
        <v>425</v>
      </c>
      <c r="E328" s="9">
        <f t="shared" si="12"/>
        <v>34.188034188034194</v>
      </c>
      <c r="F328" s="10">
        <v>4</v>
      </c>
      <c r="G328" s="11">
        <v>117</v>
      </c>
      <c r="H328" s="12"/>
    </row>
    <row r="329" spans="1:8" ht="15.75" customHeight="1">
      <c r="A329" s="19">
        <v>80901</v>
      </c>
      <c r="B329" s="8" t="s">
        <v>29</v>
      </c>
      <c r="C329" s="8"/>
      <c r="D329" s="8" t="s">
        <v>426</v>
      </c>
      <c r="E329" s="9">
        <f t="shared" si="12"/>
        <v>40.650406504065039</v>
      </c>
      <c r="F329" s="10">
        <v>5</v>
      </c>
      <c r="G329" s="21">
        <v>123</v>
      </c>
      <c r="H329" s="12"/>
    </row>
    <row r="330" spans="1:8" ht="15.75" customHeight="1">
      <c r="A330" s="7">
        <v>90101</v>
      </c>
      <c r="B330" s="8" t="s">
        <v>31</v>
      </c>
      <c r="C330" s="8" t="s">
        <v>427</v>
      </c>
      <c r="D330" s="8" t="s">
        <v>428</v>
      </c>
      <c r="E330" s="9">
        <f t="shared" si="12"/>
        <v>28.824833702882483</v>
      </c>
      <c r="F330" s="10">
        <v>39</v>
      </c>
      <c r="G330" s="11">
        <v>1353</v>
      </c>
      <c r="H330" s="12"/>
    </row>
    <row r="331" spans="1:8" ht="15.75" customHeight="1">
      <c r="A331" s="7">
        <v>90102</v>
      </c>
      <c r="B331" s="8" t="s">
        <v>31</v>
      </c>
      <c r="C331" s="8" t="s">
        <v>427</v>
      </c>
      <c r="D331" s="8" t="s">
        <v>429</v>
      </c>
      <c r="E331" s="9">
        <f t="shared" si="12"/>
        <v>19.900497512437809</v>
      </c>
      <c r="F331" s="10">
        <v>4</v>
      </c>
      <c r="G331" s="11">
        <v>201</v>
      </c>
      <c r="H331" s="12"/>
    </row>
    <row r="332" spans="1:8" ht="15.75" customHeight="1">
      <c r="A332" s="7">
        <v>90103</v>
      </c>
      <c r="B332" s="8" t="s">
        <v>31</v>
      </c>
      <c r="C332" s="8" t="s">
        <v>427</v>
      </c>
      <c r="D332" s="8" t="s">
        <v>430</v>
      </c>
      <c r="E332" s="9">
        <f t="shared" si="12"/>
        <v>0</v>
      </c>
      <c r="F332" s="10">
        <v>0</v>
      </c>
      <c r="G332" s="11">
        <v>74</v>
      </c>
      <c r="H332" s="12"/>
    </row>
    <row r="333" spans="1:8" ht="15.75" customHeight="1">
      <c r="A333" s="7">
        <v>90104</v>
      </c>
      <c r="B333" s="8" t="s">
        <v>31</v>
      </c>
      <c r="C333" s="8" t="s">
        <v>427</v>
      </c>
      <c r="D333" s="8" t="s">
        <v>431</v>
      </c>
      <c r="E333" s="9">
        <f t="shared" si="12"/>
        <v>17.391304347826086</v>
      </c>
      <c r="F333" s="10">
        <v>2</v>
      </c>
      <c r="G333" s="11">
        <v>115</v>
      </c>
      <c r="H333" s="12"/>
    </row>
    <row r="334" spans="1:8" ht="15.75" customHeight="1">
      <c r="A334" s="7">
        <v>90201</v>
      </c>
      <c r="B334" s="8" t="s">
        <v>31</v>
      </c>
      <c r="C334" s="8" t="s">
        <v>432</v>
      </c>
      <c r="D334" s="8" t="s">
        <v>433</v>
      </c>
      <c r="E334" s="9">
        <f t="shared" si="12"/>
        <v>23.474178403755868</v>
      </c>
      <c r="F334" s="10">
        <v>5</v>
      </c>
      <c r="G334" s="11">
        <v>213</v>
      </c>
      <c r="H334" s="12"/>
    </row>
    <row r="335" spans="1:8" ht="15.75" customHeight="1">
      <c r="A335" s="7">
        <v>90202</v>
      </c>
      <c r="B335" s="8" t="s">
        <v>31</v>
      </c>
      <c r="C335" s="8" t="s">
        <v>432</v>
      </c>
      <c r="D335" s="8" t="s">
        <v>382</v>
      </c>
      <c r="E335" s="9">
        <f t="shared" si="12"/>
        <v>58.823529411764703</v>
      </c>
      <c r="F335" s="10">
        <v>4</v>
      </c>
      <c r="G335" s="11">
        <v>68</v>
      </c>
      <c r="H335" s="12"/>
    </row>
    <row r="336" spans="1:8" ht="15.75" customHeight="1">
      <c r="A336" s="7">
        <v>90203</v>
      </c>
      <c r="B336" s="8" t="s">
        <v>31</v>
      </c>
      <c r="C336" s="8" t="s">
        <v>432</v>
      </c>
      <c r="D336" s="8" t="s">
        <v>434</v>
      </c>
      <c r="E336" s="9">
        <f t="shared" si="12"/>
        <v>28.037383177570092</v>
      </c>
      <c r="F336" s="10">
        <v>6</v>
      </c>
      <c r="G336" s="11">
        <v>214</v>
      </c>
      <c r="H336" s="12"/>
    </row>
    <row r="337" spans="1:10" ht="15.75" customHeight="1">
      <c r="A337" s="7">
        <v>90301</v>
      </c>
      <c r="B337" s="8" t="s">
        <v>31</v>
      </c>
      <c r="C337" s="8" t="s">
        <v>435</v>
      </c>
      <c r="D337" s="8" t="s">
        <v>436</v>
      </c>
      <c r="E337" s="9">
        <f t="shared" si="12"/>
        <v>9.1743119266055047</v>
      </c>
      <c r="F337" s="10">
        <v>2</v>
      </c>
      <c r="G337" s="11">
        <v>218</v>
      </c>
      <c r="H337" s="12"/>
    </row>
    <row r="338" spans="1:10" ht="15.75" customHeight="1">
      <c r="A338" s="7">
        <v>90302</v>
      </c>
      <c r="B338" s="8" t="s">
        <v>31</v>
      </c>
      <c r="C338" s="8" t="s">
        <v>435</v>
      </c>
      <c r="D338" s="8" t="s">
        <v>437</v>
      </c>
      <c r="E338" s="9">
        <f t="shared" si="12"/>
        <v>13.986013986013987</v>
      </c>
      <c r="F338" s="10">
        <v>4</v>
      </c>
      <c r="G338" s="11">
        <v>286</v>
      </c>
      <c r="H338" s="12"/>
    </row>
    <row r="339" spans="1:10" ht="15.75" customHeight="1">
      <c r="A339" s="7">
        <v>90303</v>
      </c>
      <c r="B339" s="8" t="s">
        <v>31</v>
      </c>
      <c r="C339" s="8" t="s">
        <v>435</v>
      </c>
      <c r="D339" s="8" t="s">
        <v>438</v>
      </c>
      <c r="E339" s="9">
        <f t="shared" si="12"/>
        <v>32.051282051282051</v>
      </c>
      <c r="F339" s="10">
        <v>10</v>
      </c>
      <c r="G339" s="11">
        <v>312</v>
      </c>
      <c r="H339" s="12"/>
    </row>
    <row r="340" spans="1:10" ht="15.75" customHeight="1">
      <c r="A340" s="7">
        <v>90401</v>
      </c>
      <c r="B340" s="8" t="s">
        <v>31</v>
      </c>
      <c r="C340" s="8" t="s">
        <v>439</v>
      </c>
      <c r="D340" s="8" t="s">
        <v>440</v>
      </c>
      <c r="E340" s="9">
        <f t="shared" si="12"/>
        <v>27.777777777777775</v>
      </c>
      <c r="F340" s="10">
        <v>2</v>
      </c>
      <c r="G340" s="11">
        <v>72</v>
      </c>
      <c r="H340" s="12"/>
    </row>
    <row r="341" spans="1:10" ht="15.75" customHeight="1">
      <c r="A341" s="7">
        <v>90402</v>
      </c>
      <c r="B341" s="8" t="s">
        <v>31</v>
      </c>
      <c r="C341" s="8" t="s">
        <v>439</v>
      </c>
      <c r="D341" s="8" t="s">
        <v>102</v>
      </c>
      <c r="E341" s="9">
        <f t="shared" si="12"/>
        <v>58.823529411764703</v>
      </c>
      <c r="F341" s="10">
        <v>3</v>
      </c>
      <c r="G341" s="11">
        <v>51</v>
      </c>
      <c r="H341" s="12"/>
    </row>
    <row r="342" spans="1:10" ht="15.75" customHeight="1">
      <c r="A342" s="7">
        <v>90501</v>
      </c>
      <c r="B342" s="8" t="s">
        <v>31</v>
      </c>
      <c r="C342" s="8" t="s">
        <v>441</v>
      </c>
      <c r="D342" s="8" t="s">
        <v>442</v>
      </c>
      <c r="E342" s="9">
        <f t="shared" si="12"/>
        <v>35.087719298245609</v>
      </c>
      <c r="F342" s="10">
        <v>2</v>
      </c>
      <c r="G342" s="11">
        <v>57</v>
      </c>
      <c r="H342" s="12"/>
    </row>
    <row r="343" spans="1:10" ht="15.75" customHeight="1">
      <c r="A343" s="7">
        <v>90502</v>
      </c>
      <c r="B343" s="8" t="s">
        <v>31</v>
      </c>
      <c r="C343" s="8" t="s">
        <v>441</v>
      </c>
      <c r="D343" s="8" t="s">
        <v>443</v>
      </c>
      <c r="E343" s="9">
        <f t="shared" si="12"/>
        <v>21.739130434782609</v>
      </c>
      <c r="F343" s="10">
        <v>2</v>
      </c>
      <c r="G343" s="11">
        <v>92</v>
      </c>
      <c r="H343" s="12"/>
    </row>
    <row r="344" spans="1:10" ht="15.75" customHeight="1">
      <c r="A344" s="7">
        <v>90503</v>
      </c>
      <c r="B344" s="8" t="s">
        <v>31</v>
      </c>
      <c r="C344" s="8" t="s">
        <v>441</v>
      </c>
      <c r="D344" s="8" t="s">
        <v>444</v>
      </c>
      <c r="E344" s="9">
        <f t="shared" si="12"/>
        <v>76.923076923076934</v>
      </c>
      <c r="F344" s="22">
        <v>6</v>
      </c>
      <c r="G344" s="23">
        <v>78</v>
      </c>
      <c r="H344" s="12"/>
    </row>
    <row r="345" spans="1:10" ht="15.75" customHeight="1">
      <c r="A345" s="24"/>
      <c r="D345" s="25"/>
      <c r="E345" s="26"/>
      <c r="F345" s="27"/>
      <c r="G345" s="27"/>
      <c r="H345" s="28"/>
      <c r="J345" s="20"/>
    </row>
    <row r="346" spans="1:10" ht="15.75" customHeight="1">
      <c r="A346" s="24"/>
      <c r="D346" s="25" t="s">
        <v>323</v>
      </c>
      <c r="E346" s="29">
        <f>(F346/G346)*1000</f>
        <v>37.220026350461133</v>
      </c>
      <c r="F346" s="30">
        <f>SUM(F246:F248)</f>
        <v>113</v>
      </c>
      <c r="G346" s="30">
        <f>SUM(G246:G248)</f>
        <v>3036</v>
      </c>
      <c r="H346" s="12"/>
    </row>
    <row r="347" spans="1:10" ht="15.75" customHeight="1">
      <c r="A347" s="24"/>
      <c r="D347" s="31"/>
      <c r="E347" s="29"/>
      <c r="F347" s="30"/>
      <c r="G347" s="30"/>
      <c r="H347" s="32"/>
    </row>
    <row r="348" spans="1:10" ht="15.75" customHeight="1">
      <c r="A348" s="24"/>
      <c r="D348" s="25"/>
      <c r="E348" s="29"/>
      <c r="F348" s="30"/>
      <c r="G348" s="32"/>
      <c r="H348" s="32"/>
    </row>
    <row r="349" spans="1:10" ht="15.75" customHeight="1">
      <c r="A349" s="24"/>
      <c r="D349" s="25"/>
      <c r="E349" s="33"/>
      <c r="F349" s="30"/>
      <c r="G349" s="32"/>
      <c r="H349" s="32"/>
    </row>
    <row r="350" spans="1:10" ht="15.75" customHeight="1">
      <c r="A350" s="24"/>
      <c r="D350" s="25"/>
      <c r="E350" s="33"/>
      <c r="F350" s="30"/>
      <c r="G350" s="32"/>
      <c r="H350" s="32"/>
    </row>
    <row r="351" spans="1:10" ht="15.75" customHeight="1">
      <c r="A351" s="24"/>
      <c r="D351" s="25"/>
      <c r="E351" s="33"/>
      <c r="F351" s="30"/>
      <c r="G351" s="32"/>
      <c r="H351" s="32"/>
    </row>
    <row r="352" spans="1:10" ht="15.75" customHeight="1">
      <c r="A352" s="24"/>
      <c r="D352" s="25"/>
      <c r="F352" s="32"/>
      <c r="H352" s="32"/>
    </row>
    <row r="353" spans="1:7" ht="15.75" customHeight="1">
      <c r="A353" s="24"/>
      <c r="C353" s="8" t="s">
        <v>445</v>
      </c>
      <c r="D353" s="34">
        <f>AVERAGE(E344,E1:E344)</f>
        <v>65.208454761372707</v>
      </c>
      <c r="F353" s="29">
        <f>D353+D354</f>
        <v>109.96325283251377</v>
      </c>
    </row>
    <row r="354" spans="1:7" ht="15.75" customHeight="1">
      <c r="A354" s="24"/>
      <c r="C354" s="8" t="s">
        <v>446</v>
      </c>
      <c r="D354" s="35">
        <f>STDEV(E1:E344)</f>
        <v>44.754798071141074</v>
      </c>
      <c r="E354" s="36"/>
      <c r="F354" s="29">
        <f>D353-D354</f>
        <v>20.453656690231632</v>
      </c>
      <c r="G354" s="36"/>
    </row>
    <row r="355" spans="1:7" ht="15.75" customHeight="1">
      <c r="A355" s="24"/>
      <c r="C355" s="8" t="s">
        <v>447</v>
      </c>
      <c r="D355" s="35"/>
      <c r="E355" s="36"/>
      <c r="F355" s="33"/>
      <c r="G355" s="36"/>
    </row>
    <row r="356" spans="1:7" ht="15.75" customHeight="1">
      <c r="A356" s="24"/>
      <c r="C356" s="8" t="s">
        <v>448</v>
      </c>
      <c r="D356" s="35"/>
      <c r="E356" s="36"/>
      <c r="F356" s="33"/>
    </row>
    <row r="357" spans="1:7" ht="15.75" customHeight="1">
      <c r="A357" s="24"/>
      <c r="C357" s="8" t="s">
        <v>449</v>
      </c>
      <c r="D357" s="35"/>
      <c r="E357" s="36"/>
      <c r="F357" s="33"/>
    </row>
    <row r="358" spans="1:7" ht="15.75" customHeight="1">
      <c r="A358" s="24"/>
      <c r="D358" s="37"/>
      <c r="E358" s="33"/>
      <c r="F358" s="33"/>
    </row>
    <row r="359" spans="1:7" ht="15.75" customHeight="1">
      <c r="A359" s="24"/>
      <c r="D359" s="37"/>
      <c r="F359" s="33"/>
    </row>
    <row r="360" spans="1:7" ht="15.75" customHeight="1">
      <c r="A360" s="24"/>
      <c r="D360" s="37"/>
      <c r="F360" s="33"/>
    </row>
    <row r="361" spans="1:7" ht="15.75" customHeight="1">
      <c r="A361" s="24"/>
      <c r="D361" s="37"/>
      <c r="F361" s="33"/>
    </row>
    <row r="362" spans="1:7" ht="15.75" customHeight="1">
      <c r="A362" s="24"/>
      <c r="D362" s="37"/>
      <c r="F362" s="33"/>
    </row>
    <row r="363" spans="1:7" ht="15.75" customHeight="1">
      <c r="A363" s="24"/>
      <c r="D363" s="37"/>
      <c r="F363" s="33"/>
    </row>
    <row r="364" spans="1:7" ht="15.75" customHeight="1">
      <c r="A364" s="24"/>
      <c r="D364" s="37"/>
      <c r="F364" s="33"/>
    </row>
    <row r="365" spans="1:7" ht="15.75" customHeight="1">
      <c r="A365" s="24"/>
      <c r="D365" s="37"/>
      <c r="F365" s="33"/>
    </row>
    <row r="366" spans="1:7" ht="15.75" customHeight="1">
      <c r="A366" s="24"/>
      <c r="D366" s="37"/>
      <c r="F366" s="33"/>
    </row>
    <row r="367" spans="1:7" ht="15.75" customHeight="1">
      <c r="A367" s="24"/>
      <c r="D367" s="37"/>
      <c r="F367" s="33"/>
    </row>
    <row r="368" spans="1:7" ht="15.75" customHeight="1">
      <c r="A368" s="24"/>
      <c r="D368" s="37"/>
      <c r="F368" s="33"/>
    </row>
    <row r="369" spans="1:6" ht="15.75" customHeight="1">
      <c r="A369" s="24"/>
      <c r="D369" s="37"/>
      <c r="F369" s="33"/>
    </row>
    <row r="370" spans="1:6" ht="15.75" customHeight="1">
      <c r="A370" s="24"/>
      <c r="D370" s="37"/>
      <c r="F370" s="33"/>
    </row>
    <row r="371" spans="1:6" ht="15.75" customHeight="1">
      <c r="A371" s="24"/>
      <c r="D371" s="37"/>
      <c r="F371" s="33"/>
    </row>
    <row r="372" spans="1:6" ht="15.75" customHeight="1">
      <c r="A372" s="24"/>
      <c r="D372" s="37"/>
      <c r="F372" s="33"/>
    </row>
    <row r="373" spans="1:6" ht="15.75" customHeight="1">
      <c r="A373" s="24"/>
      <c r="D373" s="37"/>
      <c r="F373" s="33"/>
    </row>
    <row r="374" spans="1:6" ht="15.75" customHeight="1">
      <c r="A374" s="24"/>
      <c r="D374" s="37"/>
      <c r="F374" s="33"/>
    </row>
    <row r="375" spans="1:6" ht="15.75" customHeight="1">
      <c r="A375" s="24"/>
      <c r="D375" s="37"/>
      <c r="F375" s="33"/>
    </row>
    <row r="376" spans="1:6" ht="15.75" customHeight="1">
      <c r="A376" s="24"/>
      <c r="D376" s="37"/>
      <c r="F376" s="33"/>
    </row>
    <row r="377" spans="1:6" ht="15.75" customHeight="1">
      <c r="A377" s="24"/>
      <c r="D377" s="37"/>
      <c r="F377" s="33"/>
    </row>
    <row r="378" spans="1:6" ht="15.75" customHeight="1">
      <c r="A378" s="24"/>
      <c r="D378" s="37"/>
      <c r="F378" s="33"/>
    </row>
    <row r="379" spans="1:6" ht="15.75" customHeight="1">
      <c r="A379" s="24"/>
      <c r="D379" s="37"/>
      <c r="F379" s="33"/>
    </row>
    <row r="380" spans="1:6" ht="15.75" customHeight="1">
      <c r="A380" s="24"/>
      <c r="D380" s="37"/>
      <c r="F380" s="33"/>
    </row>
    <row r="381" spans="1:6" ht="15.75" customHeight="1">
      <c r="A381" s="24"/>
      <c r="D381" s="37"/>
      <c r="F381" s="33"/>
    </row>
    <row r="382" spans="1:6" ht="15.75" customHeight="1">
      <c r="A382" s="24"/>
      <c r="D382" s="37"/>
      <c r="F382" s="33"/>
    </row>
    <row r="383" spans="1:6" ht="15.75" customHeight="1">
      <c r="A383" s="24"/>
      <c r="D383" s="37"/>
      <c r="F383" s="33"/>
    </row>
    <row r="384" spans="1:6" ht="15.75" customHeight="1">
      <c r="A384" s="24"/>
      <c r="D384" s="37"/>
      <c r="F384" s="33"/>
    </row>
    <row r="385" spans="1:6" ht="15.75" customHeight="1">
      <c r="A385" s="24"/>
      <c r="D385" s="37"/>
      <c r="F385" s="33"/>
    </row>
    <row r="386" spans="1:6" ht="15.75" customHeight="1">
      <c r="A386" s="24"/>
      <c r="D386" s="37"/>
      <c r="F386" s="33"/>
    </row>
    <row r="387" spans="1:6" ht="15.75" customHeight="1">
      <c r="A387" s="24"/>
      <c r="D387" s="37"/>
      <c r="F387" s="33"/>
    </row>
    <row r="388" spans="1:6" ht="15.75" customHeight="1">
      <c r="A388" s="24"/>
      <c r="D388" s="37"/>
      <c r="F388" s="33"/>
    </row>
    <row r="389" spans="1:6" ht="15.75" customHeight="1">
      <c r="A389" s="24"/>
      <c r="D389" s="37"/>
      <c r="F389" s="33"/>
    </row>
    <row r="390" spans="1:6" ht="15.75" customHeight="1">
      <c r="A390" s="24"/>
      <c r="D390" s="37"/>
      <c r="F390" s="33"/>
    </row>
    <row r="391" spans="1:6" ht="15.75" customHeight="1">
      <c r="A391" s="24"/>
      <c r="D391" s="37"/>
      <c r="F391" s="33"/>
    </row>
    <row r="392" spans="1:6" ht="15.75" customHeight="1">
      <c r="A392" s="24"/>
      <c r="D392" s="37"/>
      <c r="F392" s="33"/>
    </row>
    <row r="393" spans="1:6" ht="15.75" customHeight="1">
      <c r="A393" s="24"/>
      <c r="D393" s="37"/>
      <c r="F393" s="33"/>
    </row>
    <row r="394" spans="1:6" ht="15.75" customHeight="1">
      <c r="A394" s="24"/>
      <c r="D394" s="37"/>
      <c r="F394" s="33"/>
    </row>
    <row r="395" spans="1:6" ht="15.75" customHeight="1">
      <c r="A395" s="24"/>
      <c r="D395" s="37"/>
      <c r="F395" s="33"/>
    </row>
    <row r="396" spans="1:6" ht="15.75" customHeight="1">
      <c r="A396" s="24"/>
      <c r="D396" s="37"/>
      <c r="F396" s="33"/>
    </row>
    <row r="397" spans="1:6" ht="15.75" customHeight="1">
      <c r="A397" s="24"/>
      <c r="D397" s="37"/>
      <c r="F397" s="33"/>
    </row>
    <row r="398" spans="1:6" ht="15.75" customHeight="1">
      <c r="A398" s="24"/>
      <c r="D398" s="37"/>
      <c r="F398" s="33"/>
    </row>
    <row r="399" spans="1:6" ht="15.75" customHeight="1">
      <c r="A399" s="24"/>
      <c r="D399" s="37"/>
      <c r="F399" s="33"/>
    </row>
    <row r="400" spans="1:6" ht="15.75" customHeight="1">
      <c r="A400" s="24"/>
      <c r="D400" s="37"/>
      <c r="F400" s="33"/>
    </row>
    <row r="401" spans="1:6" ht="15.75" customHeight="1">
      <c r="A401" s="24"/>
      <c r="D401" s="37"/>
      <c r="F401" s="33"/>
    </row>
    <row r="402" spans="1:6" ht="15.75" customHeight="1">
      <c r="A402" s="24"/>
      <c r="D402" s="37"/>
      <c r="F402" s="33"/>
    </row>
    <row r="403" spans="1:6" ht="15.75" customHeight="1">
      <c r="A403" s="24"/>
      <c r="D403" s="37"/>
      <c r="F403" s="33"/>
    </row>
    <row r="404" spans="1:6" ht="15.75" customHeight="1">
      <c r="A404" s="24"/>
      <c r="D404" s="37"/>
      <c r="F404" s="33"/>
    </row>
    <row r="405" spans="1:6" ht="15.75" customHeight="1">
      <c r="A405" s="24"/>
      <c r="D405" s="37"/>
      <c r="F405" s="33"/>
    </row>
    <row r="406" spans="1:6" ht="15.75" customHeight="1">
      <c r="A406" s="24"/>
      <c r="D406" s="37"/>
      <c r="F406" s="33"/>
    </row>
    <row r="407" spans="1:6" ht="15.75" customHeight="1">
      <c r="A407" s="24"/>
      <c r="D407" s="37"/>
      <c r="F407" s="33"/>
    </row>
    <row r="408" spans="1:6" ht="15.75" customHeight="1">
      <c r="A408" s="24"/>
      <c r="D408" s="37"/>
      <c r="F408" s="33"/>
    </row>
    <row r="409" spans="1:6" ht="15.75" customHeight="1">
      <c r="A409" s="24"/>
      <c r="D409" s="37"/>
      <c r="F409" s="33"/>
    </row>
    <row r="410" spans="1:6" ht="15.75" customHeight="1">
      <c r="A410" s="24"/>
      <c r="D410" s="37"/>
      <c r="F410" s="33"/>
    </row>
    <row r="411" spans="1:6" ht="15.75" customHeight="1">
      <c r="A411" s="24"/>
      <c r="D411" s="37"/>
      <c r="F411" s="33"/>
    </row>
    <row r="412" spans="1:6" ht="15.75" customHeight="1">
      <c r="A412" s="24"/>
      <c r="D412" s="37"/>
      <c r="F412" s="33"/>
    </row>
    <row r="413" spans="1:6" ht="15.75" customHeight="1">
      <c r="A413" s="24"/>
      <c r="D413" s="37"/>
      <c r="F413" s="33"/>
    </row>
    <row r="414" spans="1:6" ht="15.75" customHeight="1">
      <c r="A414" s="24"/>
      <c r="D414" s="37"/>
      <c r="F414" s="33"/>
    </row>
    <row r="415" spans="1:6" ht="15.75" customHeight="1">
      <c r="A415" s="24"/>
      <c r="D415" s="37"/>
      <c r="F415" s="33"/>
    </row>
    <row r="416" spans="1:6" ht="15.75" customHeight="1">
      <c r="A416" s="24"/>
      <c r="D416" s="37"/>
      <c r="F416" s="33"/>
    </row>
    <row r="417" spans="1:6" ht="15.75" customHeight="1">
      <c r="A417" s="24"/>
      <c r="D417" s="37"/>
      <c r="F417" s="33"/>
    </row>
    <row r="418" spans="1:6" ht="15.75" customHeight="1">
      <c r="A418" s="24"/>
      <c r="D418" s="37"/>
      <c r="F418" s="33"/>
    </row>
    <row r="419" spans="1:6" ht="15.75" customHeight="1">
      <c r="A419" s="24"/>
      <c r="D419" s="37"/>
      <c r="F419" s="33"/>
    </row>
    <row r="420" spans="1:6" ht="15.75" customHeight="1">
      <c r="A420" s="24"/>
      <c r="D420" s="37"/>
      <c r="F420" s="33"/>
    </row>
    <row r="421" spans="1:6" ht="15.75" customHeight="1">
      <c r="A421" s="24"/>
      <c r="D421" s="37"/>
      <c r="F421" s="33"/>
    </row>
    <row r="422" spans="1:6" ht="15.75" customHeight="1">
      <c r="A422" s="24"/>
      <c r="D422" s="37"/>
      <c r="F422" s="33"/>
    </row>
    <row r="423" spans="1:6" ht="15.75" customHeight="1">
      <c r="A423" s="24"/>
      <c r="D423" s="37"/>
      <c r="F423" s="33"/>
    </row>
    <row r="424" spans="1:6" ht="15.75" customHeight="1">
      <c r="A424" s="24"/>
      <c r="D424" s="37"/>
      <c r="F424" s="33"/>
    </row>
    <row r="425" spans="1:6" ht="15.75" customHeight="1">
      <c r="A425" s="24"/>
      <c r="D425" s="37"/>
      <c r="F425" s="33"/>
    </row>
    <row r="426" spans="1:6" ht="15.75" customHeight="1">
      <c r="A426" s="24"/>
      <c r="D426" s="37"/>
      <c r="F426" s="33"/>
    </row>
    <row r="427" spans="1:6" ht="15.75" customHeight="1">
      <c r="A427" s="24"/>
      <c r="D427" s="37"/>
      <c r="F427" s="33"/>
    </row>
    <row r="428" spans="1:6" ht="15.75" customHeight="1">
      <c r="A428" s="24"/>
      <c r="D428" s="37"/>
      <c r="F428" s="33"/>
    </row>
    <row r="429" spans="1:6" ht="15.75" customHeight="1">
      <c r="A429" s="24"/>
      <c r="D429" s="37"/>
      <c r="F429" s="33"/>
    </row>
    <row r="430" spans="1:6" ht="15.75" customHeight="1">
      <c r="A430" s="24"/>
      <c r="D430" s="37"/>
      <c r="F430" s="33"/>
    </row>
    <row r="431" spans="1:6" ht="15.75" customHeight="1">
      <c r="A431" s="24"/>
      <c r="D431" s="37"/>
      <c r="F431" s="33"/>
    </row>
    <row r="432" spans="1:6" ht="15.75" customHeight="1">
      <c r="A432" s="24"/>
      <c r="D432" s="37"/>
      <c r="F432" s="33"/>
    </row>
    <row r="433" spans="1:6" ht="15.75" customHeight="1">
      <c r="A433" s="24"/>
      <c r="D433" s="37"/>
      <c r="F433" s="33"/>
    </row>
    <row r="434" spans="1:6" ht="15.75" customHeight="1">
      <c r="A434" s="24"/>
      <c r="D434" s="37"/>
      <c r="F434" s="33"/>
    </row>
    <row r="435" spans="1:6" ht="15.75" customHeight="1">
      <c r="A435" s="24"/>
      <c r="D435" s="37"/>
      <c r="F435" s="33"/>
    </row>
    <row r="436" spans="1:6" ht="15.75" customHeight="1">
      <c r="A436" s="24"/>
      <c r="D436" s="37"/>
      <c r="F436" s="33"/>
    </row>
    <row r="437" spans="1:6" ht="15.75" customHeight="1">
      <c r="A437" s="24"/>
      <c r="D437" s="37"/>
      <c r="F437" s="33"/>
    </row>
    <row r="438" spans="1:6" ht="15.75" customHeight="1">
      <c r="A438" s="24"/>
      <c r="D438" s="37"/>
      <c r="F438" s="33"/>
    </row>
    <row r="439" spans="1:6" ht="15.75" customHeight="1">
      <c r="A439" s="24"/>
      <c r="D439" s="37"/>
      <c r="F439" s="33"/>
    </row>
    <row r="440" spans="1:6" ht="15.75" customHeight="1">
      <c r="A440" s="24"/>
      <c r="D440" s="37"/>
      <c r="F440" s="33"/>
    </row>
    <row r="441" spans="1:6" ht="15.75" customHeight="1">
      <c r="A441" s="24"/>
      <c r="D441" s="37"/>
      <c r="F441" s="33"/>
    </row>
    <row r="442" spans="1:6" ht="15.75" customHeight="1">
      <c r="A442" s="24"/>
      <c r="D442" s="37"/>
      <c r="F442" s="33"/>
    </row>
    <row r="443" spans="1:6" ht="15.75" customHeight="1">
      <c r="A443" s="24"/>
      <c r="D443" s="37"/>
      <c r="F443" s="33"/>
    </row>
    <row r="444" spans="1:6" ht="15.75" customHeight="1">
      <c r="A444" s="24"/>
      <c r="D444" s="37"/>
      <c r="F444" s="33"/>
    </row>
    <row r="445" spans="1:6" ht="15.75" customHeight="1">
      <c r="A445" s="24"/>
      <c r="D445" s="37"/>
      <c r="F445" s="33"/>
    </row>
    <row r="446" spans="1:6" ht="15.75" customHeight="1">
      <c r="A446" s="24"/>
      <c r="D446" s="37"/>
      <c r="F446" s="33"/>
    </row>
    <row r="447" spans="1:6" ht="15.75" customHeight="1">
      <c r="A447" s="24"/>
      <c r="D447" s="37"/>
      <c r="F447" s="33"/>
    </row>
    <row r="448" spans="1:6" ht="15.75" customHeight="1">
      <c r="A448" s="24"/>
      <c r="D448" s="37"/>
      <c r="F448" s="33"/>
    </row>
    <row r="449" spans="1:6" ht="15.75" customHeight="1">
      <c r="A449" s="24"/>
      <c r="D449" s="37"/>
      <c r="F449" s="33"/>
    </row>
    <row r="450" spans="1:6" ht="15.75" customHeight="1">
      <c r="A450" s="24"/>
      <c r="D450" s="37"/>
      <c r="F450" s="33"/>
    </row>
    <row r="451" spans="1:6" ht="15.75" customHeight="1">
      <c r="A451" s="24"/>
      <c r="D451" s="37"/>
      <c r="F451" s="33"/>
    </row>
    <row r="452" spans="1:6" ht="15.75" customHeight="1">
      <c r="A452" s="24"/>
      <c r="D452" s="37"/>
      <c r="F452" s="33"/>
    </row>
    <row r="453" spans="1:6" ht="15.75" customHeight="1">
      <c r="A453" s="24"/>
      <c r="D453" s="37"/>
      <c r="F453" s="33"/>
    </row>
    <row r="454" spans="1:6" ht="15.75" customHeight="1">
      <c r="A454" s="24"/>
      <c r="D454" s="37"/>
      <c r="F454" s="33"/>
    </row>
    <row r="455" spans="1:6" ht="15.75" customHeight="1">
      <c r="A455" s="24"/>
      <c r="D455" s="37"/>
      <c r="F455" s="33"/>
    </row>
    <row r="456" spans="1:6" ht="15.75" customHeight="1">
      <c r="A456" s="24"/>
      <c r="D456" s="37"/>
      <c r="F456" s="33"/>
    </row>
    <row r="457" spans="1:6" ht="15.75" customHeight="1">
      <c r="A457" s="24"/>
      <c r="D457" s="37"/>
      <c r="F457" s="33"/>
    </row>
    <row r="458" spans="1:6" ht="15.75" customHeight="1">
      <c r="A458" s="24"/>
      <c r="D458" s="37"/>
      <c r="F458" s="33"/>
    </row>
    <row r="459" spans="1:6" ht="15.75" customHeight="1">
      <c r="A459" s="24"/>
      <c r="D459" s="37"/>
      <c r="F459" s="33"/>
    </row>
    <row r="460" spans="1:6" ht="15.75" customHeight="1">
      <c r="A460" s="24"/>
      <c r="D460" s="37"/>
      <c r="F460" s="33"/>
    </row>
    <row r="461" spans="1:6" ht="15.75" customHeight="1">
      <c r="A461" s="24"/>
      <c r="D461" s="37"/>
      <c r="F461" s="33"/>
    </row>
    <row r="462" spans="1:6" ht="15.75" customHeight="1">
      <c r="A462" s="24"/>
      <c r="D462" s="37"/>
      <c r="F462" s="33"/>
    </row>
    <row r="463" spans="1:6" ht="15.75" customHeight="1">
      <c r="A463" s="24"/>
      <c r="D463" s="37"/>
      <c r="F463" s="33"/>
    </row>
    <row r="464" spans="1:6" ht="15.75" customHeight="1">
      <c r="A464" s="24"/>
      <c r="D464" s="37"/>
      <c r="F464" s="33"/>
    </row>
    <row r="465" spans="1:6" ht="15.75" customHeight="1">
      <c r="A465" s="24"/>
      <c r="D465" s="37"/>
      <c r="F465" s="33"/>
    </row>
    <row r="466" spans="1:6" ht="15.75" customHeight="1">
      <c r="A466" s="24"/>
      <c r="D466" s="37"/>
      <c r="F466" s="33"/>
    </row>
    <row r="467" spans="1:6" ht="15.75" customHeight="1">
      <c r="A467" s="24"/>
      <c r="D467" s="37"/>
      <c r="F467" s="33"/>
    </row>
    <row r="468" spans="1:6" ht="15.75" customHeight="1">
      <c r="A468" s="24"/>
      <c r="D468" s="37"/>
      <c r="F468" s="33"/>
    </row>
    <row r="469" spans="1:6" ht="15.75" customHeight="1">
      <c r="A469" s="24"/>
      <c r="D469" s="37"/>
      <c r="F469" s="33"/>
    </row>
    <row r="470" spans="1:6" ht="15.75" customHeight="1">
      <c r="A470" s="24"/>
      <c r="D470" s="37"/>
      <c r="F470" s="33"/>
    </row>
    <row r="471" spans="1:6" ht="15.75" customHeight="1">
      <c r="A471" s="24"/>
      <c r="D471" s="37"/>
      <c r="F471" s="33"/>
    </row>
    <row r="472" spans="1:6" ht="15.75" customHeight="1">
      <c r="A472" s="24"/>
      <c r="D472" s="37"/>
      <c r="F472" s="33"/>
    </row>
    <row r="473" spans="1:6" ht="15.75" customHeight="1">
      <c r="A473" s="24"/>
      <c r="D473" s="37"/>
      <c r="F473" s="33"/>
    </row>
    <row r="474" spans="1:6" ht="15.75" customHeight="1">
      <c r="A474" s="24"/>
      <c r="D474" s="37"/>
      <c r="F474" s="33"/>
    </row>
    <row r="475" spans="1:6" ht="15.75" customHeight="1">
      <c r="A475" s="24"/>
      <c r="D475" s="37"/>
      <c r="F475" s="33"/>
    </row>
    <row r="476" spans="1:6" ht="15.75" customHeight="1">
      <c r="A476" s="24"/>
      <c r="D476" s="37"/>
      <c r="F476" s="33"/>
    </row>
    <row r="477" spans="1:6" ht="15.75" customHeight="1">
      <c r="A477" s="24"/>
      <c r="D477" s="37"/>
      <c r="F477" s="33"/>
    </row>
    <row r="478" spans="1:6" ht="15.75" customHeight="1">
      <c r="A478" s="24"/>
      <c r="D478" s="37"/>
      <c r="F478" s="33"/>
    </row>
    <row r="479" spans="1:6" ht="15.75" customHeight="1">
      <c r="A479" s="24"/>
      <c r="D479" s="37"/>
      <c r="F479" s="33"/>
    </row>
    <row r="480" spans="1:6" ht="15.75" customHeight="1">
      <c r="A480" s="24"/>
      <c r="D480" s="37"/>
      <c r="F480" s="33"/>
    </row>
    <row r="481" spans="1:6" ht="15.75" customHeight="1">
      <c r="A481" s="24"/>
      <c r="D481" s="37"/>
      <c r="F481" s="33"/>
    </row>
    <row r="482" spans="1:6" ht="15.75" customHeight="1">
      <c r="A482" s="24"/>
      <c r="D482" s="37"/>
      <c r="F482" s="33"/>
    </row>
    <row r="483" spans="1:6" ht="15.75" customHeight="1">
      <c r="A483" s="24"/>
      <c r="D483" s="37"/>
      <c r="F483" s="33"/>
    </row>
    <row r="484" spans="1:6" ht="15.75" customHeight="1">
      <c r="A484" s="24"/>
      <c r="D484" s="37"/>
      <c r="F484" s="33"/>
    </row>
    <row r="485" spans="1:6" ht="15.75" customHeight="1">
      <c r="A485" s="24"/>
      <c r="D485" s="37"/>
      <c r="F485" s="33"/>
    </row>
    <row r="486" spans="1:6" ht="15.75" customHeight="1">
      <c r="A486" s="24"/>
      <c r="D486" s="37"/>
      <c r="F486" s="33"/>
    </row>
    <row r="487" spans="1:6" ht="15.75" customHeight="1">
      <c r="A487" s="24"/>
      <c r="D487" s="37"/>
      <c r="F487" s="33"/>
    </row>
    <row r="488" spans="1:6" ht="15.75" customHeight="1">
      <c r="A488" s="24"/>
      <c r="D488" s="37"/>
      <c r="F488" s="33"/>
    </row>
    <row r="489" spans="1:6" ht="15.75" customHeight="1">
      <c r="A489" s="24"/>
      <c r="D489" s="37"/>
      <c r="F489" s="33"/>
    </row>
    <row r="490" spans="1:6" ht="15.75" customHeight="1">
      <c r="A490" s="24"/>
      <c r="D490" s="37"/>
      <c r="F490" s="33"/>
    </row>
    <row r="491" spans="1:6" ht="15.75" customHeight="1">
      <c r="A491" s="24"/>
      <c r="D491" s="37"/>
      <c r="F491" s="33"/>
    </row>
    <row r="492" spans="1:6" ht="15.75" customHeight="1">
      <c r="A492" s="24"/>
      <c r="D492" s="37"/>
      <c r="F492" s="33"/>
    </row>
    <row r="493" spans="1:6" ht="15.75" customHeight="1">
      <c r="A493" s="24"/>
      <c r="D493" s="37"/>
      <c r="F493" s="33"/>
    </row>
    <row r="494" spans="1:6" ht="15.75" customHeight="1">
      <c r="A494" s="24"/>
      <c r="D494" s="37"/>
      <c r="F494" s="33"/>
    </row>
    <row r="495" spans="1:6" ht="15.75" customHeight="1">
      <c r="A495" s="24"/>
      <c r="D495" s="37"/>
      <c r="F495" s="33"/>
    </row>
    <row r="496" spans="1:6" ht="15.75" customHeight="1">
      <c r="A496" s="24"/>
      <c r="D496" s="37"/>
      <c r="F496" s="33"/>
    </row>
    <row r="497" spans="1:6" ht="15.75" customHeight="1">
      <c r="A497" s="24"/>
      <c r="D497" s="37"/>
      <c r="F497" s="33"/>
    </row>
    <row r="498" spans="1:6" ht="15.75" customHeight="1">
      <c r="A498" s="24"/>
      <c r="D498" s="37"/>
      <c r="F498" s="33"/>
    </row>
    <row r="499" spans="1:6" ht="15.75" customHeight="1">
      <c r="A499" s="24"/>
      <c r="D499" s="37"/>
      <c r="F499" s="33"/>
    </row>
    <row r="500" spans="1:6" ht="15.75" customHeight="1">
      <c r="A500" s="24"/>
      <c r="D500" s="37"/>
      <c r="F500" s="33"/>
    </row>
    <row r="501" spans="1:6" ht="15.75" customHeight="1">
      <c r="A501" s="24"/>
      <c r="D501" s="37"/>
      <c r="F501" s="33"/>
    </row>
    <row r="502" spans="1:6" ht="15.75" customHeight="1">
      <c r="A502" s="24"/>
      <c r="D502" s="37"/>
      <c r="F502" s="33"/>
    </row>
    <row r="503" spans="1:6" ht="15.75" customHeight="1">
      <c r="A503" s="24"/>
      <c r="D503" s="37"/>
      <c r="F503" s="33"/>
    </row>
    <row r="504" spans="1:6" ht="15.75" customHeight="1">
      <c r="A504" s="24"/>
      <c r="D504" s="37"/>
      <c r="F504" s="33"/>
    </row>
    <row r="505" spans="1:6" ht="15.75" customHeight="1">
      <c r="A505" s="24"/>
      <c r="D505" s="37"/>
      <c r="F505" s="33"/>
    </row>
    <row r="506" spans="1:6" ht="15.75" customHeight="1">
      <c r="A506" s="24"/>
      <c r="D506" s="37"/>
      <c r="F506" s="33"/>
    </row>
    <row r="507" spans="1:6" ht="15.75" customHeight="1">
      <c r="A507" s="24"/>
      <c r="D507" s="37"/>
      <c r="F507" s="33"/>
    </row>
    <row r="508" spans="1:6" ht="15.75" customHeight="1">
      <c r="A508" s="24"/>
      <c r="D508" s="37"/>
      <c r="F508" s="33"/>
    </row>
    <row r="509" spans="1:6" ht="15.75" customHeight="1">
      <c r="A509" s="24"/>
      <c r="D509" s="37"/>
      <c r="F509" s="33"/>
    </row>
    <row r="510" spans="1:6" ht="15.75" customHeight="1">
      <c r="A510" s="24"/>
      <c r="D510" s="37"/>
      <c r="F510" s="33"/>
    </row>
    <row r="511" spans="1:6" ht="15.75" customHeight="1">
      <c r="A511" s="24"/>
      <c r="D511" s="37"/>
      <c r="F511" s="33"/>
    </row>
    <row r="512" spans="1:6" ht="15.75" customHeight="1">
      <c r="A512" s="24"/>
      <c r="D512" s="37"/>
      <c r="F512" s="33"/>
    </row>
    <row r="513" spans="1:6" ht="15.75" customHeight="1">
      <c r="A513" s="24"/>
      <c r="D513" s="37"/>
      <c r="F513" s="33"/>
    </row>
    <row r="514" spans="1:6" ht="15.75" customHeight="1">
      <c r="A514" s="24"/>
      <c r="D514" s="37"/>
      <c r="F514" s="33"/>
    </row>
    <row r="515" spans="1:6" ht="15.75" customHeight="1">
      <c r="A515" s="24"/>
      <c r="D515" s="37"/>
      <c r="F515" s="33"/>
    </row>
    <row r="516" spans="1:6" ht="15.75" customHeight="1">
      <c r="A516" s="24"/>
      <c r="D516" s="37"/>
      <c r="F516" s="33"/>
    </row>
    <row r="517" spans="1:6" ht="15.75" customHeight="1">
      <c r="A517" s="24"/>
      <c r="D517" s="37"/>
      <c r="F517" s="33"/>
    </row>
    <row r="518" spans="1:6" ht="15.75" customHeight="1">
      <c r="A518" s="24"/>
      <c r="D518" s="37"/>
      <c r="F518" s="33"/>
    </row>
    <row r="519" spans="1:6" ht="15.75" customHeight="1">
      <c r="A519" s="24"/>
      <c r="D519" s="37"/>
      <c r="F519" s="33"/>
    </row>
    <row r="520" spans="1:6" ht="15.75" customHeight="1">
      <c r="A520" s="24"/>
      <c r="D520" s="37"/>
      <c r="F520" s="33"/>
    </row>
    <row r="521" spans="1:6" ht="15.75" customHeight="1">
      <c r="A521" s="24"/>
      <c r="D521" s="37"/>
      <c r="F521" s="33"/>
    </row>
    <row r="522" spans="1:6" ht="15.75" customHeight="1">
      <c r="A522" s="24"/>
      <c r="D522" s="37"/>
      <c r="F522" s="33"/>
    </row>
    <row r="523" spans="1:6" ht="15.75" customHeight="1">
      <c r="A523" s="24"/>
      <c r="D523" s="37"/>
      <c r="F523" s="33"/>
    </row>
    <row r="524" spans="1:6" ht="15.75" customHeight="1">
      <c r="A524" s="24"/>
      <c r="D524" s="37"/>
      <c r="F524" s="33"/>
    </row>
    <row r="525" spans="1:6" ht="15.75" customHeight="1">
      <c r="A525" s="24"/>
      <c r="D525" s="37"/>
      <c r="F525" s="33"/>
    </row>
    <row r="526" spans="1:6" ht="15.75" customHeight="1">
      <c r="A526" s="24"/>
      <c r="D526" s="37"/>
      <c r="F526" s="33"/>
    </row>
    <row r="527" spans="1:6" ht="15.75" customHeight="1">
      <c r="A527" s="24"/>
      <c r="D527" s="37"/>
      <c r="F527" s="33"/>
    </row>
    <row r="528" spans="1:6" ht="15.75" customHeight="1">
      <c r="A528" s="24"/>
      <c r="D528" s="37"/>
      <c r="F528" s="33"/>
    </row>
    <row r="529" spans="1:6" ht="15.75" customHeight="1">
      <c r="A529" s="24"/>
      <c r="D529" s="37"/>
      <c r="F529" s="33"/>
    </row>
    <row r="530" spans="1:6" ht="15.75" customHeight="1">
      <c r="A530" s="24"/>
      <c r="D530" s="37"/>
      <c r="F530" s="33"/>
    </row>
    <row r="531" spans="1:6" ht="15.75" customHeight="1">
      <c r="A531" s="24"/>
      <c r="D531" s="37"/>
      <c r="F531" s="33"/>
    </row>
    <row r="532" spans="1:6" ht="15.75" customHeight="1">
      <c r="A532" s="24"/>
      <c r="D532" s="37"/>
      <c r="F532" s="33"/>
    </row>
    <row r="533" spans="1:6" ht="15.75" customHeight="1">
      <c r="A533" s="24"/>
      <c r="D533" s="37"/>
      <c r="F533" s="33"/>
    </row>
    <row r="534" spans="1:6" ht="15.75" customHeight="1">
      <c r="A534" s="24"/>
      <c r="D534" s="37"/>
      <c r="F534" s="33"/>
    </row>
    <row r="535" spans="1:6" ht="15.75" customHeight="1">
      <c r="A535" s="24"/>
      <c r="D535" s="37"/>
      <c r="F535" s="33"/>
    </row>
    <row r="536" spans="1:6" ht="15.75" customHeight="1">
      <c r="A536" s="24"/>
      <c r="D536" s="37"/>
      <c r="F536" s="33"/>
    </row>
    <row r="537" spans="1:6" ht="15.75" customHeight="1">
      <c r="A537" s="24"/>
      <c r="D537" s="37"/>
      <c r="F537" s="33"/>
    </row>
    <row r="538" spans="1:6" ht="15.75" customHeight="1">
      <c r="A538" s="24"/>
      <c r="D538" s="37"/>
      <c r="F538" s="33"/>
    </row>
    <row r="539" spans="1:6" ht="15.75" customHeight="1">
      <c r="A539" s="24"/>
      <c r="D539" s="37"/>
      <c r="F539" s="33"/>
    </row>
    <row r="540" spans="1:6" ht="15.75" customHeight="1">
      <c r="A540" s="24"/>
      <c r="D540" s="37"/>
      <c r="F540" s="33"/>
    </row>
    <row r="541" spans="1:6" ht="15.75" customHeight="1">
      <c r="A541" s="24"/>
      <c r="D541" s="37"/>
      <c r="F541" s="33"/>
    </row>
    <row r="542" spans="1:6" ht="15.75" customHeight="1">
      <c r="A542" s="24"/>
      <c r="D542" s="37"/>
      <c r="F542" s="33"/>
    </row>
    <row r="543" spans="1:6" ht="15.75" customHeight="1">
      <c r="A543" s="24"/>
      <c r="D543" s="37"/>
      <c r="F543" s="33"/>
    </row>
    <row r="544" spans="1:6" ht="15.75" customHeight="1">
      <c r="A544" s="24"/>
      <c r="D544" s="37"/>
      <c r="F544" s="33"/>
    </row>
    <row r="545" spans="1:6" ht="15.75" customHeight="1">
      <c r="A545" s="24"/>
      <c r="D545" s="37"/>
      <c r="F545" s="33"/>
    </row>
    <row r="546" spans="1:6" ht="15.75" customHeight="1">
      <c r="A546" s="24"/>
      <c r="D546" s="37"/>
      <c r="F546" s="33"/>
    </row>
    <row r="547" spans="1:6" ht="15.75" customHeight="1">
      <c r="A547" s="24"/>
      <c r="D547" s="37"/>
      <c r="F547" s="33"/>
    </row>
    <row r="548" spans="1:6" ht="15.75" customHeight="1">
      <c r="A548" s="24"/>
      <c r="D548" s="37"/>
      <c r="F548" s="33"/>
    </row>
    <row r="549" spans="1:6" ht="15.75" customHeight="1">
      <c r="A549" s="24"/>
      <c r="D549" s="37"/>
      <c r="F549" s="33"/>
    </row>
    <row r="550" spans="1:6" ht="15.75" customHeight="1">
      <c r="A550" s="24"/>
      <c r="D550" s="37"/>
      <c r="F550" s="33"/>
    </row>
    <row r="551" spans="1:6" ht="15.75" customHeight="1">
      <c r="A551" s="24"/>
      <c r="D551" s="37"/>
      <c r="F551" s="33"/>
    </row>
    <row r="552" spans="1:6" ht="15.75" customHeight="1">
      <c r="A552" s="24"/>
      <c r="D552" s="37"/>
      <c r="F552" s="33"/>
    </row>
    <row r="553" spans="1:6" ht="15.75" customHeight="1">
      <c r="A553" s="24"/>
      <c r="D553" s="37"/>
      <c r="F553" s="33"/>
    </row>
    <row r="554" spans="1:6" ht="15.75" customHeight="1">
      <c r="A554" s="24"/>
      <c r="D554" s="37"/>
      <c r="F554" s="33"/>
    </row>
    <row r="555" spans="1:6" ht="15.75" customHeight="1">
      <c r="A555" s="24"/>
      <c r="D555" s="37"/>
      <c r="F555" s="33"/>
    </row>
    <row r="556" spans="1:6" ht="15.75" customHeight="1">
      <c r="A556" s="24"/>
      <c r="D556" s="37"/>
      <c r="F556" s="33"/>
    </row>
    <row r="557" spans="1:6" ht="15.75" customHeight="1">
      <c r="A557" s="24"/>
      <c r="D557" s="37"/>
      <c r="F557" s="33"/>
    </row>
    <row r="558" spans="1:6" ht="15.75" customHeight="1">
      <c r="A558" s="24"/>
    </row>
    <row r="559" spans="1:6" ht="15.75" customHeight="1">
      <c r="A559" s="24"/>
    </row>
    <row r="560" spans="1:6" ht="15.75" customHeight="1">
      <c r="A560" s="24"/>
    </row>
    <row r="561" spans="1:1" ht="15.75" customHeight="1">
      <c r="A561" s="24"/>
    </row>
    <row r="562" spans="1:1" ht="15.75" customHeight="1">
      <c r="A562" s="24"/>
    </row>
    <row r="563" spans="1:1" ht="15.75" customHeight="1">
      <c r="A563" s="24"/>
    </row>
    <row r="564" spans="1:1" ht="15.75" customHeight="1">
      <c r="A564" s="24"/>
    </row>
    <row r="565" spans="1:1" ht="15.75" customHeight="1">
      <c r="A565" s="24"/>
    </row>
    <row r="566" spans="1:1" ht="15.75" customHeight="1">
      <c r="A566" s="24"/>
    </row>
    <row r="567" spans="1:1" ht="15.75" customHeight="1">
      <c r="A567" s="24"/>
    </row>
    <row r="568" spans="1:1" ht="15.75" customHeight="1">
      <c r="A568" s="24"/>
    </row>
    <row r="569" spans="1:1" ht="15.75" customHeight="1">
      <c r="A569" s="24"/>
    </row>
    <row r="570" spans="1:1" ht="15.75" customHeight="1">
      <c r="A570" s="24"/>
    </row>
    <row r="571" spans="1:1" ht="15.75" customHeight="1">
      <c r="A571" s="24"/>
    </row>
    <row r="572" spans="1:1" ht="15.75" customHeight="1">
      <c r="A572" s="24"/>
    </row>
    <row r="573" spans="1:1" ht="15.75" customHeight="1">
      <c r="A573" s="24"/>
    </row>
    <row r="574" spans="1:1" ht="15.75" customHeight="1">
      <c r="A574" s="24"/>
    </row>
    <row r="575" spans="1:1" ht="15.75" customHeight="1">
      <c r="A575" s="24"/>
    </row>
    <row r="576" spans="1:1" ht="15.75" customHeight="1">
      <c r="A576" s="24"/>
    </row>
    <row r="577" spans="1:1" ht="15.75" customHeight="1">
      <c r="A577" s="24"/>
    </row>
    <row r="578" spans="1:1" ht="15.75" customHeight="1">
      <c r="A578" s="24"/>
    </row>
    <row r="579" spans="1:1" ht="15.75" customHeight="1">
      <c r="A579" s="24"/>
    </row>
    <row r="580" spans="1:1" ht="15.75" customHeight="1">
      <c r="A580" s="24"/>
    </row>
    <row r="581" spans="1:1" ht="15.75" customHeight="1">
      <c r="A581" s="24"/>
    </row>
    <row r="582" spans="1:1" ht="15.75" customHeight="1">
      <c r="A582" s="24"/>
    </row>
    <row r="583" spans="1:1" ht="15.75" customHeight="1">
      <c r="A583" s="24"/>
    </row>
    <row r="584" spans="1:1" ht="15.75" customHeight="1">
      <c r="A584" s="24"/>
    </row>
    <row r="585" spans="1:1" ht="15.75" customHeight="1">
      <c r="A585" s="24"/>
    </row>
    <row r="586" spans="1:1" ht="15.75" customHeight="1">
      <c r="A586" s="24"/>
    </row>
    <row r="587" spans="1:1" ht="15.75" customHeight="1">
      <c r="A587" s="24"/>
    </row>
    <row r="588" spans="1:1" ht="15.75" customHeight="1">
      <c r="A588" s="24"/>
    </row>
    <row r="589" spans="1:1" ht="15.75" customHeight="1">
      <c r="A589" s="24"/>
    </row>
    <row r="590" spans="1:1" ht="15.75" customHeight="1">
      <c r="A590" s="24"/>
    </row>
    <row r="591" spans="1:1" ht="15.75" customHeight="1">
      <c r="A591" s="24"/>
    </row>
    <row r="592" spans="1:1" ht="15.75" customHeight="1">
      <c r="A592" s="24"/>
    </row>
    <row r="593" spans="1:1" ht="15.75" customHeight="1">
      <c r="A593" s="24"/>
    </row>
    <row r="594" spans="1:1" ht="15.75" customHeight="1">
      <c r="A594" s="24"/>
    </row>
    <row r="595" spans="1:1" ht="15.75" customHeight="1">
      <c r="A595" s="24"/>
    </row>
    <row r="596" spans="1:1" ht="15.75" customHeight="1">
      <c r="A596" s="24"/>
    </row>
    <row r="597" spans="1:1" ht="15.75" customHeight="1">
      <c r="A597" s="24"/>
    </row>
    <row r="598" spans="1:1" ht="15.75" customHeight="1">
      <c r="A598" s="24"/>
    </row>
    <row r="599" spans="1:1" ht="15.75" customHeight="1">
      <c r="A599" s="24"/>
    </row>
    <row r="600" spans="1:1" ht="15.75" customHeight="1">
      <c r="A600" s="24"/>
    </row>
    <row r="601" spans="1:1" ht="15.75" customHeight="1">
      <c r="A601" s="24"/>
    </row>
    <row r="602" spans="1:1" ht="15.75" customHeight="1">
      <c r="A602" s="24"/>
    </row>
    <row r="603" spans="1:1" ht="15.75" customHeight="1">
      <c r="A603" s="24"/>
    </row>
    <row r="604" spans="1:1" ht="15.75" customHeight="1">
      <c r="A604" s="24"/>
    </row>
    <row r="605" spans="1:1" ht="15.75" customHeight="1">
      <c r="A605" s="24"/>
    </row>
    <row r="606" spans="1:1" ht="15.75" customHeight="1">
      <c r="A606" s="24"/>
    </row>
    <row r="607" spans="1:1" ht="15.75" customHeight="1">
      <c r="A607" s="24"/>
    </row>
    <row r="608" spans="1:1" ht="15.75" customHeight="1">
      <c r="A608" s="24"/>
    </row>
    <row r="609" spans="1:1" ht="15.75" customHeight="1">
      <c r="A609" s="24"/>
    </row>
    <row r="610" spans="1:1" ht="15.75" customHeight="1">
      <c r="A610" s="24"/>
    </row>
    <row r="611" spans="1:1" ht="15.75" customHeight="1">
      <c r="A611" s="24"/>
    </row>
    <row r="612" spans="1:1" ht="15.75" customHeight="1">
      <c r="A612" s="24"/>
    </row>
    <row r="613" spans="1:1" ht="15.75" customHeight="1">
      <c r="A613" s="24"/>
    </row>
    <row r="614" spans="1:1" ht="15.75" customHeight="1">
      <c r="A614" s="24"/>
    </row>
    <row r="615" spans="1:1" ht="15.75" customHeight="1">
      <c r="A615" s="24"/>
    </row>
    <row r="616" spans="1:1" ht="15.75" customHeight="1">
      <c r="A616" s="24"/>
    </row>
    <row r="617" spans="1:1" ht="15.75" customHeight="1">
      <c r="A617" s="24"/>
    </row>
    <row r="618" spans="1:1" ht="15.75" customHeight="1">
      <c r="A618" s="24"/>
    </row>
    <row r="619" spans="1:1" ht="15.75" customHeight="1">
      <c r="A619" s="24"/>
    </row>
    <row r="620" spans="1:1" ht="15.75" customHeight="1">
      <c r="A620" s="24"/>
    </row>
    <row r="621" spans="1:1" ht="15.75" customHeight="1">
      <c r="A621" s="24"/>
    </row>
    <row r="622" spans="1:1" ht="15.75" customHeight="1">
      <c r="A622" s="24"/>
    </row>
    <row r="623" spans="1:1" ht="15.75" customHeight="1">
      <c r="A623" s="24"/>
    </row>
    <row r="624" spans="1:1" ht="15.75" customHeight="1">
      <c r="A624" s="24"/>
    </row>
    <row r="625" spans="1:1" ht="15.75" customHeight="1">
      <c r="A625" s="24"/>
    </row>
    <row r="626" spans="1:1" ht="15.75" customHeight="1">
      <c r="A626" s="24"/>
    </row>
    <row r="627" spans="1:1" ht="15.75" customHeight="1">
      <c r="A627" s="24"/>
    </row>
    <row r="628" spans="1:1" ht="15.75" customHeight="1">
      <c r="A628" s="24"/>
    </row>
    <row r="629" spans="1:1" ht="15.75" customHeight="1">
      <c r="A629" s="24"/>
    </row>
    <row r="630" spans="1:1" ht="15.75" customHeight="1">
      <c r="A630" s="24"/>
    </row>
    <row r="631" spans="1:1" ht="15.75" customHeight="1">
      <c r="A631" s="24"/>
    </row>
    <row r="632" spans="1:1" ht="15.75" customHeight="1">
      <c r="A632" s="24"/>
    </row>
    <row r="633" spans="1:1" ht="15.75" customHeight="1">
      <c r="A633" s="24"/>
    </row>
    <row r="634" spans="1:1" ht="15.75" customHeight="1">
      <c r="A634" s="24"/>
    </row>
    <row r="635" spans="1:1" ht="15.75" customHeight="1">
      <c r="A635" s="24"/>
    </row>
    <row r="636" spans="1:1" ht="15.75" customHeight="1">
      <c r="A636" s="24"/>
    </row>
    <row r="637" spans="1:1" ht="15.75" customHeight="1">
      <c r="A637" s="24"/>
    </row>
    <row r="638" spans="1:1" ht="15.75" customHeight="1">
      <c r="A638" s="24"/>
    </row>
    <row r="639" spans="1:1" ht="15.75" customHeight="1">
      <c r="A639" s="24"/>
    </row>
    <row r="640" spans="1:1" ht="15.75" customHeight="1">
      <c r="A640" s="24"/>
    </row>
    <row r="641" spans="1:1" ht="15.75" customHeight="1">
      <c r="A641" s="24"/>
    </row>
    <row r="642" spans="1:1" ht="15.75" customHeight="1">
      <c r="A642" s="24"/>
    </row>
    <row r="643" spans="1:1" ht="15.75" customHeight="1">
      <c r="A643" s="24"/>
    </row>
    <row r="644" spans="1:1" ht="15.75" customHeight="1">
      <c r="A644" s="24"/>
    </row>
    <row r="645" spans="1:1" ht="15.75" customHeight="1">
      <c r="A645" s="24"/>
    </row>
    <row r="646" spans="1:1" ht="15.75" customHeight="1">
      <c r="A646" s="24"/>
    </row>
    <row r="647" spans="1:1" ht="15.75" customHeight="1">
      <c r="A647" s="24"/>
    </row>
    <row r="648" spans="1:1" ht="15.75" customHeight="1">
      <c r="A648" s="24"/>
    </row>
    <row r="649" spans="1:1" ht="15.75" customHeight="1">
      <c r="A649" s="24"/>
    </row>
    <row r="650" spans="1:1" ht="15.75" customHeight="1">
      <c r="A650" s="24"/>
    </row>
    <row r="651" spans="1:1" ht="15.75" customHeight="1">
      <c r="A651" s="24"/>
    </row>
    <row r="652" spans="1:1" ht="15.75" customHeight="1">
      <c r="A652" s="24"/>
    </row>
    <row r="653" spans="1:1" ht="15.75" customHeight="1">
      <c r="A653" s="24"/>
    </row>
    <row r="654" spans="1:1" ht="15.75" customHeight="1">
      <c r="A654" s="24"/>
    </row>
    <row r="655" spans="1:1" ht="15.75" customHeight="1">
      <c r="A655" s="24"/>
    </row>
    <row r="656" spans="1:1" ht="15.75" customHeight="1">
      <c r="A656" s="24"/>
    </row>
    <row r="657" spans="1:1" ht="15.75" customHeight="1">
      <c r="A657" s="24"/>
    </row>
    <row r="658" spans="1:1" ht="15.75" customHeight="1">
      <c r="A658" s="24"/>
    </row>
    <row r="659" spans="1:1" ht="15.75" customHeight="1">
      <c r="A659" s="24"/>
    </row>
    <row r="660" spans="1:1" ht="15.75" customHeight="1">
      <c r="A660" s="24"/>
    </row>
    <row r="661" spans="1:1" ht="15.75" customHeight="1">
      <c r="A661" s="24"/>
    </row>
    <row r="662" spans="1:1" ht="15.75" customHeight="1">
      <c r="A662" s="24"/>
    </row>
    <row r="663" spans="1:1" ht="15.75" customHeight="1">
      <c r="A663" s="24"/>
    </row>
    <row r="664" spans="1:1" ht="15.75" customHeight="1">
      <c r="A664" s="24"/>
    </row>
    <row r="665" spans="1:1" ht="15.75" customHeight="1">
      <c r="A665" s="24"/>
    </row>
    <row r="666" spans="1:1" ht="15.75" customHeight="1">
      <c r="A666" s="24"/>
    </row>
    <row r="667" spans="1:1" ht="15.75" customHeight="1">
      <c r="A667" s="24"/>
    </row>
    <row r="668" spans="1:1" ht="15.75" customHeight="1">
      <c r="A668" s="24"/>
    </row>
    <row r="669" spans="1:1" ht="15.75" customHeight="1">
      <c r="A669" s="24"/>
    </row>
    <row r="670" spans="1:1" ht="15.75" customHeight="1">
      <c r="A670" s="24"/>
    </row>
    <row r="671" spans="1:1" ht="15.75" customHeight="1">
      <c r="A671" s="24"/>
    </row>
    <row r="672" spans="1:1" ht="15.75" customHeight="1">
      <c r="A672" s="24"/>
    </row>
    <row r="673" spans="1:1" ht="15.75" customHeight="1">
      <c r="A673" s="24"/>
    </row>
    <row r="674" spans="1:1" ht="15.75" customHeight="1">
      <c r="A674" s="24"/>
    </row>
    <row r="675" spans="1:1" ht="15.75" customHeight="1">
      <c r="A675" s="24"/>
    </row>
    <row r="676" spans="1:1" ht="15.75" customHeight="1">
      <c r="A676" s="24"/>
    </row>
    <row r="677" spans="1:1" ht="15.75" customHeight="1">
      <c r="A677" s="24"/>
    </row>
    <row r="678" spans="1:1" ht="15.75" customHeight="1">
      <c r="A678" s="24"/>
    </row>
    <row r="679" spans="1:1" ht="15.75" customHeight="1">
      <c r="A679" s="24"/>
    </row>
    <row r="680" spans="1:1" ht="15.75" customHeight="1">
      <c r="A680" s="24"/>
    </row>
    <row r="681" spans="1:1" ht="15.75" customHeight="1">
      <c r="A681" s="24"/>
    </row>
    <row r="682" spans="1:1" ht="15.75" customHeight="1">
      <c r="A682" s="24"/>
    </row>
    <row r="683" spans="1:1" ht="15.75" customHeight="1">
      <c r="A683" s="24"/>
    </row>
    <row r="684" spans="1:1" ht="15.75" customHeight="1">
      <c r="A684" s="24"/>
    </row>
    <row r="685" spans="1:1" ht="15.75" customHeight="1">
      <c r="A685" s="24"/>
    </row>
    <row r="686" spans="1:1" ht="15.75" customHeight="1">
      <c r="A686" s="24"/>
    </row>
    <row r="687" spans="1:1" ht="15.75" customHeight="1">
      <c r="A687" s="24"/>
    </row>
    <row r="688" spans="1:1" ht="15.75" customHeight="1">
      <c r="A688" s="24"/>
    </row>
    <row r="689" spans="1:1" ht="15.75" customHeight="1">
      <c r="A689" s="24"/>
    </row>
    <row r="690" spans="1:1" ht="15.75" customHeight="1">
      <c r="A690" s="24"/>
    </row>
    <row r="691" spans="1:1" ht="15.75" customHeight="1">
      <c r="A691" s="24"/>
    </row>
    <row r="692" spans="1:1" ht="15.75" customHeight="1">
      <c r="A692" s="24"/>
    </row>
    <row r="693" spans="1:1" ht="15.75" customHeight="1">
      <c r="A693" s="24"/>
    </row>
    <row r="694" spans="1:1" ht="15.75" customHeight="1">
      <c r="A694" s="24"/>
    </row>
    <row r="695" spans="1:1" ht="15.75" customHeight="1">
      <c r="A695" s="24"/>
    </row>
    <row r="696" spans="1:1" ht="15.75" customHeight="1">
      <c r="A696" s="24"/>
    </row>
    <row r="697" spans="1:1" ht="15.75" customHeight="1">
      <c r="A697" s="24"/>
    </row>
    <row r="698" spans="1:1" ht="15.75" customHeight="1">
      <c r="A698" s="24"/>
    </row>
    <row r="699" spans="1:1" ht="15.75" customHeight="1">
      <c r="A699" s="24"/>
    </row>
    <row r="700" spans="1:1" ht="15.75" customHeight="1">
      <c r="A700" s="24"/>
    </row>
    <row r="701" spans="1:1" ht="15.75" customHeight="1">
      <c r="A701" s="24"/>
    </row>
    <row r="702" spans="1:1" ht="15.75" customHeight="1">
      <c r="A702" s="24"/>
    </row>
    <row r="703" spans="1:1" ht="15.75" customHeight="1">
      <c r="A703" s="24"/>
    </row>
    <row r="704" spans="1:1" ht="15.75" customHeight="1">
      <c r="A704" s="24"/>
    </row>
    <row r="705" spans="1:1" ht="15.75" customHeight="1">
      <c r="A705" s="24"/>
    </row>
    <row r="706" spans="1:1" ht="15.75" customHeight="1">
      <c r="A706" s="24"/>
    </row>
    <row r="707" spans="1:1" ht="15.75" customHeight="1">
      <c r="A707" s="24"/>
    </row>
    <row r="708" spans="1:1" ht="15.75" customHeight="1">
      <c r="A708" s="24"/>
    </row>
    <row r="709" spans="1:1" ht="15.75" customHeight="1">
      <c r="A709" s="24"/>
    </row>
    <row r="710" spans="1:1" ht="15.75" customHeight="1">
      <c r="A710" s="24"/>
    </row>
    <row r="711" spans="1:1" ht="15.75" customHeight="1">
      <c r="A711" s="24"/>
    </row>
    <row r="712" spans="1:1" ht="15.75" customHeight="1">
      <c r="A712" s="24"/>
    </row>
    <row r="713" spans="1:1" ht="15.75" customHeight="1">
      <c r="A713" s="24"/>
    </row>
    <row r="714" spans="1:1" ht="15.75" customHeight="1">
      <c r="A714" s="24"/>
    </row>
    <row r="715" spans="1:1" ht="15.75" customHeight="1">
      <c r="A715" s="24"/>
    </row>
    <row r="716" spans="1:1" ht="15.75" customHeight="1">
      <c r="A716" s="24"/>
    </row>
    <row r="717" spans="1:1" ht="15.75" customHeight="1">
      <c r="A717" s="24"/>
    </row>
    <row r="718" spans="1:1" ht="15.75" customHeight="1">
      <c r="A718" s="24"/>
    </row>
    <row r="719" spans="1:1" ht="15.75" customHeight="1">
      <c r="A719" s="24"/>
    </row>
    <row r="720" spans="1:1" ht="15.75" customHeight="1">
      <c r="A720" s="24"/>
    </row>
    <row r="721" spans="1:1" ht="15.75" customHeight="1">
      <c r="A721" s="24"/>
    </row>
    <row r="722" spans="1:1" ht="15.75" customHeight="1">
      <c r="A722" s="24"/>
    </row>
    <row r="723" spans="1:1" ht="15.75" customHeight="1">
      <c r="A723" s="24"/>
    </row>
    <row r="724" spans="1:1" ht="15.75" customHeight="1">
      <c r="A724" s="24"/>
    </row>
    <row r="725" spans="1:1" ht="15.75" customHeight="1">
      <c r="A725" s="24"/>
    </row>
    <row r="726" spans="1:1" ht="15.75" customHeight="1">
      <c r="A726" s="24"/>
    </row>
    <row r="727" spans="1:1" ht="15.75" customHeight="1">
      <c r="A727" s="24"/>
    </row>
    <row r="728" spans="1:1" ht="15.75" customHeight="1">
      <c r="A728" s="24"/>
    </row>
    <row r="729" spans="1:1" ht="15.75" customHeight="1">
      <c r="A729" s="24"/>
    </row>
    <row r="730" spans="1:1" ht="15.75" customHeight="1">
      <c r="A730" s="24"/>
    </row>
    <row r="731" spans="1:1" ht="15.75" customHeight="1">
      <c r="A731" s="24"/>
    </row>
    <row r="732" spans="1:1" ht="15.75" customHeight="1">
      <c r="A732" s="24"/>
    </row>
    <row r="733" spans="1:1" ht="15.75" customHeight="1">
      <c r="A733" s="24"/>
    </row>
    <row r="734" spans="1:1" ht="15.75" customHeight="1">
      <c r="A734" s="24"/>
    </row>
    <row r="735" spans="1:1" ht="15.75" customHeight="1">
      <c r="A735" s="24"/>
    </row>
    <row r="736" spans="1:1" ht="15.75" customHeight="1">
      <c r="A736" s="24"/>
    </row>
    <row r="737" spans="1:1" ht="15.75" customHeight="1">
      <c r="A737" s="24"/>
    </row>
    <row r="738" spans="1:1" ht="15.75" customHeight="1">
      <c r="A738" s="24"/>
    </row>
    <row r="739" spans="1:1" ht="15.75" customHeight="1">
      <c r="A739" s="24"/>
    </row>
    <row r="740" spans="1:1" ht="15.75" customHeight="1">
      <c r="A740" s="24"/>
    </row>
    <row r="741" spans="1:1" ht="15.75" customHeight="1">
      <c r="A741" s="24"/>
    </row>
    <row r="742" spans="1:1" ht="15.75" customHeight="1">
      <c r="A742" s="24"/>
    </row>
    <row r="743" spans="1:1" ht="15.75" customHeight="1">
      <c r="A743" s="24"/>
    </row>
    <row r="744" spans="1:1" ht="15.75" customHeight="1">
      <c r="A744" s="24"/>
    </row>
    <row r="745" spans="1:1" ht="15.75" customHeight="1">
      <c r="A745" s="24"/>
    </row>
    <row r="746" spans="1:1" ht="15.75" customHeight="1">
      <c r="A746" s="24"/>
    </row>
    <row r="747" spans="1:1" ht="15.75" customHeight="1">
      <c r="A747" s="24"/>
    </row>
    <row r="748" spans="1:1" ht="15.75" customHeight="1">
      <c r="A748" s="24"/>
    </row>
    <row r="749" spans="1:1" ht="15.75" customHeight="1">
      <c r="A749" s="24"/>
    </row>
    <row r="750" spans="1:1" ht="15.75" customHeight="1">
      <c r="A750" s="24"/>
    </row>
    <row r="751" spans="1:1" ht="15.75" customHeight="1">
      <c r="A751" s="24"/>
    </row>
    <row r="752" spans="1:1" ht="15.75" customHeight="1">
      <c r="A752" s="24"/>
    </row>
    <row r="753" spans="1:1" ht="15.75" customHeight="1">
      <c r="A753" s="24"/>
    </row>
    <row r="754" spans="1:1" ht="15.75" customHeight="1">
      <c r="A754" s="24"/>
    </row>
    <row r="755" spans="1:1" ht="15.75" customHeight="1">
      <c r="A755" s="24"/>
    </row>
    <row r="756" spans="1:1" ht="15.75" customHeight="1">
      <c r="A756" s="24"/>
    </row>
    <row r="757" spans="1:1" ht="15.75" customHeight="1">
      <c r="A757" s="24"/>
    </row>
    <row r="758" spans="1:1" ht="15.75" customHeight="1">
      <c r="A758" s="24"/>
    </row>
    <row r="759" spans="1:1" ht="15.75" customHeight="1">
      <c r="A759" s="24"/>
    </row>
    <row r="760" spans="1:1" ht="15.75" customHeight="1">
      <c r="A760" s="24"/>
    </row>
    <row r="761" spans="1:1" ht="15.75" customHeight="1">
      <c r="A761" s="24"/>
    </row>
    <row r="762" spans="1:1" ht="15.75" customHeight="1">
      <c r="A762" s="24"/>
    </row>
    <row r="763" spans="1:1" ht="15.75" customHeight="1">
      <c r="A763" s="24"/>
    </row>
    <row r="764" spans="1:1" ht="15.75" customHeight="1">
      <c r="A764" s="24"/>
    </row>
    <row r="765" spans="1:1" ht="15.75" customHeight="1">
      <c r="A765" s="24"/>
    </row>
    <row r="766" spans="1:1" ht="15.75" customHeight="1">
      <c r="A766" s="24"/>
    </row>
    <row r="767" spans="1:1" ht="15.75" customHeight="1">
      <c r="A767" s="24"/>
    </row>
    <row r="768" spans="1:1" ht="15.75" customHeight="1">
      <c r="A768" s="24"/>
    </row>
    <row r="769" spans="1:1" ht="15.75" customHeight="1">
      <c r="A769" s="24"/>
    </row>
    <row r="770" spans="1:1" ht="15.75" customHeight="1">
      <c r="A770" s="24"/>
    </row>
    <row r="771" spans="1:1" ht="15.75" customHeight="1">
      <c r="A771" s="24"/>
    </row>
    <row r="772" spans="1:1" ht="15.75" customHeight="1">
      <c r="A772" s="24"/>
    </row>
    <row r="773" spans="1:1" ht="15.75" customHeight="1">
      <c r="A773" s="24"/>
    </row>
    <row r="774" spans="1:1" ht="15.75" customHeight="1">
      <c r="A774" s="24"/>
    </row>
    <row r="775" spans="1:1" ht="15.75" customHeight="1">
      <c r="A775" s="24"/>
    </row>
    <row r="776" spans="1:1" ht="15.75" customHeight="1">
      <c r="A776" s="24"/>
    </row>
    <row r="777" spans="1:1" ht="15.75" customHeight="1">
      <c r="A777" s="24"/>
    </row>
    <row r="778" spans="1:1" ht="15.75" customHeight="1">
      <c r="A778" s="24"/>
    </row>
    <row r="779" spans="1:1" ht="15.75" customHeight="1">
      <c r="A779" s="24"/>
    </row>
    <row r="780" spans="1:1" ht="15.75" customHeight="1">
      <c r="A780" s="24"/>
    </row>
    <row r="781" spans="1:1" ht="15.75" customHeight="1">
      <c r="A781" s="24"/>
    </row>
    <row r="782" spans="1:1" ht="15.75" customHeight="1">
      <c r="A782" s="24"/>
    </row>
    <row r="783" spans="1:1" ht="15.75" customHeight="1">
      <c r="A783" s="24"/>
    </row>
    <row r="784" spans="1:1" ht="15.75" customHeight="1">
      <c r="A784" s="24"/>
    </row>
    <row r="785" spans="1:1" ht="15.75" customHeight="1">
      <c r="A785" s="24"/>
    </row>
    <row r="786" spans="1:1" ht="15.75" customHeight="1">
      <c r="A786" s="24"/>
    </row>
    <row r="787" spans="1:1" ht="15.75" customHeight="1">
      <c r="A787" s="24"/>
    </row>
    <row r="788" spans="1:1" ht="15.75" customHeight="1">
      <c r="A788" s="24"/>
    </row>
    <row r="789" spans="1:1" ht="15.75" customHeight="1">
      <c r="A789" s="24"/>
    </row>
    <row r="790" spans="1:1" ht="15.75" customHeight="1">
      <c r="A790" s="24"/>
    </row>
    <row r="791" spans="1:1" ht="15.75" customHeight="1">
      <c r="A791" s="24"/>
    </row>
    <row r="792" spans="1:1" ht="15.75" customHeight="1">
      <c r="A792" s="24"/>
    </row>
    <row r="793" spans="1:1" ht="15.75" customHeight="1">
      <c r="A793" s="24"/>
    </row>
    <row r="794" spans="1:1" ht="15.75" customHeight="1">
      <c r="A794" s="24"/>
    </row>
    <row r="795" spans="1:1" ht="15.75" customHeight="1">
      <c r="A795" s="24"/>
    </row>
    <row r="796" spans="1:1" ht="15.75" customHeight="1">
      <c r="A796" s="24"/>
    </row>
    <row r="797" spans="1:1" ht="15.75" customHeight="1">
      <c r="A797" s="24"/>
    </row>
    <row r="798" spans="1:1" ht="15.75" customHeight="1">
      <c r="A798" s="24"/>
    </row>
    <row r="799" spans="1:1" ht="15.75" customHeight="1">
      <c r="A799" s="24"/>
    </row>
    <row r="800" spans="1:1" ht="15.75" customHeight="1">
      <c r="A800" s="24"/>
    </row>
    <row r="801" spans="1:1" ht="15.75" customHeight="1">
      <c r="A801" s="24"/>
    </row>
    <row r="802" spans="1:1" ht="15.75" customHeight="1">
      <c r="A802" s="24"/>
    </row>
    <row r="803" spans="1:1" ht="15.75" customHeight="1">
      <c r="A803" s="24"/>
    </row>
    <row r="804" spans="1:1" ht="15.75" customHeight="1">
      <c r="A804" s="24"/>
    </row>
    <row r="805" spans="1:1" ht="15.75" customHeight="1">
      <c r="A805" s="24"/>
    </row>
    <row r="806" spans="1:1" ht="15.75" customHeight="1">
      <c r="A806" s="24"/>
    </row>
    <row r="807" spans="1:1" ht="15.75" customHeight="1">
      <c r="A807" s="24"/>
    </row>
    <row r="808" spans="1:1" ht="15.75" customHeight="1">
      <c r="A808" s="24"/>
    </row>
    <row r="809" spans="1:1" ht="15.75" customHeight="1">
      <c r="A809" s="24"/>
    </row>
    <row r="810" spans="1:1" ht="15.75" customHeight="1">
      <c r="A810" s="24"/>
    </row>
    <row r="811" spans="1:1" ht="15.75" customHeight="1">
      <c r="A811" s="24"/>
    </row>
    <row r="812" spans="1:1" ht="15.75" customHeight="1">
      <c r="A812" s="24"/>
    </row>
    <row r="813" spans="1:1" ht="15.75" customHeight="1">
      <c r="A813" s="24"/>
    </row>
    <row r="814" spans="1:1" ht="15.75" customHeight="1">
      <c r="A814" s="24"/>
    </row>
    <row r="815" spans="1:1" ht="15.75" customHeight="1">
      <c r="A815" s="24"/>
    </row>
    <row r="816" spans="1:1" ht="15.75" customHeight="1">
      <c r="A816" s="24"/>
    </row>
    <row r="817" spans="1:1" ht="15.75" customHeight="1">
      <c r="A817" s="24"/>
    </row>
    <row r="818" spans="1:1" ht="15.75" customHeight="1">
      <c r="A818" s="24"/>
    </row>
    <row r="819" spans="1:1" ht="15.75" customHeight="1">
      <c r="A819" s="24"/>
    </row>
    <row r="820" spans="1:1" ht="15.75" customHeight="1">
      <c r="A820" s="24"/>
    </row>
    <row r="821" spans="1:1" ht="15.75" customHeight="1">
      <c r="A821" s="24"/>
    </row>
    <row r="822" spans="1:1" ht="15.75" customHeight="1">
      <c r="A822" s="24"/>
    </row>
    <row r="823" spans="1:1" ht="15.75" customHeight="1">
      <c r="A823" s="24"/>
    </row>
    <row r="824" spans="1:1" ht="15.75" customHeight="1">
      <c r="A824" s="24"/>
    </row>
    <row r="825" spans="1:1" ht="15.75" customHeight="1">
      <c r="A825" s="24"/>
    </row>
    <row r="826" spans="1:1" ht="15.75" customHeight="1">
      <c r="A826" s="24"/>
    </row>
    <row r="827" spans="1:1" ht="15.75" customHeight="1">
      <c r="A827" s="24"/>
    </row>
    <row r="828" spans="1:1" ht="15.75" customHeight="1">
      <c r="A828" s="24"/>
    </row>
    <row r="829" spans="1:1" ht="15.75" customHeight="1">
      <c r="A829" s="24"/>
    </row>
    <row r="830" spans="1:1" ht="15.75" customHeight="1">
      <c r="A830" s="24"/>
    </row>
    <row r="831" spans="1:1" ht="15.75" customHeight="1">
      <c r="A831" s="24"/>
    </row>
    <row r="832" spans="1:1" ht="15.75" customHeight="1">
      <c r="A832" s="24"/>
    </row>
    <row r="833" spans="1:1" ht="15.75" customHeight="1">
      <c r="A833" s="24"/>
    </row>
    <row r="834" spans="1:1" ht="15.75" customHeight="1">
      <c r="A834" s="24"/>
    </row>
    <row r="835" spans="1:1" ht="15.75" customHeight="1">
      <c r="A835" s="24"/>
    </row>
    <row r="836" spans="1:1" ht="15.75" customHeight="1">
      <c r="A836" s="24"/>
    </row>
    <row r="837" spans="1:1" ht="15.75" customHeight="1">
      <c r="A837" s="24"/>
    </row>
    <row r="838" spans="1:1" ht="15.75" customHeight="1">
      <c r="A838" s="24"/>
    </row>
    <row r="839" spans="1:1" ht="15.75" customHeight="1">
      <c r="A839" s="24"/>
    </row>
    <row r="840" spans="1:1" ht="15.75" customHeight="1">
      <c r="A840" s="24"/>
    </row>
    <row r="841" spans="1:1" ht="15.75" customHeight="1">
      <c r="A841" s="24"/>
    </row>
    <row r="842" spans="1:1" ht="15.75" customHeight="1">
      <c r="A842" s="24"/>
    </row>
    <row r="843" spans="1:1" ht="15.75" customHeight="1">
      <c r="A843" s="24"/>
    </row>
    <row r="844" spans="1:1" ht="15.75" customHeight="1">
      <c r="A844" s="24"/>
    </row>
    <row r="845" spans="1:1" ht="15.75" customHeight="1">
      <c r="A845" s="24"/>
    </row>
    <row r="846" spans="1:1" ht="15.75" customHeight="1">
      <c r="A846" s="24"/>
    </row>
    <row r="847" spans="1:1" ht="15.75" customHeight="1">
      <c r="A847" s="24"/>
    </row>
    <row r="848" spans="1:1" ht="15.75" customHeight="1">
      <c r="A848" s="24"/>
    </row>
    <row r="849" spans="1:1" ht="15.75" customHeight="1">
      <c r="A849" s="24"/>
    </row>
    <row r="850" spans="1:1" ht="15.75" customHeight="1">
      <c r="A850" s="24"/>
    </row>
    <row r="851" spans="1:1" ht="15.75" customHeight="1">
      <c r="A851" s="24"/>
    </row>
    <row r="852" spans="1:1" ht="15.75" customHeight="1">
      <c r="A852" s="24"/>
    </row>
    <row r="853" spans="1:1" ht="15.75" customHeight="1">
      <c r="A853" s="24"/>
    </row>
    <row r="854" spans="1:1" ht="15.75" customHeight="1">
      <c r="A854" s="24"/>
    </row>
    <row r="855" spans="1:1" ht="15.75" customHeight="1">
      <c r="A855" s="24"/>
    </row>
    <row r="856" spans="1:1" ht="15.75" customHeight="1">
      <c r="A856" s="24"/>
    </row>
    <row r="857" spans="1:1" ht="15.75" customHeight="1">
      <c r="A857" s="24"/>
    </row>
    <row r="858" spans="1:1" ht="15.75" customHeight="1">
      <c r="A858" s="24"/>
    </row>
    <row r="859" spans="1:1" ht="15.75" customHeight="1">
      <c r="A859" s="24"/>
    </row>
    <row r="860" spans="1:1" ht="15.75" customHeight="1">
      <c r="A860" s="24"/>
    </row>
    <row r="861" spans="1:1" ht="15.75" customHeight="1">
      <c r="A861" s="24"/>
    </row>
    <row r="862" spans="1:1" ht="15.75" customHeight="1">
      <c r="A862" s="24"/>
    </row>
    <row r="863" spans="1:1" ht="15.75" customHeight="1">
      <c r="A863" s="24"/>
    </row>
    <row r="864" spans="1:1" ht="15.75" customHeight="1">
      <c r="A864" s="24"/>
    </row>
    <row r="865" spans="1:1" ht="15.75" customHeight="1">
      <c r="A865" s="24"/>
    </row>
    <row r="866" spans="1:1" ht="15.75" customHeight="1">
      <c r="A866" s="24"/>
    </row>
    <row r="867" spans="1:1" ht="15.75" customHeight="1">
      <c r="A867" s="24"/>
    </row>
    <row r="868" spans="1:1" ht="15.75" customHeight="1">
      <c r="A868" s="24"/>
    </row>
    <row r="869" spans="1:1" ht="15.75" customHeight="1">
      <c r="A869" s="24"/>
    </row>
    <row r="870" spans="1:1" ht="15.75" customHeight="1">
      <c r="A870" s="24"/>
    </row>
    <row r="871" spans="1:1" ht="15.75" customHeight="1">
      <c r="A871" s="24"/>
    </row>
    <row r="872" spans="1:1" ht="15.75" customHeight="1">
      <c r="A872" s="24"/>
    </row>
    <row r="873" spans="1:1" ht="15.75" customHeight="1">
      <c r="A873" s="24"/>
    </row>
    <row r="874" spans="1:1" ht="15.75" customHeight="1">
      <c r="A874" s="24"/>
    </row>
    <row r="875" spans="1:1" ht="15.75" customHeight="1">
      <c r="A875" s="24"/>
    </row>
    <row r="876" spans="1:1" ht="15.75" customHeight="1">
      <c r="A876" s="24"/>
    </row>
    <row r="877" spans="1:1" ht="15.75" customHeight="1">
      <c r="A877" s="24"/>
    </row>
    <row r="878" spans="1:1" ht="15.75" customHeight="1">
      <c r="A878" s="24"/>
    </row>
    <row r="879" spans="1:1" ht="15.75" customHeight="1">
      <c r="A879" s="24"/>
    </row>
    <row r="880" spans="1:1" ht="15.75" customHeight="1">
      <c r="A880" s="24"/>
    </row>
    <row r="881" spans="1:1" ht="15.75" customHeight="1">
      <c r="A881" s="24"/>
    </row>
    <row r="882" spans="1:1" ht="15.75" customHeight="1">
      <c r="A882" s="24"/>
    </row>
    <row r="883" spans="1:1" ht="15.75" customHeight="1">
      <c r="A883" s="24"/>
    </row>
    <row r="884" spans="1:1" ht="15.75" customHeight="1">
      <c r="A884" s="24"/>
    </row>
    <row r="885" spans="1:1" ht="15.75" customHeight="1">
      <c r="A885" s="24"/>
    </row>
    <row r="886" spans="1:1" ht="15.75" customHeight="1">
      <c r="A886" s="24"/>
    </row>
    <row r="887" spans="1:1" ht="15.75" customHeight="1">
      <c r="A887" s="24"/>
    </row>
    <row r="888" spans="1:1" ht="15.75" customHeight="1">
      <c r="A888" s="24"/>
    </row>
    <row r="889" spans="1:1" ht="15.75" customHeight="1">
      <c r="A889" s="24"/>
    </row>
    <row r="890" spans="1:1" ht="15.75" customHeight="1">
      <c r="A890" s="24"/>
    </row>
    <row r="891" spans="1:1" ht="15.75" customHeight="1">
      <c r="A891" s="24"/>
    </row>
    <row r="892" spans="1:1" ht="15.75" customHeight="1">
      <c r="A892" s="24"/>
    </row>
    <row r="893" spans="1:1" ht="15.75" customHeight="1">
      <c r="A893" s="24"/>
    </row>
    <row r="894" spans="1:1" ht="15.75" customHeight="1">
      <c r="A894" s="24"/>
    </row>
    <row r="895" spans="1:1" ht="15.75" customHeight="1">
      <c r="A895" s="24"/>
    </row>
    <row r="896" spans="1:1" ht="15.75" customHeight="1">
      <c r="A896" s="24"/>
    </row>
    <row r="897" spans="1:1" ht="15.75" customHeight="1">
      <c r="A897" s="24"/>
    </row>
    <row r="898" spans="1:1" ht="15.75" customHeight="1">
      <c r="A898" s="24"/>
    </row>
    <row r="899" spans="1:1" ht="15.75" customHeight="1">
      <c r="A899" s="24"/>
    </row>
    <row r="900" spans="1:1" ht="15.75" customHeight="1">
      <c r="A900" s="24"/>
    </row>
    <row r="901" spans="1:1" ht="15.75" customHeight="1">
      <c r="A901" s="24"/>
    </row>
    <row r="902" spans="1:1" ht="15.75" customHeight="1">
      <c r="A902" s="24"/>
    </row>
    <row r="903" spans="1:1" ht="15.75" customHeight="1">
      <c r="A903" s="24"/>
    </row>
    <row r="904" spans="1:1" ht="15.75" customHeight="1">
      <c r="A904" s="24"/>
    </row>
    <row r="905" spans="1:1" ht="15.75" customHeight="1">
      <c r="A905" s="24"/>
    </row>
    <row r="906" spans="1:1" ht="15.75" customHeight="1">
      <c r="A906" s="24"/>
    </row>
    <row r="907" spans="1:1" ht="15.75" customHeight="1">
      <c r="A907" s="24"/>
    </row>
    <row r="908" spans="1:1" ht="15.75" customHeight="1">
      <c r="A908" s="24"/>
    </row>
    <row r="909" spans="1:1" ht="15.75" customHeight="1">
      <c r="A909" s="24"/>
    </row>
    <row r="910" spans="1:1" ht="15.75" customHeight="1">
      <c r="A910" s="24"/>
    </row>
    <row r="911" spans="1:1" ht="15.75" customHeight="1">
      <c r="A911" s="24"/>
    </row>
    <row r="912" spans="1:1" ht="15.75" customHeight="1">
      <c r="A912" s="24"/>
    </row>
    <row r="913" spans="1:1" ht="15.75" customHeight="1">
      <c r="A913" s="24"/>
    </row>
    <row r="914" spans="1:1" ht="15.75" customHeight="1">
      <c r="A914" s="24"/>
    </row>
    <row r="915" spans="1:1" ht="15.75" customHeight="1">
      <c r="A915" s="24"/>
    </row>
    <row r="916" spans="1:1" ht="15.75" customHeight="1">
      <c r="A916" s="24"/>
    </row>
    <row r="917" spans="1:1" ht="15.75" customHeight="1">
      <c r="A917" s="24"/>
    </row>
    <row r="918" spans="1:1" ht="15.75" customHeight="1">
      <c r="A918" s="24"/>
    </row>
    <row r="919" spans="1:1" ht="15.75" customHeight="1">
      <c r="A919" s="24"/>
    </row>
    <row r="920" spans="1:1" ht="15.75" customHeight="1">
      <c r="A920" s="24"/>
    </row>
    <row r="921" spans="1:1" ht="15.75" customHeight="1">
      <c r="A921" s="24"/>
    </row>
    <row r="922" spans="1:1" ht="15.75" customHeight="1">
      <c r="A922" s="24"/>
    </row>
    <row r="923" spans="1:1" ht="15.75" customHeight="1">
      <c r="A923" s="24"/>
    </row>
    <row r="924" spans="1:1" ht="15.75" customHeight="1">
      <c r="A924" s="24"/>
    </row>
    <row r="925" spans="1:1" ht="15.75" customHeight="1">
      <c r="A925" s="24"/>
    </row>
    <row r="926" spans="1:1" ht="15.75" customHeight="1">
      <c r="A926" s="24"/>
    </row>
    <row r="927" spans="1:1" ht="15.75" customHeight="1">
      <c r="A927" s="24"/>
    </row>
    <row r="928" spans="1:1" ht="15.75" customHeight="1">
      <c r="A928" s="24"/>
    </row>
    <row r="929" spans="1:1" ht="15.75" customHeight="1">
      <c r="A929" s="24"/>
    </row>
    <row r="930" spans="1:1" ht="15.75" customHeight="1">
      <c r="A930" s="24"/>
    </row>
    <row r="931" spans="1:1" ht="15.75" customHeight="1">
      <c r="A931" s="24"/>
    </row>
    <row r="932" spans="1:1" ht="15.75" customHeight="1">
      <c r="A932" s="24"/>
    </row>
    <row r="933" spans="1:1" ht="15.75" customHeight="1">
      <c r="A933" s="24"/>
    </row>
    <row r="934" spans="1:1" ht="15.75" customHeight="1">
      <c r="A934" s="24"/>
    </row>
    <row r="935" spans="1:1" ht="15.75" customHeight="1">
      <c r="A935" s="24"/>
    </row>
    <row r="936" spans="1:1" ht="15.75" customHeight="1">
      <c r="A936" s="24"/>
    </row>
    <row r="937" spans="1:1" ht="15.75" customHeight="1">
      <c r="A937" s="24"/>
    </row>
    <row r="938" spans="1:1" ht="15.75" customHeight="1">
      <c r="A938" s="24"/>
    </row>
    <row r="939" spans="1:1" ht="15.75" customHeight="1">
      <c r="A939" s="24"/>
    </row>
    <row r="940" spans="1:1" ht="15.75" customHeight="1">
      <c r="A940" s="24"/>
    </row>
    <row r="941" spans="1:1" ht="15.75" customHeight="1">
      <c r="A941" s="24"/>
    </row>
    <row r="942" spans="1:1" ht="15.75" customHeight="1">
      <c r="A942" s="24"/>
    </row>
    <row r="943" spans="1:1" ht="15.75" customHeight="1">
      <c r="A943" s="24"/>
    </row>
    <row r="944" spans="1:1" ht="15.75" customHeight="1">
      <c r="A944" s="24"/>
    </row>
    <row r="945" spans="1:1" ht="15.75" customHeight="1">
      <c r="A945" s="24"/>
    </row>
    <row r="946" spans="1:1" ht="15.75" customHeight="1">
      <c r="A946" s="24"/>
    </row>
    <row r="947" spans="1:1" ht="15.75" customHeight="1">
      <c r="A947" s="24"/>
    </row>
    <row r="948" spans="1:1" ht="15.75" customHeight="1">
      <c r="A948" s="24"/>
    </row>
    <row r="949" spans="1:1" ht="15.75" customHeight="1">
      <c r="A949" s="24"/>
    </row>
    <row r="950" spans="1:1" ht="15.75" customHeight="1">
      <c r="A950" s="24"/>
    </row>
    <row r="951" spans="1:1" ht="15.75" customHeight="1">
      <c r="A951" s="24"/>
    </row>
    <row r="952" spans="1:1" ht="15.75" customHeight="1">
      <c r="A952" s="24"/>
    </row>
    <row r="953" spans="1:1" ht="15.75" customHeight="1">
      <c r="A953" s="24"/>
    </row>
    <row r="954" spans="1:1" ht="15.75" customHeight="1">
      <c r="A954" s="24"/>
    </row>
    <row r="955" spans="1:1" ht="15.75" customHeight="1">
      <c r="A955" s="24"/>
    </row>
    <row r="956" spans="1:1" ht="15.75" customHeight="1">
      <c r="A956" s="24"/>
    </row>
    <row r="957" spans="1:1" ht="15.75" customHeight="1">
      <c r="A957" s="24"/>
    </row>
    <row r="958" spans="1:1" ht="15.75" customHeight="1">
      <c r="A958" s="24"/>
    </row>
    <row r="959" spans="1:1" ht="15.75" customHeight="1">
      <c r="A959" s="24"/>
    </row>
    <row r="960" spans="1:1" ht="15.75" customHeight="1">
      <c r="A960" s="24"/>
    </row>
    <row r="961" spans="1:1" ht="15.75" customHeight="1">
      <c r="A961" s="24"/>
    </row>
    <row r="962" spans="1:1" ht="15.75" customHeight="1">
      <c r="A962" s="24"/>
    </row>
    <row r="963" spans="1:1" ht="15.75" customHeight="1">
      <c r="A963" s="24"/>
    </row>
    <row r="964" spans="1:1" ht="15.75" customHeight="1">
      <c r="A964" s="24"/>
    </row>
    <row r="965" spans="1:1" ht="15.75" customHeight="1">
      <c r="A965" s="24"/>
    </row>
    <row r="966" spans="1:1" ht="15.75" customHeight="1">
      <c r="A966" s="24"/>
    </row>
    <row r="967" spans="1:1" ht="15.75" customHeight="1">
      <c r="A967" s="24"/>
    </row>
    <row r="968" spans="1:1" ht="15.75" customHeight="1">
      <c r="A968" s="24"/>
    </row>
    <row r="969" spans="1:1" ht="15.75" customHeight="1">
      <c r="A969" s="24"/>
    </row>
    <row r="970" spans="1:1" ht="15.75" customHeight="1">
      <c r="A970" s="24"/>
    </row>
    <row r="971" spans="1:1" ht="15.75" customHeight="1">
      <c r="A971" s="24"/>
    </row>
    <row r="972" spans="1:1" ht="15.75" customHeight="1">
      <c r="A972" s="24"/>
    </row>
    <row r="973" spans="1:1" ht="15.75" customHeight="1">
      <c r="A973" s="24"/>
    </row>
    <row r="974" spans="1:1" ht="15.75" customHeight="1">
      <c r="A974" s="24"/>
    </row>
    <row r="975" spans="1:1" ht="15.75" customHeight="1">
      <c r="A975" s="24"/>
    </row>
    <row r="976" spans="1:1" ht="15.75" customHeight="1">
      <c r="A976" s="24"/>
    </row>
    <row r="977" spans="1:1" ht="15.75" customHeight="1">
      <c r="A977" s="24"/>
    </row>
    <row r="978" spans="1:1" ht="15.75" customHeight="1">
      <c r="A978" s="24"/>
    </row>
    <row r="979" spans="1:1" ht="15.75" customHeight="1">
      <c r="A979" s="24"/>
    </row>
    <row r="980" spans="1:1" ht="15.75" customHeight="1">
      <c r="A980" s="24"/>
    </row>
    <row r="981" spans="1:1" ht="15.75" customHeight="1">
      <c r="A981" s="24"/>
    </row>
    <row r="982" spans="1:1" ht="15.75" customHeight="1">
      <c r="A982" s="24"/>
    </row>
    <row r="983" spans="1:1" ht="15.75" customHeight="1">
      <c r="A983" s="24"/>
    </row>
    <row r="984" spans="1:1" ht="15.75" customHeight="1">
      <c r="A984" s="24"/>
    </row>
    <row r="985" spans="1:1" ht="15.75" customHeight="1">
      <c r="A985" s="24"/>
    </row>
    <row r="986" spans="1:1" ht="15.75" customHeight="1">
      <c r="A986" s="24"/>
    </row>
    <row r="987" spans="1:1" ht="15.75" customHeight="1">
      <c r="A987" s="24"/>
    </row>
    <row r="988" spans="1:1" ht="15.75" customHeight="1">
      <c r="A988" s="24"/>
    </row>
    <row r="989" spans="1:1" ht="15.75" customHeight="1">
      <c r="A989" s="24"/>
    </row>
    <row r="990" spans="1:1" ht="15.75" customHeight="1">
      <c r="A990" s="24"/>
    </row>
    <row r="991" spans="1:1" ht="15.75" customHeight="1">
      <c r="A991" s="24"/>
    </row>
    <row r="992" spans="1:1" ht="15.75" customHeight="1">
      <c r="A992" s="24"/>
    </row>
    <row r="993" spans="1:1" ht="15.75" customHeight="1">
      <c r="A993" s="24"/>
    </row>
    <row r="994" spans="1:1" ht="15.75" customHeight="1">
      <c r="A994" s="24"/>
    </row>
    <row r="995" spans="1:1" ht="15.75" customHeight="1">
      <c r="A995" s="24"/>
    </row>
    <row r="996" spans="1:1" ht="15.75" customHeight="1">
      <c r="A996" s="24"/>
    </row>
    <row r="997" spans="1:1" ht="15.75" customHeight="1">
      <c r="A997" s="24"/>
    </row>
    <row r="998" spans="1:1" ht="15.75" customHeight="1">
      <c r="A998" s="24"/>
    </row>
    <row r="999" spans="1:1" ht="15.75" customHeight="1">
      <c r="A999" s="24"/>
    </row>
    <row r="1000" spans="1:1" ht="15.75" customHeight="1">
      <c r="A1000" s="24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AD1000"/>
  <sheetViews>
    <sheetView topLeftCell="H1" workbookViewId="0">
      <selection activeCell="P1" sqref="P1:Q12"/>
    </sheetView>
  </sheetViews>
  <sheetFormatPr baseColWidth="10" defaultColWidth="12.59765625" defaultRowHeight="15" customHeight="1"/>
  <cols>
    <col min="1" max="1" width="12.59765625" customWidth="1"/>
    <col min="2" max="2" width="14.09765625" customWidth="1"/>
    <col min="3" max="3" width="9.3984375" customWidth="1"/>
    <col min="4" max="4" width="11.69921875" customWidth="1"/>
    <col min="5" max="5" width="21.5" customWidth="1"/>
    <col min="6" max="6" width="19.69921875" customWidth="1"/>
    <col min="7" max="9" width="18.3984375" customWidth="1"/>
    <col min="10" max="10" width="14.69921875" customWidth="1"/>
    <col min="11" max="11" width="9.3984375" customWidth="1"/>
    <col min="12" max="12" width="12.59765625" customWidth="1"/>
    <col min="13" max="13" width="19.69921875" customWidth="1"/>
    <col min="14" max="14" width="14.09765625" customWidth="1"/>
    <col min="15" max="15" width="19.69921875" customWidth="1"/>
    <col min="16" max="30" width="9.3984375" customWidth="1"/>
  </cols>
  <sheetData>
    <row r="1" spans="1:30" ht="70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450</v>
      </c>
      <c r="F1" s="4" t="s">
        <v>451</v>
      </c>
      <c r="G1" s="2" t="s">
        <v>452</v>
      </c>
      <c r="H1" s="3" t="s">
        <v>453</v>
      </c>
      <c r="I1" s="2" t="s">
        <v>454</v>
      </c>
      <c r="J1" s="38"/>
      <c r="K1" s="6"/>
      <c r="L1" s="2" t="s">
        <v>7</v>
      </c>
      <c r="M1" s="3" t="s">
        <v>455</v>
      </c>
      <c r="N1" s="2" t="s">
        <v>456</v>
      </c>
      <c r="O1" s="3" t="s">
        <v>457</v>
      </c>
      <c r="P1" s="3" t="s">
        <v>500</v>
      </c>
      <c r="Q1" s="2" t="s">
        <v>502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4.4">
      <c r="A2" s="7">
        <v>10101</v>
      </c>
      <c r="B2" s="8" t="s">
        <v>11</v>
      </c>
      <c r="C2" s="8" t="s">
        <v>12</v>
      </c>
      <c r="D2" s="8" t="s">
        <v>13</v>
      </c>
      <c r="E2" s="9">
        <f t="shared" ref="E2:E256" si="0">(F2/G2)*1000</f>
        <v>13.049329978348645</v>
      </c>
      <c r="F2" s="10">
        <v>223</v>
      </c>
      <c r="G2" s="18">
        <v>17089</v>
      </c>
      <c r="H2" s="18">
        <f t="shared" ref="H2:I2" si="1">F2/5</f>
        <v>44.6</v>
      </c>
      <c r="I2" s="18">
        <f t="shared" si="1"/>
        <v>3417.8</v>
      </c>
      <c r="J2" s="32"/>
      <c r="L2" s="8" t="s">
        <v>11</v>
      </c>
      <c r="M2" s="13">
        <f>SUM(F2:F30)</f>
        <v>564</v>
      </c>
      <c r="N2" s="13">
        <f t="shared" ref="N2" si="2">SUM(G2:G30)</f>
        <v>35806</v>
      </c>
      <c r="O2" s="39">
        <f t="shared" ref="O2:O10" si="3">(M2/N2)*1000</f>
        <v>15.751550019549795</v>
      </c>
      <c r="P2" s="15">
        <f>M2/5</f>
        <v>112.8</v>
      </c>
      <c r="Q2">
        <f>N2/5</f>
        <v>7161.2</v>
      </c>
    </row>
    <row r="3" spans="1:30" ht="14.4">
      <c r="A3" s="7">
        <v>10102</v>
      </c>
      <c r="B3" s="8" t="s">
        <v>11</v>
      </c>
      <c r="C3" s="8" t="s">
        <v>12</v>
      </c>
      <c r="D3" s="8" t="s">
        <v>14</v>
      </c>
      <c r="E3" s="9">
        <f t="shared" si="0"/>
        <v>23.121387283236992</v>
      </c>
      <c r="F3" s="10">
        <v>12</v>
      </c>
      <c r="G3" s="18">
        <v>519</v>
      </c>
      <c r="H3" s="18">
        <f t="shared" ref="H3:I3" si="4">F3/5</f>
        <v>2.4</v>
      </c>
      <c r="I3" s="18">
        <f t="shared" si="4"/>
        <v>103.8</v>
      </c>
      <c r="J3" s="32"/>
      <c r="L3" s="8" t="s">
        <v>15</v>
      </c>
      <c r="M3" s="16">
        <f t="shared" ref="M3:N3" si="5">+SUM(F31:F117)</f>
        <v>3934</v>
      </c>
      <c r="N3" s="16">
        <f t="shared" si="5"/>
        <v>175213</v>
      </c>
      <c r="O3" s="39">
        <f t="shared" si="3"/>
        <v>22.452671890784359</v>
      </c>
      <c r="P3" s="15">
        <f t="shared" ref="P3:P12" si="6">M3/5</f>
        <v>786.8</v>
      </c>
      <c r="Q3">
        <f t="shared" ref="Q3:Q12" si="7">N3/5</f>
        <v>35042.6</v>
      </c>
    </row>
    <row r="4" spans="1:30" ht="14.4">
      <c r="A4" s="7">
        <v>10103</v>
      </c>
      <c r="B4" s="8" t="s">
        <v>11</v>
      </c>
      <c r="C4" s="8" t="s">
        <v>12</v>
      </c>
      <c r="D4" s="8" t="s">
        <v>16</v>
      </c>
      <c r="E4" s="9">
        <f t="shared" si="0"/>
        <v>27.681660899653981</v>
      </c>
      <c r="F4" s="10">
        <v>24</v>
      </c>
      <c r="G4" s="18">
        <v>867</v>
      </c>
      <c r="H4" s="18">
        <f t="shared" ref="H4:I4" si="8">F4/5</f>
        <v>4.8</v>
      </c>
      <c r="I4" s="18">
        <f t="shared" si="8"/>
        <v>173.4</v>
      </c>
      <c r="J4" s="32"/>
      <c r="L4" s="8" t="s">
        <v>17</v>
      </c>
      <c r="M4" s="16">
        <f t="shared" ref="M4:N4" si="9">+SUM(F118:F165)</f>
        <v>2251</v>
      </c>
      <c r="N4" s="16">
        <f t="shared" si="9"/>
        <v>128674</v>
      </c>
      <c r="O4" s="39">
        <f t="shared" si="3"/>
        <v>17.49382159566035</v>
      </c>
      <c r="P4" s="15">
        <f t="shared" si="6"/>
        <v>450.2</v>
      </c>
      <c r="Q4">
        <f t="shared" si="7"/>
        <v>25734.799999999999</v>
      </c>
    </row>
    <row r="5" spans="1:30" ht="14.4">
      <c r="A5" s="7">
        <v>10201</v>
      </c>
      <c r="B5" s="8" t="s">
        <v>11</v>
      </c>
      <c r="C5" s="8" t="s">
        <v>18</v>
      </c>
      <c r="D5" s="8" t="s">
        <v>19</v>
      </c>
      <c r="E5" s="9">
        <f t="shared" si="0"/>
        <v>21.032504780114724</v>
      </c>
      <c r="F5" s="10">
        <v>11</v>
      </c>
      <c r="G5" s="18">
        <v>523</v>
      </c>
      <c r="H5" s="18">
        <f t="shared" ref="H5:I5" si="10">F5/5</f>
        <v>2.2000000000000002</v>
      </c>
      <c r="I5" s="18">
        <f t="shared" si="10"/>
        <v>104.6</v>
      </c>
      <c r="J5" s="32"/>
      <c r="L5" s="8" t="s">
        <v>20</v>
      </c>
      <c r="M5" s="16">
        <f t="shared" ref="M5:N5" si="11">+SUM(F166:F200)</f>
        <v>731</v>
      </c>
      <c r="N5" s="16">
        <f t="shared" si="11"/>
        <v>35024</v>
      </c>
      <c r="O5" s="39">
        <f t="shared" si="3"/>
        <v>20.871402466879854</v>
      </c>
      <c r="P5" s="15">
        <f t="shared" si="6"/>
        <v>146.19999999999999</v>
      </c>
      <c r="Q5">
        <f t="shared" si="7"/>
        <v>7004.8</v>
      </c>
    </row>
    <row r="6" spans="1:30" ht="14.4">
      <c r="A6" s="7">
        <v>10202</v>
      </c>
      <c r="B6" s="8" t="s">
        <v>11</v>
      </c>
      <c r="C6" s="8" t="s">
        <v>18</v>
      </c>
      <c r="D6" s="8" t="s">
        <v>21</v>
      </c>
      <c r="E6" s="9">
        <f t="shared" si="0"/>
        <v>17.324350336862366</v>
      </c>
      <c r="F6" s="10">
        <v>18</v>
      </c>
      <c r="G6" s="18">
        <v>1039</v>
      </c>
      <c r="H6" s="18">
        <f t="shared" ref="H6:I6" si="12">F6/5</f>
        <v>3.6</v>
      </c>
      <c r="I6" s="18">
        <f t="shared" si="12"/>
        <v>207.8</v>
      </c>
      <c r="J6" s="32"/>
      <c r="L6" s="8" t="s">
        <v>22</v>
      </c>
      <c r="M6" s="16">
        <f t="shared" ref="M6:N6" si="13">+SUM(F201:F242)</f>
        <v>1648</v>
      </c>
      <c r="N6" s="16">
        <f t="shared" si="13"/>
        <v>57031</v>
      </c>
      <c r="O6" s="39">
        <f t="shared" si="3"/>
        <v>28.89656502603847</v>
      </c>
      <c r="P6" s="15">
        <f t="shared" si="6"/>
        <v>329.6</v>
      </c>
      <c r="Q6">
        <f t="shared" si="7"/>
        <v>11406.2</v>
      </c>
    </row>
    <row r="7" spans="1:30" ht="14.4">
      <c r="A7" s="7">
        <v>10301</v>
      </c>
      <c r="B7" s="8" t="s">
        <v>11</v>
      </c>
      <c r="C7" s="8" t="s">
        <v>23</v>
      </c>
      <c r="D7" s="8" t="s">
        <v>24</v>
      </c>
      <c r="E7" s="9">
        <f t="shared" si="0"/>
        <v>6.2189054726368163</v>
      </c>
      <c r="F7" s="10">
        <v>5</v>
      </c>
      <c r="G7" s="18">
        <v>804</v>
      </c>
      <c r="H7" s="18">
        <f t="shared" ref="H7:I7" si="14">F7/5</f>
        <v>1</v>
      </c>
      <c r="I7" s="18">
        <f t="shared" si="14"/>
        <v>160.80000000000001</v>
      </c>
      <c r="J7" s="32"/>
      <c r="L7" s="8" t="s">
        <v>25</v>
      </c>
      <c r="M7" s="16">
        <f t="shared" ref="M7:N7" si="15">+SUM(F243:F253)</f>
        <v>358</v>
      </c>
      <c r="N7" s="16">
        <f t="shared" si="15"/>
        <v>31547</v>
      </c>
      <c r="O7" s="39">
        <f t="shared" si="3"/>
        <v>11.348147208926363</v>
      </c>
      <c r="P7" s="15">
        <f t="shared" si="6"/>
        <v>71.599999999999994</v>
      </c>
      <c r="Q7">
        <f t="shared" si="7"/>
        <v>6309.4</v>
      </c>
    </row>
    <row r="8" spans="1:30" ht="14.4">
      <c r="A8" s="7">
        <v>10302</v>
      </c>
      <c r="B8" s="8" t="s">
        <v>11</v>
      </c>
      <c r="C8" s="8" t="s">
        <v>23</v>
      </c>
      <c r="D8" s="8" t="s">
        <v>26</v>
      </c>
      <c r="E8" s="9">
        <f t="shared" si="0"/>
        <v>17.971758664955072</v>
      </c>
      <c r="F8" s="10">
        <v>14</v>
      </c>
      <c r="G8" s="18">
        <v>779</v>
      </c>
      <c r="H8" s="18">
        <f t="shared" ref="H8:I8" si="16">F8/5</f>
        <v>2.8</v>
      </c>
      <c r="I8" s="18">
        <f t="shared" si="16"/>
        <v>155.80000000000001</v>
      </c>
      <c r="J8" s="32"/>
      <c r="L8" s="8" t="s">
        <v>27</v>
      </c>
      <c r="M8" s="16">
        <f t="shared" ref="M8:N8" si="17">+SUM(F254:F309)</f>
        <v>2807</v>
      </c>
      <c r="N8" s="16">
        <f t="shared" si="17"/>
        <v>210592</v>
      </c>
      <c r="O8" s="39">
        <f t="shared" si="3"/>
        <v>13.329091323507066</v>
      </c>
      <c r="P8" s="15">
        <f t="shared" si="6"/>
        <v>561.4</v>
      </c>
      <c r="Q8">
        <f t="shared" si="7"/>
        <v>42118.400000000001</v>
      </c>
    </row>
    <row r="9" spans="1:30" ht="14.4">
      <c r="A9" s="7">
        <v>10303</v>
      </c>
      <c r="B9" s="8" t="s">
        <v>11</v>
      </c>
      <c r="C9" s="8" t="s">
        <v>23</v>
      </c>
      <c r="D9" s="8" t="s">
        <v>28</v>
      </c>
      <c r="E9" s="9">
        <f t="shared" si="0"/>
        <v>12.797074954296161</v>
      </c>
      <c r="F9" s="10">
        <v>7</v>
      </c>
      <c r="G9" s="18">
        <v>547</v>
      </c>
      <c r="H9" s="18">
        <f t="shared" ref="H9:I9" si="18">F9/5</f>
        <v>1.4</v>
      </c>
      <c r="I9" s="18">
        <f t="shared" si="18"/>
        <v>109.4</v>
      </c>
      <c r="J9" s="32"/>
      <c r="L9" s="8" t="s">
        <v>29</v>
      </c>
      <c r="M9" s="16">
        <f t="shared" ref="M9:N9" si="19">+SUM(F310:F329)</f>
        <v>647</v>
      </c>
      <c r="N9" s="16">
        <f t="shared" si="19"/>
        <v>36199</v>
      </c>
      <c r="O9" s="39">
        <f t="shared" si="3"/>
        <v>17.873421917732532</v>
      </c>
      <c r="P9" s="15">
        <f t="shared" si="6"/>
        <v>129.4</v>
      </c>
      <c r="Q9">
        <f t="shared" si="7"/>
        <v>7239.8</v>
      </c>
    </row>
    <row r="10" spans="1:30" ht="14.4">
      <c r="A10" s="7">
        <v>10304</v>
      </c>
      <c r="B10" s="8" t="s">
        <v>11</v>
      </c>
      <c r="C10" s="8" t="s">
        <v>23</v>
      </c>
      <c r="D10" s="8" t="s">
        <v>30</v>
      </c>
      <c r="E10" s="9">
        <f t="shared" si="0"/>
        <v>13.48747591522158</v>
      </c>
      <c r="F10" s="10">
        <v>7</v>
      </c>
      <c r="G10" s="18">
        <v>519</v>
      </c>
      <c r="H10" s="18">
        <f t="shared" ref="H10:I10" si="20">F10/5</f>
        <v>1.4</v>
      </c>
      <c r="I10" s="18">
        <f t="shared" si="20"/>
        <v>103.8</v>
      </c>
      <c r="J10" s="32"/>
      <c r="L10" s="8" t="s">
        <v>31</v>
      </c>
      <c r="M10" s="16">
        <f t="shared" ref="M10:N10" si="21">+SUM(F330:F344)</f>
        <v>131</v>
      </c>
      <c r="N10" s="16">
        <f t="shared" si="21"/>
        <v>9512</v>
      </c>
      <c r="O10" s="39">
        <f t="shared" si="3"/>
        <v>13.772077375946175</v>
      </c>
      <c r="P10" s="15">
        <f t="shared" si="6"/>
        <v>26.2</v>
      </c>
      <c r="Q10">
        <f t="shared" si="7"/>
        <v>1902.4</v>
      </c>
    </row>
    <row r="11" spans="1:30" ht="14.4">
      <c r="A11" s="7">
        <v>10401</v>
      </c>
      <c r="B11" s="8" t="s">
        <v>11</v>
      </c>
      <c r="C11" s="8" t="s">
        <v>32</v>
      </c>
      <c r="D11" s="8" t="s">
        <v>33</v>
      </c>
      <c r="E11" s="9">
        <f t="shared" si="0"/>
        <v>11.986301369863012</v>
      </c>
      <c r="F11" s="10">
        <v>7</v>
      </c>
      <c r="G11" s="18">
        <v>584</v>
      </c>
      <c r="H11" s="18">
        <f t="shared" ref="H11:I11" si="22">F11/5</f>
        <v>1.4</v>
      </c>
      <c r="I11" s="18">
        <f t="shared" si="22"/>
        <v>116.8</v>
      </c>
      <c r="J11" s="32"/>
      <c r="L11" s="98" t="s">
        <v>501</v>
      </c>
      <c r="M11" s="74">
        <f>SUM(F246:F248)</f>
        <v>135</v>
      </c>
      <c r="N11" s="74">
        <f>SUM(G246:G248)</f>
        <v>10329</v>
      </c>
      <c r="P11" s="15">
        <f t="shared" si="6"/>
        <v>27</v>
      </c>
      <c r="Q11">
        <f t="shared" si="7"/>
        <v>2065.8000000000002</v>
      </c>
    </row>
    <row r="12" spans="1:30" ht="14.4">
      <c r="A12" s="7">
        <v>10402</v>
      </c>
      <c r="B12" s="8" t="s">
        <v>11</v>
      </c>
      <c r="C12" s="8" t="s">
        <v>32</v>
      </c>
      <c r="D12" s="8" t="s">
        <v>32</v>
      </c>
      <c r="E12" s="9">
        <f t="shared" si="0"/>
        <v>14.678899082568808</v>
      </c>
      <c r="F12" s="10">
        <v>8</v>
      </c>
      <c r="G12" s="18">
        <v>545</v>
      </c>
      <c r="H12" s="18">
        <f t="shared" ref="H12:I12" si="23">F12/5</f>
        <v>1.6</v>
      </c>
      <c r="I12" s="18">
        <f t="shared" si="23"/>
        <v>109</v>
      </c>
      <c r="J12" s="32"/>
      <c r="L12" s="8" t="s">
        <v>34</v>
      </c>
      <c r="M12" s="17">
        <f>SUM(M2:M10)</f>
        <v>13071</v>
      </c>
      <c r="N12" s="18">
        <f>SUM(N2:N10)</f>
        <v>719598</v>
      </c>
      <c r="O12" s="39">
        <f>(M12/N12)*1000</f>
        <v>18.16430840552642</v>
      </c>
      <c r="P12" s="15">
        <f t="shared" si="6"/>
        <v>2614.1999999999998</v>
      </c>
      <c r="Q12">
        <f t="shared" si="7"/>
        <v>143919.6</v>
      </c>
    </row>
    <row r="13" spans="1:30" ht="14.4">
      <c r="A13" s="7">
        <v>10403</v>
      </c>
      <c r="B13" s="8" t="s">
        <v>11</v>
      </c>
      <c r="C13" s="8" t="s">
        <v>32</v>
      </c>
      <c r="D13" s="8" t="s">
        <v>35</v>
      </c>
      <c r="E13" s="9">
        <f t="shared" si="0"/>
        <v>9.3457943925233646</v>
      </c>
      <c r="F13" s="10">
        <v>4</v>
      </c>
      <c r="G13" s="18">
        <v>428</v>
      </c>
      <c r="H13" s="18">
        <f t="shared" ref="H13:I13" si="24">F13/5</f>
        <v>0.8</v>
      </c>
      <c r="I13" s="18">
        <f t="shared" si="24"/>
        <v>85.6</v>
      </c>
      <c r="J13" s="32"/>
    </row>
    <row r="14" spans="1:30" ht="14.4">
      <c r="A14" s="7">
        <v>10404</v>
      </c>
      <c r="B14" s="8" t="s">
        <v>11</v>
      </c>
      <c r="C14" s="8" t="s">
        <v>32</v>
      </c>
      <c r="D14" s="8" t="s">
        <v>36</v>
      </c>
      <c r="E14" s="9">
        <f t="shared" si="0"/>
        <v>19.607843137254903</v>
      </c>
      <c r="F14" s="10">
        <v>4</v>
      </c>
      <c r="G14" s="18">
        <v>204</v>
      </c>
      <c r="H14" s="18">
        <f t="shared" ref="H14:I14" si="25">F14/5</f>
        <v>0.8</v>
      </c>
      <c r="I14" s="18">
        <f t="shared" si="25"/>
        <v>40.799999999999997</v>
      </c>
      <c r="J14" s="32"/>
    </row>
    <row r="15" spans="1:30" ht="14.4">
      <c r="A15" s="7">
        <v>10405</v>
      </c>
      <c r="B15" s="8" t="s">
        <v>11</v>
      </c>
      <c r="C15" s="8" t="s">
        <v>32</v>
      </c>
      <c r="D15" s="8" t="s">
        <v>37</v>
      </c>
      <c r="E15" s="9">
        <f t="shared" si="0"/>
        <v>11.834319526627219</v>
      </c>
      <c r="F15" s="10">
        <v>4</v>
      </c>
      <c r="G15" s="18">
        <v>338</v>
      </c>
      <c r="H15" s="18">
        <f t="shared" ref="H15:I15" si="26">F15/5</f>
        <v>0.8</v>
      </c>
      <c r="I15" s="18">
        <f t="shared" si="26"/>
        <v>67.599999999999994</v>
      </c>
      <c r="J15" s="32"/>
    </row>
    <row r="16" spans="1:30" ht="14.4">
      <c r="A16" s="7">
        <v>10501</v>
      </c>
      <c r="B16" s="8" t="s">
        <v>11</v>
      </c>
      <c r="C16" s="8" t="s">
        <v>38</v>
      </c>
      <c r="D16" s="8" t="s">
        <v>39</v>
      </c>
      <c r="E16" s="9">
        <f t="shared" si="0"/>
        <v>7.834757834757835</v>
      </c>
      <c r="F16" s="10">
        <v>11</v>
      </c>
      <c r="G16" s="18">
        <v>1404</v>
      </c>
      <c r="H16" s="18">
        <f t="shared" ref="H16:I16" si="27">F16/5</f>
        <v>2.2000000000000002</v>
      </c>
      <c r="I16" s="18">
        <f t="shared" si="27"/>
        <v>280.8</v>
      </c>
      <c r="J16" s="32"/>
    </row>
    <row r="17" spans="1:10" ht="14.4">
      <c r="A17" s="7">
        <v>10502</v>
      </c>
      <c r="B17" s="8" t="s">
        <v>11</v>
      </c>
      <c r="C17" s="8" t="s">
        <v>38</v>
      </c>
      <c r="D17" s="8" t="s">
        <v>40</v>
      </c>
      <c r="E17" s="9">
        <f t="shared" si="0"/>
        <v>14.925373134328359</v>
      </c>
      <c r="F17" s="10">
        <v>7</v>
      </c>
      <c r="G17" s="18">
        <v>469</v>
      </c>
      <c r="H17" s="18">
        <f t="shared" ref="H17:I17" si="28">F17/5</f>
        <v>1.4</v>
      </c>
      <c r="I17" s="18">
        <f t="shared" si="28"/>
        <v>93.8</v>
      </c>
      <c r="J17" s="32"/>
    </row>
    <row r="18" spans="1:10" ht="14.4">
      <c r="A18" s="7">
        <v>10601</v>
      </c>
      <c r="B18" s="8" t="s">
        <v>11</v>
      </c>
      <c r="C18" s="8" t="s">
        <v>41</v>
      </c>
      <c r="D18" s="8" t="s">
        <v>42</v>
      </c>
      <c r="E18" s="9">
        <f t="shared" si="0"/>
        <v>28.050490883590463</v>
      </c>
      <c r="F18" s="10">
        <v>20</v>
      </c>
      <c r="G18" s="18">
        <v>713</v>
      </c>
      <c r="H18" s="18">
        <f t="shared" ref="H18:I18" si="29">F18/5</f>
        <v>4</v>
      </c>
      <c r="I18" s="18">
        <f t="shared" si="29"/>
        <v>142.6</v>
      </c>
      <c r="J18" s="32"/>
    </row>
    <row r="19" spans="1:10" ht="14.4">
      <c r="A19" s="7">
        <v>10602</v>
      </c>
      <c r="B19" s="8" t="s">
        <v>11</v>
      </c>
      <c r="C19" s="8" t="s">
        <v>41</v>
      </c>
      <c r="D19" s="8" t="s">
        <v>41</v>
      </c>
      <c r="E19" s="9">
        <f t="shared" si="0"/>
        <v>19.565217391304348</v>
      </c>
      <c r="F19" s="10">
        <v>9</v>
      </c>
      <c r="G19" s="18">
        <v>460</v>
      </c>
      <c r="H19" s="18">
        <f t="shared" ref="H19:I19" si="30">F19/5</f>
        <v>1.8</v>
      </c>
      <c r="I19" s="18">
        <f t="shared" si="30"/>
        <v>92</v>
      </c>
      <c r="J19" s="32"/>
    </row>
    <row r="20" spans="1:10" ht="14.4">
      <c r="A20" s="7">
        <v>10701</v>
      </c>
      <c r="B20" s="8" t="s">
        <v>11</v>
      </c>
      <c r="C20" s="8" t="s">
        <v>43</v>
      </c>
      <c r="D20" s="8" t="s">
        <v>44</v>
      </c>
      <c r="E20" s="9">
        <f t="shared" si="0"/>
        <v>24.390243902439025</v>
      </c>
      <c r="F20" s="10">
        <v>20</v>
      </c>
      <c r="G20" s="18">
        <v>820</v>
      </c>
      <c r="H20" s="18">
        <f t="shared" ref="H20:I20" si="31">F20/5</f>
        <v>4</v>
      </c>
      <c r="I20" s="18">
        <f t="shared" si="31"/>
        <v>164</v>
      </c>
      <c r="J20" s="32"/>
    </row>
    <row r="21" spans="1:10" ht="15.75" customHeight="1">
      <c r="A21" s="7">
        <v>10702</v>
      </c>
      <c r="B21" s="8" t="s">
        <v>11</v>
      </c>
      <c r="C21" s="8" t="s">
        <v>43</v>
      </c>
      <c r="D21" s="8" t="s">
        <v>45</v>
      </c>
      <c r="E21" s="9">
        <f t="shared" si="0"/>
        <v>25.316455696202532</v>
      </c>
      <c r="F21" s="10">
        <v>46</v>
      </c>
      <c r="G21" s="18">
        <v>1817</v>
      </c>
      <c r="H21" s="18">
        <f t="shared" ref="H21:I21" si="32">F21/5</f>
        <v>9.1999999999999993</v>
      </c>
      <c r="I21" s="18">
        <f t="shared" si="32"/>
        <v>363.4</v>
      </c>
      <c r="J21" s="32"/>
    </row>
    <row r="22" spans="1:10" ht="15.75" customHeight="1">
      <c r="A22" s="7">
        <v>10703</v>
      </c>
      <c r="B22" s="8" t="s">
        <v>11</v>
      </c>
      <c r="C22" s="8" t="s">
        <v>43</v>
      </c>
      <c r="D22" s="8" t="s">
        <v>46</v>
      </c>
      <c r="E22" s="9">
        <f t="shared" si="0"/>
        <v>22.072936660268713</v>
      </c>
      <c r="F22" s="10">
        <v>23</v>
      </c>
      <c r="G22" s="18">
        <v>1042</v>
      </c>
      <c r="H22" s="18">
        <f t="shared" ref="H22:I22" si="33">F22/5</f>
        <v>4.5999999999999996</v>
      </c>
      <c r="I22" s="18">
        <f t="shared" si="33"/>
        <v>208.4</v>
      </c>
      <c r="J22" s="32"/>
    </row>
    <row r="23" spans="1:10" ht="15.75" customHeight="1">
      <c r="A23" s="7">
        <v>10704</v>
      </c>
      <c r="B23" s="8" t="s">
        <v>11</v>
      </c>
      <c r="C23" s="8" t="s">
        <v>43</v>
      </c>
      <c r="D23" s="8" t="s">
        <v>47</v>
      </c>
      <c r="E23" s="9">
        <f t="shared" si="0"/>
        <v>15.810276679841897</v>
      </c>
      <c r="F23" s="10">
        <v>16</v>
      </c>
      <c r="G23" s="18">
        <v>1012</v>
      </c>
      <c r="H23" s="18">
        <f t="shared" ref="H23:I23" si="34">F23/5</f>
        <v>3.2</v>
      </c>
      <c r="I23" s="18">
        <f t="shared" si="34"/>
        <v>202.4</v>
      </c>
      <c r="J23" s="32"/>
    </row>
    <row r="24" spans="1:10" ht="15.75" customHeight="1">
      <c r="A24" s="7">
        <v>10801</v>
      </c>
      <c r="B24" s="8" t="s">
        <v>11</v>
      </c>
      <c r="C24" s="8" t="s">
        <v>48</v>
      </c>
      <c r="D24" s="8" t="s">
        <v>49</v>
      </c>
      <c r="E24" s="9">
        <f t="shared" si="0"/>
        <v>19.646365422396855</v>
      </c>
      <c r="F24" s="10">
        <v>10</v>
      </c>
      <c r="G24" s="18">
        <v>509</v>
      </c>
      <c r="H24" s="18">
        <f t="shared" ref="H24:I24" si="35">F24/5</f>
        <v>2</v>
      </c>
      <c r="I24" s="18">
        <f t="shared" si="35"/>
        <v>101.8</v>
      </c>
      <c r="J24" s="32"/>
    </row>
    <row r="25" spans="1:10" ht="15.75" customHeight="1">
      <c r="A25" s="7">
        <v>10901</v>
      </c>
      <c r="B25" s="8" t="s">
        <v>11</v>
      </c>
      <c r="C25" s="8" t="s">
        <v>50</v>
      </c>
      <c r="D25" s="8" t="s">
        <v>51</v>
      </c>
      <c r="E25" s="9">
        <f t="shared" si="0"/>
        <v>6.6006600660066006</v>
      </c>
      <c r="F25" s="10">
        <v>2</v>
      </c>
      <c r="G25" s="18">
        <v>303</v>
      </c>
      <c r="H25" s="18">
        <f t="shared" ref="H25:I25" si="36">F25/5</f>
        <v>0.4</v>
      </c>
      <c r="I25" s="18">
        <f t="shared" si="36"/>
        <v>60.6</v>
      </c>
      <c r="J25" s="32"/>
    </row>
    <row r="26" spans="1:10" ht="15.75" customHeight="1">
      <c r="A26" s="7">
        <v>10902</v>
      </c>
      <c r="B26" s="8" t="s">
        <v>11</v>
      </c>
      <c r="C26" s="8" t="s">
        <v>50</v>
      </c>
      <c r="D26" s="8" t="s">
        <v>52</v>
      </c>
      <c r="E26" s="9">
        <f t="shared" si="0"/>
        <v>26.026026026026027</v>
      </c>
      <c r="F26" s="10">
        <v>26</v>
      </c>
      <c r="G26" s="18">
        <v>999</v>
      </c>
      <c r="H26" s="18">
        <f t="shared" ref="H26:I26" si="37">F26/5</f>
        <v>5.2</v>
      </c>
      <c r="I26" s="18">
        <f t="shared" si="37"/>
        <v>199.8</v>
      </c>
      <c r="J26" s="32"/>
    </row>
    <row r="27" spans="1:10" ht="15.75" customHeight="1">
      <c r="A27" s="7">
        <v>10903</v>
      </c>
      <c r="B27" s="8" t="s">
        <v>11</v>
      </c>
      <c r="C27" s="8" t="s">
        <v>50</v>
      </c>
      <c r="D27" s="8" t="s">
        <v>53</v>
      </c>
      <c r="E27" s="9">
        <f t="shared" si="0"/>
        <v>16.666666666666668</v>
      </c>
      <c r="F27" s="10">
        <v>4</v>
      </c>
      <c r="G27" s="18">
        <v>240</v>
      </c>
      <c r="H27" s="18">
        <f t="shared" ref="H27:I27" si="38">F27/5</f>
        <v>0.8</v>
      </c>
      <c r="I27" s="18">
        <f t="shared" si="38"/>
        <v>48</v>
      </c>
      <c r="J27" s="32"/>
    </row>
    <row r="28" spans="1:10" ht="15.75" customHeight="1">
      <c r="A28" s="7">
        <v>11001</v>
      </c>
      <c r="B28" s="8" t="s">
        <v>11</v>
      </c>
      <c r="C28" s="8" t="s">
        <v>54</v>
      </c>
      <c r="D28" s="8" t="s">
        <v>55</v>
      </c>
      <c r="E28" s="9">
        <f t="shared" si="0"/>
        <v>14.173228346456693</v>
      </c>
      <c r="F28" s="10">
        <v>9</v>
      </c>
      <c r="G28" s="18">
        <v>635</v>
      </c>
      <c r="H28" s="18">
        <f t="shared" ref="H28:I28" si="39">F28/5</f>
        <v>1.8</v>
      </c>
      <c r="I28" s="18">
        <f t="shared" si="39"/>
        <v>127</v>
      </c>
      <c r="J28" s="32"/>
    </row>
    <row r="29" spans="1:10" ht="15.75" customHeight="1">
      <c r="A29" s="7">
        <v>11002</v>
      </c>
      <c r="B29" s="8" t="s">
        <v>11</v>
      </c>
      <c r="C29" s="8" t="s">
        <v>54</v>
      </c>
      <c r="D29" s="8" t="s">
        <v>56</v>
      </c>
      <c r="E29" s="9">
        <f t="shared" si="0"/>
        <v>17.964071856287426</v>
      </c>
      <c r="F29" s="10">
        <v>3</v>
      </c>
      <c r="G29" s="18">
        <v>167</v>
      </c>
      <c r="H29" s="18">
        <f t="shared" ref="H29:I29" si="40">F29/5</f>
        <v>0.6</v>
      </c>
      <c r="I29" s="18">
        <f t="shared" si="40"/>
        <v>33.4</v>
      </c>
      <c r="J29" s="32"/>
    </row>
    <row r="30" spans="1:10" ht="15.75" customHeight="1">
      <c r="A30" s="7">
        <v>11003</v>
      </c>
      <c r="B30" s="8" t="s">
        <v>11</v>
      </c>
      <c r="C30" s="8" t="s">
        <v>54</v>
      </c>
      <c r="D30" s="8" t="s">
        <v>57</v>
      </c>
      <c r="E30" s="9">
        <f t="shared" si="0"/>
        <v>23.201856148491878</v>
      </c>
      <c r="F30" s="10">
        <v>10</v>
      </c>
      <c r="G30" s="18">
        <v>431</v>
      </c>
      <c r="H30" s="18">
        <f t="shared" ref="H30:I30" si="41">F30/5</f>
        <v>2</v>
      </c>
      <c r="I30" s="18">
        <f t="shared" si="41"/>
        <v>86.2</v>
      </c>
      <c r="J30" s="32"/>
    </row>
    <row r="31" spans="1:10" ht="15.75" customHeight="1">
      <c r="A31" s="7">
        <v>20101</v>
      </c>
      <c r="B31" s="8" t="s">
        <v>15</v>
      </c>
      <c r="C31" s="8" t="s">
        <v>58</v>
      </c>
      <c r="D31" s="8" t="s">
        <v>59</v>
      </c>
      <c r="E31" s="9">
        <f t="shared" si="0"/>
        <v>16.015987025023168</v>
      </c>
      <c r="F31" s="10">
        <v>553</v>
      </c>
      <c r="G31" s="18">
        <v>34528</v>
      </c>
      <c r="H31" s="18">
        <f t="shared" ref="H31:I31" si="42">F31/5</f>
        <v>110.6</v>
      </c>
      <c r="I31" s="18">
        <f t="shared" si="42"/>
        <v>6905.6</v>
      </c>
      <c r="J31" s="32"/>
    </row>
    <row r="32" spans="1:10" ht="15.75" customHeight="1">
      <c r="A32" s="7">
        <v>20102</v>
      </c>
      <c r="B32" s="8" t="s">
        <v>15</v>
      </c>
      <c r="C32" s="8" t="s">
        <v>58</v>
      </c>
      <c r="D32" s="8" t="s">
        <v>60</v>
      </c>
      <c r="E32" s="9">
        <f t="shared" si="0"/>
        <v>29.235880398671096</v>
      </c>
      <c r="F32" s="10">
        <v>44</v>
      </c>
      <c r="G32" s="18">
        <v>1505</v>
      </c>
      <c r="H32" s="18">
        <f t="shared" ref="H32:I32" si="43">F32/5</f>
        <v>8.8000000000000007</v>
      </c>
      <c r="I32" s="18">
        <f t="shared" si="43"/>
        <v>301</v>
      </c>
      <c r="J32" s="32"/>
    </row>
    <row r="33" spans="1:10" ht="15.75" customHeight="1">
      <c r="A33" s="7">
        <v>20103</v>
      </c>
      <c r="B33" s="8" t="s">
        <v>15</v>
      </c>
      <c r="C33" s="8" t="s">
        <v>58</v>
      </c>
      <c r="D33" s="8" t="s">
        <v>61</v>
      </c>
      <c r="E33" s="9">
        <f t="shared" si="0"/>
        <v>22.471910112359549</v>
      </c>
      <c r="F33" s="10">
        <v>26</v>
      </c>
      <c r="G33" s="18">
        <v>1157</v>
      </c>
      <c r="H33" s="18">
        <f t="shared" ref="H33:I33" si="44">F33/5</f>
        <v>5.2</v>
      </c>
      <c r="I33" s="18">
        <f t="shared" si="44"/>
        <v>231.4</v>
      </c>
      <c r="J33" s="32"/>
    </row>
    <row r="34" spans="1:10" ht="15.75" customHeight="1">
      <c r="A34" s="7">
        <v>20104</v>
      </c>
      <c r="B34" s="8" t="s">
        <v>15</v>
      </c>
      <c r="C34" s="8" t="s">
        <v>58</v>
      </c>
      <c r="D34" s="8" t="s">
        <v>62</v>
      </c>
      <c r="E34" s="9">
        <f t="shared" si="0"/>
        <v>25.438294946717082</v>
      </c>
      <c r="F34" s="10">
        <v>74</v>
      </c>
      <c r="G34" s="18">
        <v>2909</v>
      </c>
      <c r="H34" s="18">
        <f t="shared" ref="H34:I34" si="45">F34/5</f>
        <v>14.8</v>
      </c>
      <c r="I34" s="18">
        <f t="shared" si="45"/>
        <v>581.79999999999995</v>
      </c>
      <c r="J34" s="32"/>
    </row>
    <row r="35" spans="1:10" ht="15.75" customHeight="1">
      <c r="A35" s="7">
        <v>20105</v>
      </c>
      <c r="B35" s="8" t="s">
        <v>15</v>
      </c>
      <c r="C35" s="8" t="s">
        <v>58</v>
      </c>
      <c r="D35" s="8" t="s">
        <v>63</v>
      </c>
      <c r="E35" s="9">
        <f t="shared" si="0"/>
        <v>21.157425290585387</v>
      </c>
      <c r="F35" s="10">
        <v>1205</v>
      </c>
      <c r="G35" s="18">
        <v>56954</v>
      </c>
      <c r="H35" s="18">
        <f t="shared" ref="H35:I35" si="46">F35/5</f>
        <v>241</v>
      </c>
      <c r="I35" s="18">
        <f t="shared" si="46"/>
        <v>11390.8</v>
      </c>
      <c r="J35" s="32"/>
    </row>
    <row r="36" spans="1:10" ht="15.75" customHeight="1">
      <c r="A36" s="7">
        <v>20201</v>
      </c>
      <c r="B36" s="8" t="s">
        <v>15</v>
      </c>
      <c r="C36" s="8" t="s">
        <v>64</v>
      </c>
      <c r="D36" s="8" t="s">
        <v>65</v>
      </c>
      <c r="E36" s="9">
        <f t="shared" si="0"/>
        <v>28.011204481792717</v>
      </c>
      <c r="F36" s="10">
        <v>70</v>
      </c>
      <c r="G36" s="18">
        <v>2499</v>
      </c>
      <c r="H36" s="18">
        <f t="shared" ref="H36:I36" si="47">F36/5</f>
        <v>14</v>
      </c>
      <c r="I36" s="18">
        <f t="shared" si="47"/>
        <v>499.8</v>
      </c>
      <c r="J36" s="32"/>
    </row>
    <row r="37" spans="1:10" ht="15.75" customHeight="1">
      <c r="A37" s="7">
        <v>20202</v>
      </c>
      <c r="B37" s="8" t="s">
        <v>15</v>
      </c>
      <c r="C37" s="8" t="s">
        <v>64</v>
      </c>
      <c r="D37" s="8" t="s">
        <v>66</v>
      </c>
      <c r="E37" s="9">
        <f t="shared" si="0"/>
        <v>32.886723507917175</v>
      </c>
      <c r="F37" s="10">
        <v>27</v>
      </c>
      <c r="G37" s="18">
        <v>821</v>
      </c>
      <c r="H37" s="18">
        <f t="shared" ref="H37:I37" si="48">F37/5</f>
        <v>5.4</v>
      </c>
      <c r="I37" s="18">
        <f t="shared" si="48"/>
        <v>164.2</v>
      </c>
      <c r="J37" s="32"/>
    </row>
    <row r="38" spans="1:10" ht="15.75" customHeight="1">
      <c r="A38" s="7">
        <v>20203</v>
      </c>
      <c r="B38" s="8" t="s">
        <v>15</v>
      </c>
      <c r="C38" s="8" t="s">
        <v>64</v>
      </c>
      <c r="D38" s="8" t="s">
        <v>67</v>
      </c>
      <c r="E38" s="9">
        <f t="shared" si="0"/>
        <v>30.03003003003003</v>
      </c>
      <c r="F38" s="10">
        <v>10</v>
      </c>
      <c r="G38" s="18">
        <v>333</v>
      </c>
      <c r="H38" s="18">
        <f t="shared" ref="H38:I38" si="49">F38/5</f>
        <v>2</v>
      </c>
      <c r="I38" s="18">
        <f t="shared" si="49"/>
        <v>66.599999999999994</v>
      </c>
      <c r="J38" s="32"/>
    </row>
    <row r="39" spans="1:10" ht="15.75" customHeight="1">
      <c r="A39" s="7">
        <v>20204</v>
      </c>
      <c r="B39" s="8" t="s">
        <v>15</v>
      </c>
      <c r="C39" s="8" t="s">
        <v>64</v>
      </c>
      <c r="D39" s="8" t="s">
        <v>68</v>
      </c>
      <c r="E39" s="9">
        <f t="shared" si="0"/>
        <v>33.492822966507177</v>
      </c>
      <c r="F39" s="10">
        <v>14</v>
      </c>
      <c r="G39" s="18">
        <v>418</v>
      </c>
      <c r="H39" s="18">
        <f t="shared" ref="H39:I39" si="50">F39/5</f>
        <v>2.8</v>
      </c>
      <c r="I39" s="18">
        <f t="shared" si="50"/>
        <v>83.6</v>
      </c>
      <c r="J39" s="32"/>
    </row>
    <row r="40" spans="1:10" ht="15.75" customHeight="1">
      <c r="A40" s="7">
        <v>20205</v>
      </c>
      <c r="B40" s="8" t="s">
        <v>15</v>
      </c>
      <c r="C40" s="8" t="s">
        <v>64</v>
      </c>
      <c r="D40" s="8" t="s">
        <v>69</v>
      </c>
      <c r="E40" s="9">
        <f t="shared" si="0"/>
        <v>33.816425120772948</v>
      </c>
      <c r="F40" s="10">
        <v>14</v>
      </c>
      <c r="G40" s="18">
        <v>414</v>
      </c>
      <c r="H40" s="18">
        <f t="shared" ref="H40:I40" si="51">F40/5</f>
        <v>2.8</v>
      </c>
      <c r="I40" s="18">
        <f t="shared" si="51"/>
        <v>82.8</v>
      </c>
      <c r="J40" s="32"/>
    </row>
    <row r="41" spans="1:10" ht="15.75" customHeight="1">
      <c r="A41" s="7">
        <v>20206</v>
      </c>
      <c r="B41" s="8" t="s">
        <v>15</v>
      </c>
      <c r="C41" s="8" t="s">
        <v>64</v>
      </c>
      <c r="D41" s="8" t="s">
        <v>70</v>
      </c>
      <c r="E41" s="9">
        <f t="shared" si="0"/>
        <v>15.957446808510637</v>
      </c>
      <c r="F41" s="10">
        <v>3</v>
      </c>
      <c r="G41" s="18">
        <v>188</v>
      </c>
      <c r="H41" s="18">
        <f t="shared" ref="H41:I41" si="52">F41/5</f>
        <v>0.6</v>
      </c>
      <c r="I41" s="18">
        <f t="shared" si="52"/>
        <v>37.6</v>
      </c>
      <c r="J41" s="32"/>
    </row>
    <row r="42" spans="1:10" ht="15.75" customHeight="1">
      <c r="A42" s="7">
        <v>20301</v>
      </c>
      <c r="B42" s="8" t="s">
        <v>15</v>
      </c>
      <c r="C42" s="8" t="s">
        <v>71</v>
      </c>
      <c r="D42" s="8" t="s">
        <v>72</v>
      </c>
      <c r="E42" s="9">
        <f t="shared" si="0"/>
        <v>42.748091603053439</v>
      </c>
      <c r="F42" s="10">
        <v>28</v>
      </c>
      <c r="G42" s="18">
        <v>655</v>
      </c>
      <c r="H42" s="18">
        <f t="shared" ref="H42:I42" si="53">F42/5</f>
        <v>5.6</v>
      </c>
      <c r="I42" s="18">
        <f t="shared" si="53"/>
        <v>131</v>
      </c>
      <c r="J42" s="32"/>
    </row>
    <row r="43" spans="1:10" ht="15.75" customHeight="1">
      <c r="A43" s="7">
        <v>20302</v>
      </c>
      <c r="B43" s="8" t="s">
        <v>15</v>
      </c>
      <c r="C43" s="8" t="s">
        <v>71</v>
      </c>
      <c r="D43" s="8" t="s">
        <v>73</v>
      </c>
      <c r="E43" s="9">
        <f t="shared" si="0"/>
        <v>26.954177897574127</v>
      </c>
      <c r="F43" s="10">
        <v>20</v>
      </c>
      <c r="G43" s="18">
        <v>742</v>
      </c>
      <c r="H43" s="18">
        <f t="shared" ref="H43:I43" si="54">F43/5</f>
        <v>4</v>
      </c>
      <c r="I43" s="18">
        <f t="shared" si="54"/>
        <v>148.4</v>
      </c>
      <c r="J43" s="32"/>
    </row>
    <row r="44" spans="1:10" ht="15.75" customHeight="1">
      <c r="A44" s="7">
        <v>20303</v>
      </c>
      <c r="B44" s="8" t="s">
        <v>15</v>
      </c>
      <c r="C44" s="8" t="s">
        <v>71</v>
      </c>
      <c r="D44" s="8" t="s">
        <v>74</v>
      </c>
      <c r="E44" s="9">
        <f t="shared" si="0"/>
        <v>35.087719298245609</v>
      </c>
      <c r="F44" s="10">
        <v>20</v>
      </c>
      <c r="G44" s="18">
        <v>570</v>
      </c>
      <c r="H44" s="18">
        <f t="shared" ref="H44:I44" si="55">F44/5</f>
        <v>4</v>
      </c>
      <c r="I44" s="18">
        <f t="shared" si="55"/>
        <v>114</v>
      </c>
      <c r="J44" s="32"/>
    </row>
    <row r="45" spans="1:10" ht="15.75" customHeight="1">
      <c r="A45" s="7">
        <v>20304</v>
      </c>
      <c r="B45" s="8" t="s">
        <v>15</v>
      </c>
      <c r="C45" s="8" t="s">
        <v>71</v>
      </c>
      <c r="D45" s="8" t="s">
        <v>75</v>
      </c>
      <c r="E45" s="9">
        <f t="shared" si="0"/>
        <v>12.903225806451612</v>
      </c>
      <c r="F45" s="10">
        <v>4</v>
      </c>
      <c r="G45" s="18">
        <v>310</v>
      </c>
      <c r="H45" s="18">
        <f t="shared" ref="H45:I45" si="56">F45/5</f>
        <v>0.8</v>
      </c>
      <c r="I45" s="18">
        <f t="shared" si="56"/>
        <v>62</v>
      </c>
      <c r="J45" s="32"/>
    </row>
    <row r="46" spans="1:10" ht="15.75" customHeight="1">
      <c r="A46" s="7">
        <v>20305</v>
      </c>
      <c r="B46" s="8" t="s">
        <v>15</v>
      </c>
      <c r="C46" s="8" t="s">
        <v>71</v>
      </c>
      <c r="D46" s="8" t="s">
        <v>76</v>
      </c>
      <c r="E46" s="9">
        <f t="shared" si="0"/>
        <v>47.210300429184549</v>
      </c>
      <c r="F46" s="10">
        <v>11</v>
      </c>
      <c r="G46" s="18">
        <v>233</v>
      </c>
      <c r="H46" s="18">
        <f t="shared" ref="H46:I46" si="57">F46/5</f>
        <v>2.2000000000000002</v>
      </c>
      <c r="I46" s="18">
        <f t="shared" si="57"/>
        <v>46.6</v>
      </c>
      <c r="J46" s="32"/>
    </row>
    <row r="47" spans="1:10" ht="15.75" customHeight="1">
      <c r="A47" s="7">
        <v>20306</v>
      </c>
      <c r="B47" s="8" t="s">
        <v>15</v>
      </c>
      <c r="C47" s="8" t="s">
        <v>71</v>
      </c>
      <c r="D47" s="8" t="s">
        <v>77</v>
      </c>
      <c r="E47" s="9">
        <f t="shared" si="0"/>
        <v>31.818181818181817</v>
      </c>
      <c r="F47" s="10">
        <v>7</v>
      </c>
      <c r="G47" s="18">
        <v>220</v>
      </c>
      <c r="H47" s="18">
        <f t="shared" ref="H47:I47" si="58">F47/5</f>
        <v>1.4</v>
      </c>
      <c r="I47" s="18">
        <f t="shared" si="58"/>
        <v>44</v>
      </c>
      <c r="J47" s="32"/>
    </row>
    <row r="48" spans="1:10" ht="15.75" customHeight="1">
      <c r="A48" s="7">
        <v>20307</v>
      </c>
      <c r="B48" s="8" t="s">
        <v>15</v>
      </c>
      <c r="C48" s="8" t="s">
        <v>71</v>
      </c>
      <c r="D48" s="8" t="s">
        <v>78</v>
      </c>
      <c r="E48" s="9">
        <f t="shared" si="0"/>
        <v>8.9285714285714288</v>
      </c>
      <c r="F48" s="10">
        <v>2</v>
      </c>
      <c r="G48" s="18">
        <v>224</v>
      </c>
      <c r="H48" s="18">
        <f t="shared" ref="H48:I48" si="59">F48/5</f>
        <v>0.4</v>
      </c>
      <c r="I48" s="18">
        <f t="shared" si="59"/>
        <v>44.8</v>
      </c>
      <c r="J48" s="32"/>
    </row>
    <row r="49" spans="1:10" ht="15.75" customHeight="1">
      <c r="A49" s="7">
        <v>20308</v>
      </c>
      <c r="B49" s="8" t="s">
        <v>15</v>
      </c>
      <c r="C49" s="8" t="s">
        <v>71</v>
      </c>
      <c r="D49" s="8" t="s">
        <v>79</v>
      </c>
      <c r="E49" s="9">
        <f t="shared" si="0"/>
        <v>28.571428571428569</v>
      </c>
      <c r="F49" s="10">
        <v>10</v>
      </c>
      <c r="G49" s="18">
        <v>350</v>
      </c>
      <c r="H49" s="18">
        <f t="shared" ref="H49:I49" si="60">F49/5</f>
        <v>2</v>
      </c>
      <c r="I49" s="18">
        <f t="shared" si="60"/>
        <v>70</v>
      </c>
      <c r="J49" s="32"/>
    </row>
    <row r="50" spans="1:10" ht="15.75" customHeight="1">
      <c r="A50" s="7">
        <v>20401</v>
      </c>
      <c r="B50" s="8" t="s">
        <v>15</v>
      </c>
      <c r="C50" s="8" t="s">
        <v>80</v>
      </c>
      <c r="D50" s="8" t="s">
        <v>81</v>
      </c>
      <c r="E50" s="9">
        <f t="shared" si="0"/>
        <v>22.435897435897434</v>
      </c>
      <c r="F50" s="10">
        <v>14</v>
      </c>
      <c r="G50" s="18">
        <v>624</v>
      </c>
      <c r="H50" s="18">
        <f t="shared" ref="H50:I50" si="61">F50/5</f>
        <v>2.8</v>
      </c>
      <c r="I50" s="18">
        <f t="shared" si="61"/>
        <v>124.8</v>
      </c>
      <c r="J50" s="32"/>
    </row>
    <row r="51" spans="1:10" ht="15.75" customHeight="1">
      <c r="A51" s="7">
        <v>20402</v>
      </c>
      <c r="B51" s="8" t="s">
        <v>15</v>
      </c>
      <c r="C51" s="8" t="s">
        <v>80</v>
      </c>
      <c r="D51" s="8" t="s">
        <v>82</v>
      </c>
      <c r="E51" s="9">
        <f t="shared" si="0"/>
        <v>26.751592356687897</v>
      </c>
      <c r="F51" s="10">
        <v>21</v>
      </c>
      <c r="G51" s="18">
        <v>785</v>
      </c>
      <c r="H51" s="18">
        <f t="shared" ref="H51:I51" si="62">F51/5</f>
        <v>4.2</v>
      </c>
      <c r="I51" s="18">
        <f t="shared" si="62"/>
        <v>157</v>
      </c>
      <c r="J51" s="32"/>
    </row>
    <row r="52" spans="1:10" ht="15.75" customHeight="1">
      <c r="A52" s="7">
        <v>20403</v>
      </c>
      <c r="B52" s="8" t="s">
        <v>15</v>
      </c>
      <c r="C52" s="8" t="s">
        <v>80</v>
      </c>
      <c r="D52" s="8" t="s">
        <v>83</v>
      </c>
      <c r="E52" s="9">
        <f t="shared" si="0"/>
        <v>31.175059952038371</v>
      </c>
      <c r="F52" s="10">
        <v>26</v>
      </c>
      <c r="G52" s="18">
        <v>834</v>
      </c>
      <c r="H52" s="18">
        <f t="shared" ref="H52:I52" si="63">F52/5</f>
        <v>5.2</v>
      </c>
      <c r="I52" s="18">
        <f t="shared" si="63"/>
        <v>166.8</v>
      </c>
      <c r="J52" s="32"/>
    </row>
    <row r="53" spans="1:10" ht="15.75" customHeight="1">
      <c r="A53" s="7">
        <v>20404</v>
      </c>
      <c r="B53" s="8" t="s">
        <v>15</v>
      </c>
      <c r="C53" s="8" t="s">
        <v>80</v>
      </c>
      <c r="D53" s="8" t="s">
        <v>84</v>
      </c>
      <c r="E53" s="9">
        <f t="shared" si="0"/>
        <v>14.492753623188406</v>
      </c>
      <c r="F53" s="10">
        <v>4</v>
      </c>
      <c r="G53" s="18">
        <v>276</v>
      </c>
      <c r="H53" s="18">
        <f t="shared" ref="H53:I53" si="64">F53/5</f>
        <v>0.8</v>
      </c>
      <c r="I53" s="18">
        <f t="shared" si="64"/>
        <v>55.2</v>
      </c>
      <c r="J53" s="32"/>
    </row>
    <row r="54" spans="1:10" ht="15.75" customHeight="1">
      <c r="A54" s="7">
        <v>20405</v>
      </c>
      <c r="B54" s="8" t="s">
        <v>15</v>
      </c>
      <c r="C54" s="8" t="s">
        <v>80</v>
      </c>
      <c r="D54" s="8" t="s">
        <v>85</v>
      </c>
      <c r="E54" s="9">
        <f t="shared" si="0"/>
        <v>31.25</v>
      </c>
      <c r="F54" s="10">
        <v>12</v>
      </c>
      <c r="G54" s="18">
        <v>384</v>
      </c>
      <c r="H54" s="18">
        <f t="shared" ref="H54:I54" si="65">F54/5</f>
        <v>2.4</v>
      </c>
      <c r="I54" s="18">
        <f t="shared" si="65"/>
        <v>76.8</v>
      </c>
      <c r="J54" s="32"/>
    </row>
    <row r="55" spans="1:10" ht="15.75" customHeight="1">
      <c r="A55" s="7">
        <v>20501</v>
      </c>
      <c r="B55" s="8" t="s">
        <v>15</v>
      </c>
      <c r="C55" s="8" t="s">
        <v>86</v>
      </c>
      <c r="D55" s="8" t="s">
        <v>87</v>
      </c>
      <c r="E55" s="9">
        <f t="shared" si="0"/>
        <v>19.823788546255507</v>
      </c>
      <c r="F55" s="10">
        <v>18</v>
      </c>
      <c r="G55" s="18">
        <v>908</v>
      </c>
      <c r="H55" s="18">
        <f t="shared" ref="H55:I55" si="66">F55/5</f>
        <v>3.6</v>
      </c>
      <c r="I55" s="18">
        <f t="shared" si="66"/>
        <v>181.6</v>
      </c>
      <c r="J55" s="32"/>
    </row>
    <row r="56" spans="1:10" ht="15.75" customHeight="1">
      <c r="A56" s="7">
        <v>20502</v>
      </c>
      <c r="B56" s="8" t="s">
        <v>15</v>
      </c>
      <c r="C56" s="8" t="s">
        <v>86</v>
      </c>
      <c r="D56" s="8" t="s">
        <v>88</v>
      </c>
      <c r="E56" s="9">
        <f t="shared" si="0"/>
        <v>22.075055187637972</v>
      </c>
      <c r="F56" s="10">
        <v>10</v>
      </c>
      <c r="G56" s="18">
        <v>453</v>
      </c>
      <c r="H56" s="18">
        <f t="shared" ref="H56:I56" si="67">F56/5</f>
        <v>2</v>
      </c>
      <c r="I56" s="18">
        <f t="shared" si="67"/>
        <v>90.6</v>
      </c>
      <c r="J56" s="32"/>
    </row>
    <row r="57" spans="1:10" ht="15.75" customHeight="1">
      <c r="A57" s="7">
        <v>20503</v>
      </c>
      <c r="B57" s="8" t="s">
        <v>15</v>
      </c>
      <c r="C57" s="8" t="s">
        <v>86</v>
      </c>
      <c r="D57" s="8" t="s">
        <v>89</v>
      </c>
      <c r="E57" s="9">
        <f t="shared" si="0"/>
        <v>13.483146067415731</v>
      </c>
      <c r="F57" s="10">
        <v>6</v>
      </c>
      <c r="G57" s="18">
        <v>445</v>
      </c>
      <c r="H57" s="18">
        <f t="shared" ref="H57:I57" si="68">F57/5</f>
        <v>1.2</v>
      </c>
      <c r="I57" s="18">
        <f t="shared" si="68"/>
        <v>89</v>
      </c>
      <c r="J57" s="32"/>
    </row>
    <row r="58" spans="1:10" ht="15.75" customHeight="1">
      <c r="A58" s="7">
        <v>20601</v>
      </c>
      <c r="B58" s="8" t="s">
        <v>15</v>
      </c>
      <c r="C58" s="8" t="s">
        <v>90</v>
      </c>
      <c r="D58" s="8" t="s">
        <v>91</v>
      </c>
      <c r="E58" s="9">
        <f t="shared" si="0"/>
        <v>18.617021276595743</v>
      </c>
      <c r="F58" s="10">
        <v>35</v>
      </c>
      <c r="G58" s="18">
        <v>1880</v>
      </c>
      <c r="H58" s="18">
        <f t="shared" ref="H58:I58" si="69">F58/5</f>
        <v>7</v>
      </c>
      <c r="I58" s="18">
        <f t="shared" si="69"/>
        <v>376</v>
      </c>
      <c r="J58" s="32"/>
    </row>
    <row r="59" spans="1:10" ht="15.75" customHeight="1">
      <c r="A59" s="7">
        <v>20602</v>
      </c>
      <c r="B59" s="8" t="s">
        <v>15</v>
      </c>
      <c r="C59" s="8" t="s">
        <v>90</v>
      </c>
      <c r="D59" s="8" t="s">
        <v>92</v>
      </c>
      <c r="E59" s="9">
        <f t="shared" si="0"/>
        <v>32.883642495784144</v>
      </c>
      <c r="F59" s="10">
        <v>39</v>
      </c>
      <c r="G59" s="18">
        <v>1186</v>
      </c>
      <c r="H59" s="18">
        <f t="shared" ref="H59:I59" si="70">F59/5</f>
        <v>7.8</v>
      </c>
      <c r="I59" s="18">
        <f t="shared" si="70"/>
        <v>237.2</v>
      </c>
      <c r="J59" s="32"/>
    </row>
    <row r="60" spans="1:10" ht="15.75" customHeight="1">
      <c r="A60" s="7">
        <v>20603</v>
      </c>
      <c r="B60" s="8" t="s">
        <v>15</v>
      </c>
      <c r="C60" s="8" t="s">
        <v>90</v>
      </c>
      <c r="D60" s="8" t="s">
        <v>93</v>
      </c>
      <c r="E60" s="9">
        <f t="shared" si="0"/>
        <v>6.2015503875968996</v>
      </c>
      <c r="F60" s="10">
        <v>4</v>
      </c>
      <c r="G60" s="18">
        <v>645</v>
      </c>
      <c r="H60" s="18">
        <f t="shared" ref="H60:I60" si="71">F60/5</f>
        <v>0.8</v>
      </c>
      <c r="I60" s="18">
        <f t="shared" si="71"/>
        <v>129</v>
      </c>
      <c r="J60" s="32"/>
    </row>
    <row r="61" spans="1:10" ht="15.75" customHeight="1">
      <c r="A61" s="7">
        <v>20604</v>
      </c>
      <c r="B61" s="8" t="s">
        <v>15</v>
      </c>
      <c r="C61" s="8" t="s">
        <v>90</v>
      </c>
      <c r="D61" s="8" t="s">
        <v>94</v>
      </c>
      <c r="E61" s="9">
        <f t="shared" si="0"/>
        <v>31.46853146853147</v>
      </c>
      <c r="F61" s="10">
        <v>9</v>
      </c>
      <c r="G61" s="18">
        <v>286</v>
      </c>
      <c r="H61" s="18">
        <f t="shared" ref="H61:I61" si="72">F61/5</f>
        <v>1.8</v>
      </c>
      <c r="I61" s="18">
        <f t="shared" si="72"/>
        <v>57.2</v>
      </c>
      <c r="J61" s="32"/>
    </row>
    <row r="62" spans="1:10" ht="15.75" customHeight="1">
      <c r="A62" s="7">
        <v>20605</v>
      </c>
      <c r="B62" s="8" t="s">
        <v>15</v>
      </c>
      <c r="C62" s="8" t="s">
        <v>90</v>
      </c>
      <c r="D62" s="8" t="s">
        <v>95</v>
      </c>
      <c r="E62" s="9">
        <f t="shared" si="0"/>
        <v>15.151515151515152</v>
      </c>
      <c r="F62" s="10">
        <v>2</v>
      </c>
      <c r="G62" s="18">
        <v>132</v>
      </c>
      <c r="H62" s="18">
        <f t="shared" ref="H62:I62" si="73">F62/5</f>
        <v>0.4</v>
      </c>
      <c r="I62" s="18">
        <f t="shared" si="73"/>
        <v>26.4</v>
      </c>
      <c r="J62" s="32"/>
    </row>
    <row r="63" spans="1:10" ht="15.75" customHeight="1">
      <c r="A63" s="7">
        <v>20606</v>
      </c>
      <c r="B63" s="8" t="s">
        <v>15</v>
      </c>
      <c r="C63" s="8" t="s">
        <v>90</v>
      </c>
      <c r="D63" s="8" t="s">
        <v>96</v>
      </c>
      <c r="E63" s="9">
        <f t="shared" si="0"/>
        <v>35.447761194029852</v>
      </c>
      <c r="F63" s="10">
        <v>19</v>
      </c>
      <c r="G63" s="18">
        <v>536</v>
      </c>
      <c r="H63" s="18">
        <f t="shared" ref="H63:I63" si="74">F63/5</f>
        <v>3.8</v>
      </c>
      <c r="I63" s="18">
        <f t="shared" si="74"/>
        <v>107.2</v>
      </c>
      <c r="J63" s="32"/>
    </row>
    <row r="64" spans="1:10" ht="15.75" customHeight="1">
      <c r="A64" s="7">
        <v>20607</v>
      </c>
      <c r="B64" s="8" t="s">
        <v>15</v>
      </c>
      <c r="C64" s="8" t="s">
        <v>90</v>
      </c>
      <c r="D64" s="8" t="s">
        <v>97</v>
      </c>
      <c r="E64" s="9">
        <f t="shared" si="0"/>
        <v>23.809523809523807</v>
      </c>
      <c r="F64" s="10">
        <v>45</v>
      </c>
      <c r="G64" s="18">
        <v>1890</v>
      </c>
      <c r="H64" s="18">
        <f t="shared" ref="H64:I64" si="75">F64/5</f>
        <v>9</v>
      </c>
      <c r="I64" s="18">
        <f t="shared" si="75"/>
        <v>378</v>
      </c>
      <c r="J64" s="32"/>
    </row>
    <row r="65" spans="1:10" ht="15.75" customHeight="1">
      <c r="A65" s="7">
        <v>20608</v>
      </c>
      <c r="B65" s="8" t="s">
        <v>15</v>
      </c>
      <c r="C65" s="8" t="s">
        <v>90</v>
      </c>
      <c r="D65" s="8" t="s">
        <v>98</v>
      </c>
      <c r="E65" s="9">
        <f t="shared" si="0"/>
        <v>31.25</v>
      </c>
      <c r="F65" s="10">
        <v>29</v>
      </c>
      <c r="G65" s="18">
        <v>928</v>
      </c>
      <c r="H65" s="18">
        <f t="shared" ref="H65:I65" si="76">F65/5</f>
        <v>5.8</v>
      </c>
      <c r="I65" s="18">
        <f t="shared" si="76"/>
        <v>185.6</v>
      </c>
      <c r="J65" s="32"/>
    </row>
    <row r="66" spans="1:10" ht="15.75" customHeight="1">
      <c r="A66" s="7">
        <v>20701</v>
      </c>
      <c r="B66" s="8" t="s">
        <v>15</v>
      </c>
      <c r="C66" s="8" t="s">
        <v>99</v>
      </c>
      <c r="D66" s="8" t="s">
        <v>100</v>
      </c>
      <c r="E66" s="9">
        <f t="shared" si="0"/>
        <v>28.378378378378379</v>
      </c>
      <c r="F66" s="10">
        <v>42</v>
      </c>
      <c r="G66" s="18">
        <v>1480</v>
      </c>
      <c r="H66" s="18">
        <f t="shared" ref="H66:I66" si="77">F66/5</f>
        <v>8.4</v>
      </c>
      <c r="I66" s="18">
        <f t="shared" si="77"/>
        <v>296</v>
      </c>
      <c r="J66" s="32"/>
    </row>
    <row r="67" spans="1:10" ht="15.75" customHeight="1">
      <c r="A67" s="7">
        <v>20702</v>
      </c>
      <c r="B67" s="8" t="s">
        <v>15</v>
      </c>
      <c r="C67" s="8" t="s">
        <v>99</v>
      </c>
      <c r="D67" s="8" t="s">
        <v>101</v>
      </c>
      <c r="E67" s="9">
        <f t="shared" si="0"/>
        <v>21.885521885521886</v>
      </c>
      <c r="F67" s="10">
        <v>13</v>
      </c>
      <c r="G67" s="18">
        <v>594</v>
      </c>
      <c r="H67" s="18">
        <f t="shared" ref="H67:I67" si="78">F67/5</f>
        <v>2.6</v>
      </c>
      <c r="I67" s="18">
        <f t="shared" si="78"/>
        <v>118.8</v>
      </c>
      <c r="J67" s="32"/>
    </row>
    <row r="68" spans="1:10" ht="15.75" customHeight="1">
      <c r="A68" s="7">
        <v>20801</v>
      </c>
      <c r="B68" s="8" t="s">
        <v>15</v>
      </c>
      <c r="C68" s="8" t="s">
        <v>102</v>
      </c>
      <c r="D68" s="8" t="s">
        <v>103</v>
      </c>
      <c r="E68" s="9">
        <f t="shared" si="0"/>
        <v>23.940561364887174</v>
      </c>
      <c r="F68" s="10">
        <v>174</v>
      </c>
      <c r="G68" s="18">
        <v>7268</v>
      </c>
      <c r="H68" s="18">
        <f t="shared" ref="H68:I68" si="79">F68/5</f>
        <v>34.799999999999997</v>
      </c>
      <c r="I68" s="18">
        <f t="shared" si="79"/>
        <v>1453.6</v>
      </c>
      <c r="J68" s="32"/>
    </row>
    <row r="69" spans="1:10" ht="15.75" customHeight="1">
      <c r="A69" s="7">
        <v>20802</v>
      </c>
      <c r="B69" s="8" t="s">
        <v>15</v>
      </c>
      <c r="C69" s="8" t="s">
        <v>102</v>
      </c>
      <c r="D69" s="8" t="s">
        <v>104</v>
      </c>
      <c r="E69" s="9">
        <f t="shared" si="0"/>
        <v>39.812646370023423</v>
      </c>
      <c r="F69" s="10">
        <v>17</v>
      </c>
      <c r="G69" s="18">
        <v>427</v>
      </c>
      <c r="H69" s="18">
        <f t="shared" ref="H69:I69" si="80">F69/5</f>
        <v>3.4</v>
      </c>
      <c r="I69" s="18">
        <f t="shared" si="80"/>
        <v>85.4</v>
      </c>
      <c r="J69" s="32"/>
    </row>
    <row r="70" spans="1:10" ht="15.75" customHeight="1">
      <c r="A70" s="7">
        <v>20803</v>
      </c>
      <c r="B70" s="8" t="s">
        <v>15</v>
      </c>
      <c r="C70" s="8" t="s">
        <v>102</v>
      </c>
      <c r="D70" s="8" t="s">
        <v>105</v>
      </c>
      <c r="E70" s="9">
        <f t="shared" si="0"/>
        <v>20.38216560509554</v>
      </c>
      <c r="F70" s="10">
        <v>16</v>
      </c>
      <c r="G70" s="18">
        <v>785</v>
      </c>
      <c r="H70" s="18">
        <f t="shared" ref="H70:I70" si="81">F70/5</f>
        <v>3.2</v>
      </c>
      <c r="I70" s="18">
        <f t="shared" si="81"/>
        <v>157</v>
      </c>
      <c r="J70" s="32"/>
    </row>
    <row r="71" spans="1:10" ht="15.75" customHeight="1">
      <c r="A71" s="7">
        <v>20804</v>
      </c>
      <c r="B71" s="8" t="s">
        <v>15</v>
      </c>
      <c r="C71" s="8" t="s">
        <v>102</v>
      </c>
      <c r="D71" s="8" t="s">
        <v>106</v>
      </c>
      <c r="E71" s="9">
        <f t="shared" si="0"/>
        <v>32.921810699588477</v>
      </c>
      <c r="F71" s="10">
        <v>16</v>
      </c>
      <c r="G71" s="18">
        <v>486</v>
      </c>
      <c r="H71" s="18">
        <f t="shared" ref="H71:I71" si="82">F71/5</f>
        <v>3.2</v>
      </c>
      <c r="I71" s="18">
        <f t="shared" si="82"/>
        <v>97.2</v>
      </c>
      <c r="J71" s="32"/>
    </row>
    <row r="72" spans="1:10" ht="15.75" customHeight="1">
      <c r="A72" s="7">
        <v>20805</v>
      </c>
      <c r="B72" s="8" t="s">
        <v>15</v>
      </c>
      <c r="C72" s="8" t="s">
        <v>102</v>
      </c>
      <c r="D72" s="8" t="s">
        <v>107</v>
      </c>
      <c r="E72" s="9">
        <f t="shared" si="0"/>
        <v>16.216216216216218</v>
      </c>
      <c r="F72" s="10">
        <v>6</v>
      </c>
      <c r="G72" s="18">
        <v>370</v>
      </c>
      <c r="H72" s="18">
        <f t="shared" ref="H72:I72" si="83">F72/5</f>
        <v>1.2</v>
      </c>
      <c r="I72" s="18">
        <f t="shared" si="83"/>
        <v>74</v>
      </c>
      <c r="J72" s="32"/>
    </row>
    <row r="73" spans="1:10" ht="15.75" customHeight="1">
      <c r="A73" s="7">
        <v>20806</v>
      </c>
      <c r="B73" s="8" t="s">
        <v>15</v>
      </c>
      <c r="C73" s="8" t="s">
        <v>102</v>
      </c>
      <c r="D73" s="8" t="s">
        <v>108</v>
      </c>
      <c r="E73" s="9">
        <f t="shared" si="0"/>
        <v>14.598540145985401</v>
      </c>
      <c r="F73" s="10">
        <v>12</v>
      </c>
      <c r="G73" s="18">
        <v>822</v>
      </c>
      <c r="H73" s="18">
        <f t="shared" ref="H73:I73" si="84">F73/5</f>
        <v>2.4</v>
      </c>
      <c r="I73" s="18">
        <f t="shared" si="84"/>
        <v>164.4</v>
      </c>
      <c r="J73" s="32"/>
    </row>
    <row r="74" spans="1:10" ht="15.75" customHeight="1">
      <c r="A74" s="7">
        <v>20807</v>
      </c>
      <c r="B74" s="8" t="s">
        <v>15</v>
      </c>
      <c r="C74" s="8" t="s">
        <v>102</v>
      </c>
      <c r="D74" s="8" t="s">
        <v>109</v>
      </c>
      <c r="E74" s="9">
        <f t="shared" si="0"/>
        <v>12.594458438287154</v>
      </c>
      <c r="F74" s="10">
        <v>5</v>
      </c>
      <c r="G74" s="18">
        <v>397</v>
      </c>
      <c r="H74" s="18">
        <f t="shared" ref="H74:I74" si="85">F74/5</f>
        <v>1</v>
      </c>
      <c r="I74" s="18">
        <f t="shared" si="85"/>
        <v>79.400000000000006</v>
      </c>
      <c r="J74" s="32"/>
    </row>
    <row r="75" spans="1:10" ht="15.75" customHeight="1">
      <c r="A75" s="7">
        <v>20901</v>
      </c>
      <c r="B75" s="8" t="s">
        <v>15</v>
      </c>
      <c r="C75" s="8" t="s">
        <v>110</v>
      </c>
      <c r="D75" s="8" t="s">
        <v>111</v>
      </c>
      <c r="E75" s="9">
        <f t="shared" si="0"/>
        <v>11.686143572621035</v>
      </c>
      <c r="F75" s="10">
        <v>7</v>
      </c>
      <c r="G75" s="18">
        <v>599</v>
      </c>
      <c r="H75" s="18">
        <f t="shared" ref="H75:I75" si="86">F75/5</f>
        <v>1.4</v>
      </c>
      <c r="I75" s="18">
        <f t="shared" si="86"/>
        <v>119.8</v>
      </c>
      <c r="J75" s="32"/>
    </row>
    <row r="76" spans="1:10" ht="15.75" customHeight="1">
      <c r="A76" s="7">
        <v>20902</v>
      </c>
      <c r="B76" s="8" t="s">
        <v>15</v>
      </c>
      <c r="C76" s="8" t="s">
        <v>110</v>
      </c>
      <c r="D76" s="8" t="s">
        <v>112</v>
      </c>
      <c r="E76" s="9">
        <f t="shared" si="0"/>
        <v>30.752916224814424</v>
      </c>
      <c r="F76" s="10">
        <v>29</v>
      </c>
      <c r="G76" s="18">
        <v>943</v>
      </c>
      <c r="H76" s="18">
        <f t="shared" ref="H76:I76" si="87">F76/5</f>
        <v>5.8</v>
      </c>
      <c r="I76" s="18">
        <f t="shared" si="87"/>
        <v>188.6</v>
      </c>
      <c r="J76" s="32"/>
    </row>
    <row r="77" spans="1:10" ht="15.75" customHeight="1">
      <c r="A77" s="7">
        <v>20903</v>
      </c>
      <c r="B77" s="8" t="s">
        <v>15</v>
      </c>
      <c r="C77" s="8" t="s">
        <v>110</v>
      </c>
      <c r="D77" s="8" t="s">
        <v>113</v>
      </c>
      <c r="E77" s="9">
        <f t="shared" si="0"/>
        <v>30.303030303030305</v>
      </c>
      <c r="F77" s="10">
        <v>20</v>
      </c>
      <c r="G77" s="18">
        <v>660</v>
      </c>
      <c r="H77" s="18">
        <f t="shared" ref="H77:I77" si="88">F77/5</f>
        <v>4</v>
      </c>
      <c r="I77" s="18">
        <f t="shared" si="88"/>
        <v>132</v>
      </c>
      <c r="J77" s="32"/>
    </row>
    <row r="78" spans="1:10" ht="15.75" customHeight="1">
      <c r="A78" s="7">
        <v>20904</v>
      </c>
      <c r="B78" s="8" t="s">
        <v>15</v>
      </c>
      <c r="C78" s="8" t="s">
        <v>110</v>
      </c>
      <c r="D78" s="8" t="s">
        <v>114</v>
      </c>
      <c r="E78" s="9">
        <f t="shared" si="0"/>
        <v>8.6705202312138727</v>
      </c>
      <c r="F78" s="10">
        <v>3</v>
      </c>
      <c r="G78" s="18">
        <v>346</v>
      </c>
      <c r="H78" s="18">
        <f t="shared" ref="H78:I78" si="89">F78/5</f>
        <v>0.6</v>
      </c>
      <c r="I78" s="18">
        <f t="shared" si="89"/>
        <v>69.2</v>
      </c>
      <c r="J78" s="32"/>
    </row>
    <row r="79" spans="1:10" ht="15.75" customHeight="1">
      <c r="A79" s="7">
        <v>20905</v>
      </c>
      <c r="B79" s="8" t="s">
        <v>15</v>
      </c>
      <c r="C79" s="8" t="s">
        <v>110</v>
      </c>
      <c r="D79" s="8" t="s">
        <v>115</v>
      </c>
      <c r="E79" s="9">
        <f t="shared" si="0"/>
        <v>25.274725274725274</v>
      </c>
      <c r="F79" s="10">
        <v>23</v>
      </c>
      <c r="G79" s="18">
        <v>910</v>
      </c>
      <c r="H79" s="18">
        <f t="shared" ref="H79:I79" si="90">F79/5</f>
        <v>4.5999999999999996</v>
      </c>
      <c r="I79" s="18">
        <f t="shared" si="90"/>
        <v>182</v>
      </c>
      <c r="J79" s="32"/>
    </row>
    <row r="80" spans="1:10" ht="15.75" customHeight="1">
      <c r="A80" s="7">
        <v>21001</v>
      </c>
      <c r="B80" s="8" t="s">
        <v>15</v>
      </c>
      <c r="C80" s="8" t="s">
        <v>116</v>
      </c>
      <c r="D80" s="8" t="s">
        <v>116</v>
      </c>
      <c r="E80" s="9">
        <f t="shared" si="0"/>
        <v>26.072329688814129</v>
      </c>
      <c r="F80" s="10">
        <v>31</v>
      </c>
      <c r="G80" s="18">
        <v>1189</v>
      </c>
      <c r="H80" s="18">
        <f t="shared" ref="H80:I80" si="91">F80/5</f>
        <v>6.2</v>
      </c>
      <c r="I80" s="18">
        <f t="shared" si="91"/>
        <v>237.8</v>
      </c>
      <c r="J80" s="32"/>
    </row>
    <row r="81" spans="1:10" ht="15.75" customHeight="1">
      <c r="A81" s="7">
        <v>21002</v>
      </c>
      <c r="B81" s="8" t="s">
        <v>15</v>
      </c>
      <c r="C81" s="8" t="s">
        <v>116</v>
      </c>
      <c r="D81" s="8" t="s">
        <v>117</v>
      </c>
      <c r="E81" s="9">
        <f t="shared" si="0"/>
        <v>33.22784810126582</v>
      </c>
      <c r="F81" s="10">
        <v>21</v>
      </c>
      <c r="G81" s="18">
        <v>632</v>
      </c>
      <c r="H81" s="18">
        <f t="shared" ref="H81:I81" si="92">F81/5</f>
        <v>4.2</v>
      </c>
      <c r="I81" s="18">
        <f t="shared" si="92"/>
        <v>126.4</v>
      </c>
      <c r="J81" s="32"/>
    </row>
    <row r="82" spans="1:10" ht="15.75" customHeight="1">
      <c r="A82" s="7">
        <v>21003</v>
      </c>
      <c r="B82" s="8" t="s">
        <v>15</v>
      </c>
      <c r="C82" s="8" t="s">
        <v>116</v>
      </c>
      <c r="D82" s="8" t="s">
        <v>118</v>
      </c>
      <c r="E82" s="9">
        <f t="shared" si="0"/>
        <v>19.672131147540984</v>
      </c>
      <c r="F82" s="10">
        <v>24</v>
      </c>
      <c r="G82" s="18">
        <v>1220</v>
      </c>
      <c r="H82" s="18">
        <f t="shared" ref="H82:I82" si="93">F82/5</f>
        <v>4.8</v>
      </c>
      <c r="I82" s="18">
        <f t="shared" si="93"/>
        <v>244</v>
      </c>
      <c r="J82" s="32"/>
    </row>
    <row r="83" spans="1:10" ht="15.75" customHeight="1">
      <c r="A83" s="7">
        <v>21004</v>
      </c>
      <c r="B83" s="8" t="s">
        <v>15</v>
      </c>
      <c r="C83" s="8" t="s">
        <v>116</v>
      </c>
      <c r="D83" s="8" t="s">
        <v>119</v>
      </c>
      <c r="E83" s="9">
        <f t="shared" si="0"/>
        <v>27.129337539432175</v>
      </c>
      <c r="F83" s="10">
        <v>43</v>
      </c>
      <c r="G83" s="18">
        <v>1585</v>
      </c>
      <c r="H83" s="18">
        <f t="shared" ref="H83:I83" si="94">F83/5</f>
        <v>8.6</v>
      </c>
      <c r="I83" s="18">
        <f t="shared" si="94"/>
        <v>317</v>
      </c>
      <c r="J83" s="32"/>
    </row>
    <row r="84" spans="1:10" ht="15.75" customHeight="1">
      <c r="A84" s="7">
        <v>21005</v>
      </c>
      <c r="B84" s="8" t="s">
        <v>15</v>
      </c>
      <c r="C84" s="8" t="s">
        <v>116</v>
      </c>
      <c r="D84" s="8" t="s">
        <v>120</v>
      </c>
      <c r="E84" s="9">
        <f t="shared" si="0"/>
        <v>25.423728813559325</v>
      </c>
      <c r="F84" s="10">
        <v>12</v>
      </c>
      <c r="G84" s="18">
        <v>472</v>
      </c>
      <c r="H84" s="18">
        <f t="shared" ref="H84:I84" si="95">F84/5</f>
        <v>2.4</v>
      </c>
      <c r="I84" s="18">
        <f t="shared" si="95"/>
        <v>94.4</v>
      </c>
      <c r="J84" s="32"/>
    </row>
    <row r="85" spans="1:10" ht="15.75" customHeight="1">
      <c r="A85" s="7">
        <v>21006</v>
      </c>
      <c r="B85" s="8" t="s">
        <v>15</v>
      </c>
      <c r="C85" s="8" t="s">
        <v>116</v>
      </c>
      <c r="D85" s="8" t="s">
        <v>121</v>
      </c>
      <c r="E85" s="9">
        <f t="shared" si="0"/>
        <v>12.244897959183673</v>
      </c>
      <c r="F85" s="10">
        <v>6</v>
      </c>
      <c r="G85" s="18">
        <v>490</v>
      </c>
      <c r="H85" s="18">
        <f t="shared" ref="H85:I85" si="96">F85/5</f>
        <v>1.2</v>
      </c>
      <c r="I85" s="18">
        <f t="shared" si="96"/>
        <v>98</v>
      </c>
      <c r="J85" s="32"/>
    </row>
    <row r="86" spans="1:10" ht="15.75" customHeight="1">
      <c r="A86" s="7">
        <v>21101</v>
      </c>
      <c r="B86" s="8" t="s">
        <v>15</v>
      </c>
      <c r="C86" s="8" t="s">
        <v>122</v>
      </c>
      <c r="D86" s="8" t="s">
        <v>123</v>
      </c>
      <c r="E86" s="9">
        <f t="shared" si="0"/>
        <v>33.884297520661157</v>
      </c>
      <c r="F86" s="10">
        <v>41</v>
      </c>
      <c r="G86" s="18">
        <v>1210</v>
      </c>
      <c r="H86" s="18">
        <f t="shared" ref="H86:I86" si="97">F86/5</f>
        <v>8.1999999999999993</v>
      </c>
      <c r="I86" s="18">
        <f t="shared" si="97"/>
        <v>242</v>
      </c>
      <c r="J86" s="32"/>
    </row>
    <row r="87" spans="1:10" ht="15.75" customHeight="1">
      <c r="A87" s="7">
        <v>21102</v>
      </c>
      <c r="B87" s="8" t="s">
        <v>15</v>
      </c>
      <c r="C87" s="8" t="s">
        <v>122</v>
      </c>
      <c r="D87" s="8" t="s">
        <v>124</v>
      </c>
      <c r="E87" s="9">
        <f t="shared" si="0"/>
        <v>26.89313517338995</v>
      </c>
      <c r="F87" s="10">
        <v>38</v>
      </c>
      <c r="G87" s="18">
        <v>1413</v>
      </c>
      <c r="H87" s="18">
        <f t="shared" ref="H87:I87" si="98">F87/5</f>
        <v>7.6</v>
      </c>
      <c r="I87" s="18">
        <f t="shared" si="98"/>
        <v>282.60000000000002</v>
      </c>
      <c r="J87" s="32"/>
    </row>
    <row r="88" spans="1:10" ht="15.75" customHeight="1">
      <c r="A88" s="7">
        <v>21103</v>
      </c>
      <c r="B88" s="8" t="s">
        <v>15</v>
      </c>
      <c r="C88" s="8" t="s">
        <v>122</v>
      </c>
      <c r="D88" s="8" t="s">
        <v>125</v>
      </c>
      <c r="E88" s="9">
        <f t="shared" si="0"/>
        <v>9.5693779904306222</v>
      </c>
      <c r="F88" s="10">
        <v>4</v>
      </c>
      <c r="G88" s="18">
        <v>418</v>
      </c>
      <c r="H88" s="18">
        <f t="shared" ref="H88:I88" si="99">F88/5</f>
        <v>0.8</v>
      </c>
      <c r="I88" s="18">
        <f t="shared" si="99"/>
        <v>83.6</v>
      </c>
      <c r="J88" s="32"/>
    </row>
    <row r="89" spans="1:10" ht="15.75" customHeight="1">
      <c r="A89" s="7">
        <v>21104</v>
      </c>
      <c r="B89" s="8" t="s">
        <v>15</v>
      </c>
      <c r="C89" s="8" t="s">
        <v>122</v>
      </c>
      <c r="D89" s="8" t="s">
        <v>126</v>
      </c>
      <c r="E89" s="9">
        <f t="shared" si="0"/>
        <v>35.380835380835386</v>
      </c>
      <c r="F89" s="10">
        <v>72</v>
      </c>
      <c r="G89" s="18">
        <v>2035</v>
      </c>
      <c r="H89" s="18">
        <f t="shared" ref="H89:I89" si="100">F89/5</f>
        <v>14.4</v>
      </c>
      <c r="I89" s="18">
        <f t="shared" si="100"/>
        <v>407</v>
      </c>
      <c r="J89" s="32"/>
    </row>
    <row r="90" spans="1:10" ht="15.75" customHeight="1">
      <c r="A90" s="7">
        <v>21105</v>
      </c>
      <c r="B90" s="8" t="s">
        <v>15</v>
      </c>
      <c r="C90" s="8" t="s">
        <v>122</v>
      </c>
      <c r="D90" s="8" t="s">
        <v>127</v>
      </c>
      <c r="E90" s="9">
        <f t="shared" si="0"/>
        <v>32.043879907621246</v>
      </c>
      <c r="F90" s="10">
        <v>111</v>
      </c>
      <c r="G90" s="18">
        <v>3464</v>
      </c>
      <c r="H90" s="18">
        <f t="shared" ref="H90:I90" si="101">F90/5</f>
        <v>22.2</v>
      </c>
      <c r="I90" s="18">
        <f t="shared" si="101"/>
        <v>692.8</v>
      </c>
      <c r="J90" s="32"/>
    </row>
    <row r="91" spans="1:10" ht="15.75" customHeight="1">
      <c r="A91" s="7">
        <v>21201</v>
      </c>
      <c r="B91" s="8" t="s">
        <v>15</v>
      </c>
      <c r="C91" s="8" t="s">
        <v>128</v>
      </c>
      <c r="D91" s="8" t="s">
        <v>129</v>
      </c>
      <c r="E91" s="9">
        <f t="shared" si="0"/>
        <v>28.926905132192847</v>
      </c>
      <c r="F91" s="10">
        <v>93</v>
      </c>
      <c r="G91" s="18">
        <v>3215</v>
      </c>
      <c r="H91" s="18">
        <f t="shared" ref="H91:I91" si="102">F91/5</f>
        <v>18.600000000000001</v>
      </c>
      <c r="I91" s="18">
        <f t="shared" si="102"/>
        <v>643</v>
      </c>
      <c r="J91" s="32"/>
    </row>
    <row r="92" spans="1:10" ht="15.75" customHeight="1">
      <c r="A92" s="7">
        <v>21202</v>
      </c>
      <c r="B92" s="8" t="s">
        <v>15</v>
      </c>
      <c r="C92" s="8" t="s">
        <v>128</v>
      </c>
      <c r="D92" s="8" t="s">
        <v>130</v>
      </c>
      <c r="E92" s="9">
        <f t="shared" si="0"/>
        <v>22.137079608343978</v>
      </c>
      <c r="F92" s="10">
        <v>52</v>
      </c>
      <c r="G92" s="18">
        <v>2349</v>
      </c>
      <c r="H92" s="18">
        <f t="shared" ref="H92:I92" si="103">F92/5</f>
        <v>10.4</v>
      </c>
      <c r="I92" s="18">
        <f t="shared" si="103"/>
        <v>469.8</v>
      </c>
      <c r="J92" s="32"/>
    </row>
    <row r="93" spans="1:10" ht="15.75" customHeight="1">
      <c r="A93" s="7">
        <v>21203</v>
      </c>
      <c r="B93" s="8" t="s">
        <v>15</v>
      </c>
      <c r="C93" s="8" t="s">
        <v>128</v>
      </c>
      <c r="D93" s="8" t="s">
        <v>131</v>
      </c>
      <c r="E93" s="9">
        <f t="shared" si="0"/>
        <v>23.92739273927393</v>
      </c>
      <c r="F93" s="10">
        <v>29</v>
      </c>
      <c r="G93" s="18">
        <v>1212</v>
      </c>
      <c r="H93" s="18">
        <f t="shared" ref="H93:I93" si="104">F93/5</f>
        <v>5.8</v>
      </c>
      <c r="I93" s="18">
        <f t="shared" si="104"/>
        <v>242.4</v>
      </c>
      <c r="J93" s="32"/>
    </row>
    <row r="94" spans="1:10" ht="15.75" customHeight="1">
      <c r="A94" s="7">
        <v>21204</v>
      </c>
      <c r="B94" s="8" t="s">
        <v>15</v>
      </c>
      <c r="C94" s="8" t="s">
        <v>128</v>
      </c>
      <c r="D94" s="8" t="s">
        <v>132</v>
      </c>
      <c r="E94" s="9">
        <f t="shared" si="0"/>
        <v>13.440860215053764</v>
      </c>
      <c r="F94" s="10">
        <v>5</v>
      </c>
      <c r="G94" s="18">
        <v>372</v>
      </c>
      <c r="H94" s="18">
        <f t="shared" ref="H94:I94" si="105">F94/5</f>
        <v>1</v>
      </c>
      <c r="I94" s="18">
        <f t="shared" si="105"/>
        <v>74.400000000000006</v>
      </c>
      <c r="J94" s="32"/>
    </row>
    <row r="95" spans="1:10" ht="15.75" customHeight="1">
      <c r="A95" s="7">
        <v>21301</v>
      </c>
      <c r="B95" s="8" t="s">
        <v>15</v>
      </c>
      <c r="C95" s="8" t="s">
        <v>133</v>
      </c>
      <c r="D95" s="8" t="s">
        <v>134</v>
      </c>
      <c r="E95" s="9">
        <f t="shared" si="0"/>
        <v>22.593320235756387</v>
      </c>
      <c r="F95" s="10">
        <v>46</v>
      </c>
      <c r="G95" s="18">
        <v>2036</v>
      </c>
      <c r="H95" s="18">
        <f t="shared" ref="H95:I95" si="106">F95/5</f>
        <v>9.1999999999999993</v>
      </c>
      <c r="I95" s="18">
        <f t="shared" si="106"/>
        <v>407.2</v>
      </c>
      <c r="J95" s="32"/>
    </row>
    <row r="96" spans="1:10" ht="15.75" customHeight="1">
      <c r="A96" s="7">
        <v>21302</v>
      </c>
      <c r="B96" s="8" t="s">
        <v>15</v>
      </c>
      <c r="C96" s="8" t="s">
        <v>133</v>
      </c>
      <c r="D96" s="8" t="s">
        <v>135</v>
      </c>
      <c r="E96" s="9">
        <f t="shared" si="0"/>
        <v>32.036613272311214</v>
      </c>
      <c r="F96" s="10">
        <v>14</v>
      </c>
      <c r="G96" s="18">
        <v>437</v>
      </c>
      <c r="H96" s="18">
        <f t="shared" ref="H96:I96" si="107">F96/5</f>
        <v>2.8</v>
      </c>
      <c r="I96" s="18">
        <f t="shared" si="107"/>
        <v>87.4</v>
      </c>
      <c r="J96" s="32"/>
    </row>
    <row r="97" spans="1:10" ht="15.75" customHeight="1">
      <c r="A97" s="7">
        <v>21303</v>
      </c>
      <c r="B97" s="8" t="s">
        <v>15</v>
      </c>
      <c r="C97" s="8" t="s">
        <v>133</v>
      </c>
      <c r="D97" s="8" t="s">
        <v>136</v>
      </c>
      <c r="E97" s="9">
        <f t="shared" si="0"/>
        <v>50</v>
      </c>
      <c r="F97" s="10">
        <v>33</v>
      </c>
      <c r="G97" s="18">
        <v>660</v>
      </c>
      <c r="H97" s="18">
        <f t="shared" ref="H97:I97" si="108">F97/5</f>
        <v>6.6</v>
      </c>
      <c r="I97" s="18">
        <f t="shared" si="108"/>
        <v>132</v>
      </c>
      <c r="J97" s="32"/>
    </row>
    <row r="98" spans="1:10" ht="15.75" customHeight="1">
      <c r="A98" s="7">
        <v>21304</v>
      </c>
      <c r="B98" s="8" t="s">
        <v>15</v>
      </c>
      <c r="C98" s="8" t="s">
        <v>133</v>
      </c>
      <c r="D98" s="8" t="s">
        <v>137</v>
      </c>
      <c r="E98" s="9">
        <f t="shared" si="0"/>
        <v>28.446389496717725</v>
      </c>
      <c r="F98" s="10">
        <v>26</v>
      </c>
      <c r="G98" s="18">
        <v>914</v>
      </c>
      <c r="H98" s="18">
        <f t="shared" ref="H98:I98" si="109">F98/5</f>
        <v>5.2</v>
      </c>
      <c r="I98" s="18">
        <f t="shared" si="109"/>
        <v>182.8</v>
      </c>
      <c r="J98" s="32"/>
    </row>
    <row r="99" spans="1:10" ht="15.75" customHeight="1">
      <c r="A99" s="7">
        <v>21305</v>
      </c>
      <c r="B99" s="8" t="s">
        <v>15</v>
      </c>
      <c r="C99" s="8" t="s">
        <v>133</v>
      </c>
      <c r="D99" s="8" t="s">
        <v>138</v>
      </c>
      <c r="E99" s="9">
        <f t="shared" si="0"/>
        <v>30.82394783639597</v>
      </c>
      <c r="F99" s="10">
        <v>52</v>
      </c>
      <c r="G99" s="18">
        <v>1687</v>
      </c>
      <c r="H99" s="18">
        <f t="shared" ref="H99:I99" si="110">F99/5</f>
        <v>10.4</v>
      </c>
      <c r="I99" s="18">
        <f t="shared" si="110"/>
        <v>337.4</v>
      </c>
      <c r="J99" s="32"/>
    </row>
    <row r="100" spans="1:10" ht="15.75" customHeight="1">
      <c r="A100" s="7">
        <v>21306</v>
      </c>
      <c r="B100" s="8" t="s">
        <v>15</v>
      </c>
      <c r="C100" s="8" t="s">
        <v>133</v>
      </c>
      <c r="D100" s="8" t="s">
        <v>139</v>
      </c>
      <c r="E100" s="9">
        <f t="shared" si="0"/>
        <v>27.413587604290822</v>
      </c>
      <c r="F100" s="10">
        <v>23</v>
      </c>
      <c r="G100" s="18">
        <v>839</v>
      </c>
      <c r="H100" s="18">
        <f t="shared" ref="H100:I100" si="111">F100/5</f>
        <v>4.5999999999999996</v>
      </c>
      <c r="I100" s="18">
        <f t="shared" si="111"/>
        <v>167.8</v>
      </c>
      <c r="J100" s="32"/>
    </row>
    <row r="101" spans="1:10" ht="15.75" customHeight="1">
      <c r="A101" s="7">
        <v>21307</v>
      </c>
      <c r="B101" s="8" t="s">
        <v>15</v>
      </c>
      <c r="C101" s="8" t="s">
        <v>133</v>
      </c>
      <c r="D101" s="8" t="s">
        <v>140</v>
      </c>
      <c r="E101" s="9">
        <f t="shared" si="0"/>
        <v>31.802120141342755</v>
      </c>
      <c r="F101" s="10">
        <v>9</v>
      </c>
      <c r="G101" s="18">
        <v>283</v>
      </c>
      <c r="H101" s="18">
        <f t="shared" ref="H101:I101" si="112">F101/5</f>
        <v>1.8</v>
      </c>
      <c r="I101" s="18">
        <f t="shared" si="112"/>
        <v>56.6</v>
      </c>
      <c r="J101" s="32"/>
    </row>
    <row r="102" spans="1:10" ht="15.75" customHeight="1">
      <c r="A102" s="7">
        <v>21401</v>
      </c>
      <c r="B102" s="8" t="s">
        <v>15</v>
      </c>
      <c r="C102" s="8" t="s">
        <v>141</v>
      </c>
      <c r="D102" s="8" t="s">
        <v>142</v>
      </c>
      <c r="E102" s="9">
        <f t="shared" si="0"/>
        <v>26.494146642020951</v>
      </c>
      <c r="F102" s="10">
        <v>43</v>
      </c>
      <c r="G102" s="18">
        <v>1623</v>
      </c>
      <c r="H102" s="18">
        <f t="shared" ref="H102:I102" si="113">F102/5</f>
        <v>8.6</v>
      </c>
      <c r="I102" s="18">
        <f t="shared" si="113"/>
        <v>324.60000000000002</v>
      </c>
      <c r="J102" s="32"/>
    </row>
    <row r="103" spans="1:10" ht="15.75" customHeight="1">
      <c r="A103" s="7">
        <v>21402</v>
      </c>
      <c r="B103" s="8" t="s">
        <v>15</v>
      </c>
      <c r="C103" s="8" t="s">
        <v>141</v>
      </c>
      <c r="D103" s="8" t="s">
        <v>143</v>
      </c>
      <c r="E103" s="9">
        <f t="shared" si="0"/>
        <v>18.205461638491546</v>
      </c>
      <c r="F103" s="10">
        <v>28</v>
      </c>
      <c r="G103" s="18">
        <v>1538</v>
      </c>
      <c r="H103" s="18">
        <f t="shared" ref="H103:I103" si="114">F103/5</f>
        <v>5.6</v>
      </c>
      <c r="I103" s="18">
        <f t="shared" si="114"/>
        <v>307.60000000000002</v>
      </c>
      <c r="J103" s="32"/>
    </row>
    <row r="104" spans="1:10" ht="15.75" customHeight="1">
      <c r="A104" s="7">
        <v>21501</v>
      </c>
      <c r="B104" s="8" t="s">
        <v>15</v>
      </c>
      <c r="C104" s="8" t="s">
        <v>144</v>
      </c>
      <c r="D104" s="8" t="s">
        <v>145</v>
      </c>
      <c r="E104" s="9">
        <f t="shared" si="0"/>
        <v>30.145530145530149</v>
      </c>
      <c r="F104" s="10">
        <v>29</v>
      </c>
      <c r="G104" s="18">
        <v>962</v>
      </c>
      <c r="H104" s="18">
        <f t="shared" ref="H104:I104" si="115">F104/5</f>
        <v>5.8</v>
      </c>
      <c r="I104" s="18">
        <f t="shared" si="115"/>
        <v>192.4</v>
      </c>
      <c r="J104" s="32"/>
    </row>
    <row r="105" spans="1:10" ht="15.75" customHeight="1">
      <c r="A105" s="7">
        <v>21502</v>
      </c>
      <c r="B105" s="8" t="s">
        <v>15</v>
      </c>
      <c r="C105" s="8" t="s">
        <v>144</v>
      </c>
      <c r="D105" s="8" t="s">
        <v>146</v>
      </c>
      <c r="E105" s="9">
        <f t="shared" si="0"/>
        <v>40</v>
      </c>
      <c r="F105" s="10">
        <v>32</v>
      </c>
      <c r="G105" s="18">
        <v>800</v>
      </c>
      <c r="H105" s="18">
        <f t="shared" ref="H105:I105" si="116">F105/5</f>
        <v>6.4</v>
      </c>
      <c r="I105" s="18">
        <f t="shared" si="116"/>
        <v>160</v>
      </c>
      <c r="J105" s="32"/>
    </row>
    <row r="106" spans="1:10" ht="15.75" customHeight="1">
      <c r="A106" s="7">
        <v>21601</v>
      </c>
      <c r="B106" s="8" t="s">
        <v>15</v>
      </c>
      <c r="C106" s="8" t="s">
        <v>147</v>
      </c>
      <c r="D106" s="8" t="s">
        <v>148</v>
      </c>
      <c r="E106" s="9">
        <f t="shared" si="0"/>
        <v>17.52577319587629</v>
      </c>
      <c r="F106" s="10">
        <v>17</v>
      </c>
      <c r="G106" s="18">
        <v>970</v>
      </c>
      <c r="H106" s="18">
        <f t="shared" ref="H106:I106" si="117">F106/5</f>
        <v>3.4</v>
      </c>
      <c r="I106" s="18">
        <f t="shared" si="117"/>
        <v>194</v>
      </c>
      <c r="J106" s="32"/>
    </row>
    <row r="107" spans="1:10" ht="15.75" customHeight="1">
      <c r="A107" s="7">
        <v>21602</v>
      </c>
      <c r="B107" s="8" t="s">
        <v>15</v>
      </c>
      <c r="C107" s="8" t="s">
        <v>147</v>
      </c>
      <c r="D107" s="8" t="s">
        <v>149</v>
      </c>
      <c r="E107" s="9">
        <f t="shared" si="0"/>
        <v>20.779220779220779</v>
      </c>
      <c r="F107" s="10">
        <v>8</v>
      </c>
      <c r="G107" s="18">
        <v>385</v>
      </c>
      <c r="H107" s="18">
        <f t="shared" ref="H107:I107" si="118">F107/5</f>
        <v>1.6</v>
      </c>
      <c r="I107" s="18">
        <f t="shared" si="118"/>
        <v>77</v>
      </c>
      <c r="J107" s="32"/>
    </row>
    <row r="108" spans="1:10" ht="15.75" customHeight="1">
      <c r="A108" s="7">
        <v>21701</v>
      </c>
      <c r="B108" s="8" t="s">
        <v>15</v>
      </c>
      <c r="C108" s="8" t="s">
        <v>150</v>
      </c>
      <c r="D108" s="8" t="s">
        <v>151</v>
      </c>
      <c r="E108" s="9">
        <f t="shared" si="0"/>
        <v>16.853932584269664</v>
      </c>
      <c r="F108" s="10">
        <v>15</v>
      </c>
      <c r="G108" s="18">
        <v>890</v>
      </c>
      <c r="H108" s="18">
        <f t="shared" ref="H108:I108" si="119">F108/5</f>
        <v>3</v>
      </c>
      <c r="I108" s="18">
        <f t="shared" si="119"/>
        <v>178</v>
      </c>
      <c r="J108" s="32"/>
    </row>
    <row r="109" spans="1:10" ht="15.75" customHeight="1">
      <c r="A109" s="7">
        <v>21702</v>
      </c>
      <c r="B109" s="8" t="s">
        <v>15</v>
      </c>
      <c r="C109" s="8" t="s">
        <v>150</v>
      </c>
      <c r="D109" s="8" t="s">
        <v>152</v>
      </c>
      <c r="E109" s="9">
        <f t="shared" si="0"/>
        <v>35.443037974683548</v>
      </c>
      <c r="F109" s="10">
        <v>14</v>
      </c>
      <c r="G109" s="18">
        <v>395</v>
      </c>
      <c r="H109" s="18">
        <f t="shared" ref="H109:I109" si="120">F109/5</f>
        <v>2.8</v>
      </c>
      <c r="I109" s="18">
        <f t="shared" si="120"/>
        <v>79</v>
      </c>
      <c r="J109" s="32"/>
    </row>
    <row r="110" spans="1:10" ht="15.75" customHeight="1">
      <c r="A110" s="7">
        <v>21703</v>
      </c>
      <c r="B110" s="8" t="s">
        <v>15</v>
      </c>
      <c r="C110" s="8" t="s">
        <v>150</v>
      </c>
      <c r="D110" s="8" t="s">
        <v>153</v>
      </c>
      <c r="E110" s="9">
        <f t="shared" si="0"/>
        <v>15.957446808510637</v>
      </c>
      <c r="F110" s="10">
        <v>3</v>
      </c>
      <c r="G110" s="18">
        <v>188</v>
      </c>
      <c r="H110" s="18">
        <f t="shared" ref="H110:I110" si="121">F110/5</f>
        <v>0.6</v>
      </c>
      <c r="I110" s="18">
        <f t="shared" si="121"/>
        <v>37.6</v>
      </c>
      <c r="J110" s="32"/>
    </row>
    <row r="111" spans="1:10" ht="15.75" customHeight="1">
      <c r="A111" s="7">
        <v>21801</v>
      </c>
      <c r="B111" s="8" t="s">
        <v>15</v>
      </c>
      <c r="C111" s="8" t="s">
        <v>154</v>
      </c>
      <c r="D111" s="8" t="s">
        <v>155</v>
      </c>
      <c r="E111" s="9">
        <f t="shared" si="0"/>
        <v>33.259423503325941</v>
      </c>
      <c r="F111" s="10">
        <v>15</v>
      </c>
      <c r="G111" s="18">
        <v>451</v>
      </c>
      <c r="H111" s="18">
        <f t="shared" ref="H111:I111" si="122">F111/5</f>
        <v>3</v>
      </c>
      <c r="I111" s="18">
        <f t="shared" si="122"/>
        <v>90.2</v>
      </c>
      <c r="J111" s="32"/>
    </row>
    <row r="112" spans="1:10" ht="15.75" customHeight="1">
      <c r="A112" s="7">
        <v>21802</v>
      </c>
      <c r="B112" s="8" t="s">
        <v>15</v>
      </c>
      <c r="C112" s="8" t="s">
        <v>156</v>
      </c>
      <c r="D112" s="8" t="s">
        <v>157</v>
      </c>
      <c r="E112" s="9">
        <f t="shared" si="0"/>
        <v>31.976744186046513</v>
      </c>
      <c r="F112" s="10">
        <v>11</v>
      </c>
      <c r="G112" s="18">
        <v>344</v>
      </c>
      <c r="H112" s="18">
        <f t="shared" ref="H112:I112" si="123">F112/5</f>
        <v>2.2000000000000002</v>
      </c>
      <c r="I112" s="18">
        <f t="shared" si="123"/>
        <v>68.8</v>
      </c>
      <c r="J112" s="32"/>
    </row>
    <row r="113" spans="1:10" ht="15.75" customHeight="1">
      <c r="A113" s="7">
        <v>21803</v>
      </c>
      <c r="B113" s="8" t="s">
        <v>15</v>
      </c>
      <c r="C113" s="8" t="s">
        <v>156</v>
      </c>
      <c r="D113" s="8" t="s">
        <v>158</v>
      </c>
      <c r="E113" s="9">
        <f t="shared" si="0"/>
        <v>16.666666666666668</v>
      </c>
      <c r="F113" s="10">
        <v>2</v>
      </c>
      <c r="G113" s="18">
        <v>120</v>
      </c>
      <c r="H113" s="18">
        <f t="shared" ref="H113:I113" si="124">F113/5</f>
        <v>0.4</v>
      </c>
      <c r="I113" s="18">
        <f t="shared" si="124"/>
        <v>24</v>
      </c>
      <c r="J113" s="32"/>
    </row>
    <row r="114" spans="1:10" ht="15.75" customHeight="1">
      <c r="A114" s="7">
        <v>21901</v>
      </c>
      <c r="B114" s="8" t="s">
        <v>15</v>
      </c>
      <c r="C114" s="8" t="s">
        <v>159</v>
      </c>
      <c r="D114" s="8" t="s">
        <v>160</v>
      </c>
      <c r="E114" s="9">
        <f t="shared" si="0"/>
        <v>48.929663608562691</v>
      </c>
      <c r="F114" s="10">
        <v>16</v>
      </c>
      <c r="G114" s="18">
        <v>327</v>
      </c>
      <c r="H114" s="18">
        <f t="shared" ref="H114:I114" si="125">F114/5</f>
        <v>3.2</v>
      </c>
      <c r="I114" s="18">
        <f t="shared" si="125"/>
        <v>65.400000000000006</v>
      </c>
      <c r="J114" s="32"/>
    </row>
    <row r="115" spans="1:10" ht="15.75" customHeight="1">
      <c r="A115" s="7">
        <v>21902</v>
      </c>
      <c r="B115" s="8" t="s">
        <v>15</v>
      </c>
      <c r="C115" s="8" t="s">
        <v>159</v>
      </c>
      <c r="D115" s="8" t="s">
        <v>161</v>
      </c>
      <c r="E115" s="9">
        <f t="shared" si="0"/>
        <v>3.0674846625766872</v>
      </c>
      <c r="F115" s="10">
        <v>1</v>
      </c>
      <c r="G115" s="18">
        <v>326</v>
      </c>
      <c r="H115" s="18">
        <f t="shared" ref="H115:I115" si="126">F115/5</f>
        <v>0.2</v>
      </c>
      <c r="I115" s="18">
        <f t="shared" si="126"/>
        <v>65.2</v>
      </c>
      <c r="J115" s="32"/>
    </row>
    <row r="116" spans="1:10" ht="15.75" customHeight="1">
      <c r="A116" s="7">
        <v>22001</v>
      </c>
      <c r="B116" s="8" t="s">
        <v>15</v>
      </c>
      <c r="C116" s="8" t="s">
        <v>162</v>
      </c>
      <c r="D116" s="8" t="s">
        <v>162</v>
      </c>
      <c r="E116" s="9">
        <f t="shared" si="0"/>
        <v>18.83788803396126</v>
      </c>
      <c r="F116" s="10">
        <v>71</v>
      </c>
      <c r="G116" s="18">
        <v>3769</v>
      </c>
      <c r="H116" s="18">
        <f t="shared" ref="H116:I116" si="127">F116/5</f>
        <v>14.2</v>
      </c>
      <c r="I116" s="18">
        <f t="shared" si="127"/>
        <v>753.8</v>
      </c>
      <c r="J116" s="32"/>
    </row>
    <row r="117" spans="1:10" ht="15.75" customHeight="1">
      <c r="A117" s="7">
        <v>22002</v>
      </c>
      <c r="B117" s="8" t="s">
        <v>15</v>
      </c>
      <c r="C117" s="8" t="s">
        <v>162</v>
      </c>
      <c r="D117" s="8" t="s">
        <v>163</v>
      </c>
      <c r="E117" s="9">
        <f t="shared" si="0"/>
        <v>38.011695906432749</v>
      </c>
      <c r="F117" s="10">
        <v>26</v>
      </c>
      <c r="G117" s="18">
        <v>684</v>
      </c>
      <c r="H117" s="18">
        <f t="shared" ref="H117:I117" si="128">F117/5</f>
        <v>5.2</v>
      </c>
      <c r="I117" s="18">
        <f t="shared" si="128"/>
        <v>136.80000000000001</v>
      </c>
      <c r="J117" s="32"/>
    </row>
    <row r="118" spans="1:10" ht="15.75" customHeight="1">
      <c r="A118" s="7">
        <v>30101</v>
      </c>
      <c r="B118" s="8" t="s">
        <v>17</v>
      </c>
      <c r="C118" s="8" t="s">
        <v>164</v>
      </c>
      <c r="D118" s="8" t="s">
        <v>17</v>
      </c>
      <c r="E118" s="9">
        <f t="shared" si="0"/>
        <v>13.063565397482874</v>
      </c>
      <c r="F118" s="10">
        <v>492</v>
      </c>
      <c r="G118" s="18">
        <v>37662</v>
      </c>
      <c r="H118" s="18">
        <f t="shared" ref="H118:I118" si="129">F118/5</f>
        <v>98.4</v>
      </c>
      <c r="I118" s="18">
        <f t="shared" si="129"/>
        <v>7532.4</v>
      </c>
      <c r="J118" s="32"/>
    </row>
    <row r="119" spans="1:10" ht="15.75" customHeight="1">
      <c r="A119" s="7">
        <v>30201</v>
      </c>
      <c r="B119" s="8" t="s">
        <v>17</v>
      </c>
      <c r="C119" s="8" t="s">
        <v>165</v>
      </c>
      <c r="D119" s="8" t="s">
        <v>166</v>
      </c>
      <c r="E119" s="9">
        <f t="shared" si="0"/>
        <v>15.129682997118156</v>
      </c>
      <c r="F119" s="10">
        <v>21</v>
      </c>
      <c r="G119" s="18">
        <v>1388</v>
      </c>
      <c r="H119" s="18">
        <f t="shared" ref="H119:I119" si="130">F119/5</f>
        <v>4.2</v>
      </c>
      <c r="I119" s="18">
        <f t="shared" si="130"/>
        <v>277.60000000000002</v>
      </c>
      <c r="J119" s="32"/>
    </row>
    <row r="120" spans="1:10" ht="15.75" customHeight="1">
      <c r="A120" s="7">
        <v>30202</v>
      </c>
      <c r="B120" s="8" t="s">
        <v>17</v>
      </c>
      <c r="C120" s="8" t="s">
        <v>165</v>
      </c>
      <c r="D120" s="8" t="s">
        <v>167</v>
      </c>
      <c r="E120" s="9">
        <f t="shared" si="0"/>
        <v>9.4339622641509422</v>
      </c>
      <c r="F120" s="10">
        <v>3</v>
      </c>
      <c r="G120" s="18">
        <v>318</v>
      </c>
      <c r="H120" s="18">
        <f t="shared" ref="H120:I120" si="131">F120/5</f>
        <v>0.6</v>
      </c>
      <c r="I120" s="18">
        <f t="shared" si="131"/>
        <v>63.6</v>
      </c>
      <c r="J120" s="32"/>
    </row>
    <row r="121" spans="1:10" ht="15.75" customHeight="1">
      <c r="A121" s="7">
        <v>30203</v>
      </c>
      <c r="B121" s="8" t="s">
        <v>17</v>
      </c>
      <c r="C121" s="8" t="s">
        <v>165</v>
      </c>
      <c r="D121" s="8" t="s">
        <v>168</v>
      </c>
      <c r="E121" s="9">
        <f t="shared" si="0"/>
        <v>8.6021505376344081</v>
      </c>
      <c r="F121" s="10">
        <v>4</v>
      </c>
      <c r="G121" s="18">
        <v>465</v>
      </c>
      <c r="H121" s="18">
        <f t="shared" ref="H121:I121" si="132">F121/5</f>
        <v>0.8</v>
      </c>
      <c r="I121" s="18">
        <f t="shared" si="132"/>
        <v>93</v>
      </c>
      <c r="J121" s="32"/>
    </row>
    <row r="122" spans="1:10" ht="15.75" customHeight="1">
      <c r="A122" s="7">
        <v>30301</v>
      </c>
      <c r="B122" s="8" t="s">
        <v>17</v>
      </c>
      <c r="C122" s="8" t="s">
        <v>169</v>
      </c>
      <c r="D122" s="8" t="s">
        <v>170</v>
      </c>
      <c r="E122" s="9">
        <f t="shared" si="0"/>
        <v>36.520584329349269</v>
      </c>
      <c r="F122" s="10">
        <v>55</v>
      </c>
      <c r="G122" s="18">
        <v>1506</v>
      </c>
      <c r="H122" s="18">
        <f t="shared" ref="H122:I122" si="133">F122/5</f>
        <v>11</v>
      </c>
      <c r="I122" s="18">
        <f t="shared" si="133"/>
        <v>301.2</v>
      </c>
      <c r="J122" s="32"/>
    </row>
    <row r="123" spans="1:10" ht="15.75" customHeight="1">
      <c r="A123" s="7">
        <v>30302</v>
      </c>
      <c r="B123" s="8" t="s">
        <v>17</v>
      </c>
      <c r="C123" s="8" t="s">
        <v>169</v>
      </c>
      <c r="D123" s="8" t="s">
        <v>171</v>
      </c>
      <c r="E123" s="9">
        <f t="shared" si="0"/>
        <v>25.054466230936818</v>
      </c>
      <c r="F123" s="10">
        <v>23</v>
      </c>
      <c r="G123" s="18">
        <v>918</v>
      </c>
      <c r="H123" s="18">
        <f t="shared" ref="H123:I123" si="134">F123/5</f>
        <v>4.5999999999999996</v>
      </c>
      <c r="I123" s="18">
        <f t="shared" si="134"/>
        <v>183.6</v>
      </c>
      <c r="J123" s="32"/>
    </row>
    <row r="124" spans="1:10" ht="15.75" customHeight="1">
      <c r="A124" s="7">
        <v>30303</v>
      </c>
      <c r="B124" s="8" t="s">
        <v>17</v>
      </c>
      <c r="C124" s="8" t="s">
        <v>169</v>
      </c>
      <c r="D124" s="8" t="s">
        <v>172</v>
      </c>
      <c r="E124" s="9">
        <f t="shared" si="0"/>
        <v>40.629095674967232</v>
      </c>
      <c r="F124" s="10">
        <v>62</v>
      </c>
      <c r="G124" s="18">
        <v>1526</v>
      </c>
      <c r="H124" s="18">
        <f t="shared" ref="H124:I124" si="135">F124/5</f>
        <v>12.4</v>
      </c>
      <c r="I124" s="18">
        <f t="shared" si="135"/>
        <v>305.2</v>
      </c>
      <c r="J124" s="32"/>
    </row>
    <row r="125" spans="1:10" ht="15.75" customHeight="1">
      <c r="A125" s="7">
        <v>30401</v>
      </c>
      <c r="B125" s="8" t="s">
        <v>17</v>
      </c>
      <c r="C125" s="8" t="s">
        <v>173</v>
      </c>
      <c r="D125" s="8" t="s">
        <v>174</v>
      </c>
      <c r="E125" s="9">
        <f t="shared" si="0"/>
        <v>24.566473988439309</v>
      </c>
      <c r="F125" s="10">
        <v>17</v>
      </c>
      <c r="G125" s="18">
        <v>692</v>
      </c>
      <c r="H125" s="18">
        <f t="shared" ref="H125:I125" si="136">F125/5</f>
        <v>3.4</v>
      </c>
      <c r="I125" s="18">
        <f t="shared" si="136"/>
        <v>138.4</v>
      </c>
      <c r="J125" s="32"/>
    </row>
    <row r="126" spans="1:10" ht="15.75" customHeight="1">
      <c r="A126" s="7">
        <v>30402</v>
      </c>
      <c r="B126" s="8" t="s">
        <v>17</v>
      </c>
      <c r="C126" s="8" t="s">
        <v>173</v>
      </c>
      <c r="D126" s="8" t="s">
        <v>175</v>
      </c>
      <c r="E126" s="9">
        <f t="shared" si="0"/>
        <v>37.5</v>
      </c>
      <c r="F126" s="10">
        <v>15</v>
      </c>
      <c r="G126" s="18">
        <v>400</v>
      </c>
      <c r="H126" s="18">
        <f t="shared" ref="H126:I126" si="137">F126/5</f>
        <v>3</v>
      </c>
      <c r="I126" s="18">
        <f t="shared" si="137"/>
        <v>80</v>
      </c>
      <c r="J126" s="32"/>
    </row>
    <row r="127" spans="1:10" ht="15.75" customHeight="1">
      <c r="A127" s="7">
        <v>30403</v>
      </c>
      <c r="B127" s="8" t="s">
        <v>17</v>
      </c>
      <c r="C127" s="8" t="s">
        <v>173</v>
      </c>
      <c r="D127" s="8" t="s">
        <v>176</v>
      </c>
      <c r="E127" s="9">
        <f t="shared" si="0"/>
        <v>14.61108723678556</v>
      </c>
      <c r="F127" s="10">
        <v>34</v>
      </c>
      <c r="G127" s="18">
        <v>2327</v>
      </c>
      <c r="H127" s="18">
        <f t="shared" ref="H127:I127" si="138">F127/5</f>
        <v>6.8</v>
      </c>
      <c r="I127" s="18">
        <f t="shared" si="138"/>
        <v>465.4</v>
      </c>
      <c r="J127" s="32"/>
    </row>
    <row r="128" spans="1:10" ht="15.75" customHeight="1">
      <c r="A128" s="7">
        <v>30404</v>
      </c>
      <c r="B128" s="8" t="s">
        <v>17</v>
      </c>
      <c r="C128" s="8" t="s">
        <v>173</v>
      </c>
      <c r="D128" s="8" t="s">
        <v>177</v>
      </c>
      <c r="E128" s="9">
        <f t="shared" si="0"/>
        <v>35.460992907801419</v>
      </c>
      <c r="F128" s="10">
        <v>10</v>
      </c>
      <c r="G128" s="18">
        <v>282</v>
      </c>
      <c r="H128" s="18">
        <f t="shared" ref="H128:I128" si="139">F128/5</f>
        <v>2</v>
      </c>
      <c r="I128" s="18">
        <f t="shared" si="139"/>
        <v>56.4</v>
      </c>
      <c r="J128" s="32"/>
    </row>
    <row r="129" spans="1:10" ht="15.75" customHeight="1">
      <c r="A129" s="7">
        <v>30501</v>
      </c>
      <c r="B129" s="8" t="s">
        <v>17</v>
      </c>
      <c r="C129" s="8" t="s">
        <v>178</v>
      </c>
      <c r="D129" s="8" t="s">
        <v>178</v>
      </c>
      <c r="E129" s="9">
        <f t="shared" si="0"/>
        <v>20.866773675762442</v>
      </c>
      <c r="F129" s="10">
        <v>13</v>
      </c>
      <c r="G129" s="18">
        <v>623</v>
      </c>
      <c r="H129" s="18">
        <f t="shared" ref="H129:I129" si="140">F129/5</f>
        <v>2.6</v>
      </c>
      <c r="I129" s="18">
        <f t="shared" si="140"/>
        <v>124.6</v>
      </c>
      <c r="J129" s="32"/>
    </row>
    <row r="130" spans="1:10" ht="15.75" customHeight="1">
      <c r="A130" s="7">
        <v>30502</v>
      </c>
      <c r="B130" s="8" t="s">
        <v>17</v>
      </c>
      <c r="C130" s="8" t="s">
        <v>178</v>
      </c>
      <c r="D130" s="8" t="s">
        <v>179</v>
      </c>
      <c r="E130" s="9">
        <f t="shared" si="0"/>
        <v>36.697247706422019</v>
      </c>
      <c r="F130" s="10">
        <v>16</v>
      </c>
      <c r="G130" s="18">
        <v>436</v>
      </c>
      <c r="H130" s="18">
        <f t="shared" ref="H130:I130" si="141">F130/5</f>
        <v>3.2</v>
      </c>
      <c r="I130" s="18">
        <f t="shared" si="141"/>
        <v>87.2</v>
      </c>
      <c r="J130" s="32"/>
    </row>
    <row r="131" spans="1:10" ht="15.75" customHeight="1">
      <c r="A131" s="7">
        <v>30601</v>
      </c>
      <c r="B131" s="8" t="s">
        <v>17</v>
      </c>
      <c r="C131" s="8" t="s">
        <v>180</v>
      </c>
      <c r="D131" s="8" t="s">
        <v>180</v>
      </c>
      <c r="E131" s="9">
        <f t="shared" si="0"/>
        <v>33.967391304347821</v>
      </c>
      <c r="F131" s="10">
        <v>25</v>
      </c>
      <c r="G131" s="18">
        <v>736</v>
      </c>
      <c r="H131" s="18">
        <f t="shared" ref="H131:I131" si="142">F131/5</f>
        <v>5</v>
      </c>
      <c r="I131" s="18">
        <f t="shared" si="142"/>
        <v>147.19999999999999</v>
      </c>
      <c r="J131" s="32"/>
    </row>
    <row r="132" spans="1:10" ht="15.75" customHeight="1">
      <c r="A132" s="7">
        <v>30602</v>
      </c>
      <c r="B132" s="8" t="s">
        <v>17</v>
      </c>
      <c r="C132" s="8" t="s">
        <v>180</v>
      </c>
      <c r="D132" s="8" t="s">
        <v>181</v>
      </c>
      <c r="E132" s="9">
        <f t="shared" si="0"/>
        <v>46.468401486988846</v>
      </c>
      <c r="F132" s="10">
        <v>25</v>
      </c>
      <c r="G132" s="18">
        <v>538</v>
      </c>
      <c r="H132" s="18">
        <f t="shared" ref="H132:I132" si="143">F132/5</f>
        <v>5</v>
      </c>
      <c r="I132" s="18">
        <f t="shared" si="143"/>
        <v>107.6</v>
      </c>
      <c r="J132" s="32"/>
    </row>
    <row r="133" spans="1:10" ht="15.75" customHeight="1">
      <c r="A133" s="7">
        <v>30701</v>
      </c>
      <c r="B133" s="8" t="s">
        <v>17</v>
      </c>
      <c r="C133" s="8" t="s">
        <v>182</v>
      </c>
      <c r="D133" s="8" t="s">
        <v>182</v>
      </c>
      <c r="E133" s="9">
        <f t="shared" si="0"/>
        <v>21.820917983446201</v>
      </c>
      <c r="F133" s="10">
        <v>29</v>
      </c>
      <c r="G133" s="18">
        <v>1329</v>
      </c>
      <c r="H133" s="18">
        <f t="shared" ref="H133:I133" si="144">F133/5</f>
        <v>5.8</v>
      </c>
      <c r="I133" s="18">
        <f t="shared" si="144"/>
        <v>265.8</v>
      </c>
      <c r="J133" s="32"/>
    </row>
    <row r="134" spans="1:10" ht="15.75" customHeight="1">
      <c r="A134" s="7">
        <v>30702</v>
      </c>
      <c r="B134" s="8" t="s">
        <v>17</v>
      </c>
      <c r="C134" s="8" t="s">
        <v>182</v>
      </c>
      <c r="D134" s="8" t="s">
        <v>183</v>
      </c>
      <c r="E134" s="9">
        <f t="shared" si="0"/>
        <v>14.056224899598392</v>
      </c>
      <c r="F134" s="10">
        <v>7</v>
      </c>
      <c r="G134" s="18">
        <v>498</v>
      </c>
      <c r="H134" s="18">
        <f t="shared" ref="H134:I134" si="145">F134/5</f>
        <v>1.4</v>
      </c>
      <c r="I134" s="18">
        <f t="shared" si="145"/>
        <v>99.6</v>
      </c>
      <c r="J134" s="32"/>
    </row>
    <row r="135" spans="1:10" ht="15.75" customHeight="1">
      <c r="A135" s="7">
        <v>30703</v>
      </c>
      <c r="B135" s="8" t="s">
        <v>17</v>
      </c>
      <c r="C135" s="8" t="s">
        <v>182</v>
      </c>
      <c r="D135" s="8" t="s">
        <v>184</v>
      </c>
      <c r="E135" s="9">
        <f t="shared" si="0"/>
        <v>10.416666666666666</v>
      </c>
      <c r="F135" s="10">
        <v>3</v>
      </c>
      <c r="G135" s="18">
        <v>288</v>
      </c>
      <c r="H135" s="18">
        <f t="shared" ref="H135:I135" si="146">F135/5</f>
        <v>0.6</v>
      </c>
      <c r="I135" s="18">
        <f t="shared" si="146"/>
        <v>57.6</v>
      </c>
      <c r="J135" s="32"/>
    </row>
    <row r="136" spans="1:10" ht="15.75" customHeight="1">
      <c r="A136" s="7">
        <v>30801</v>
      </c>
      <c r="B136" s="8" t="s">
        <v>17</v>
      </c>
      <c r="C136" s="8" t="s">
        <v>185</v>
      </c>
      <c r="D136" s="8" t="s">
        <v>186</v>
      </c>
      <c r="E136" s="9">
        <f t="shared" si="0"/>
        <v>13.798701298701298</v>
      </c>
      <c r="F136" s="10">
        <v>17</v>
      </c>
      <c r="G136" s="18">
        <v>1232</v>
      </c>
      <c r="H136" s="18">
        <f t="shared" ref="H136:I136" si="147">F136/5</f>
        <v>3.4</v>
      </c>
      <c r="I136" s="18">
        <f t="shared" si="147"/>
        <v>246.4</v>
      </c>
      <c r="J136" s="32"/>
    </row>
    <row r="137" spans="1:10" ht="15.75" customHeight="1">
      <c r="A137" s="7">
        <v>30802</v>
      </c>
      <c r="B137" s="8" t="s">
        <v>17</v>
      </c>
      <c r="C137" s="8" t="s">
        <v>185</v>
      </c>
      <c r="D137" s="8" t="s">
        <v>187</v>
      </c>
      <c r="E137" s="9">
        <f t="shared" si="0"/>
        <v>23.255813953488371</v>
      </c>
      <c r="F137" s="10">
        <v>9</v>
      </c>
      <c r="G137" s="18">
        <v>387</v>
      </c>
      <c r="H137" s="18">
        <f t="shared" ref="H137:I137" si="148">F137/5</f>
        <v>1.8</v>
      </c>
      <c r="I137" s="18">
        <f t="shared" si="148"/>
        <v>77.400000000000006</v>
      </c>
      <c r="J137" s="32"/>
    </row>
    <row r="138" spans="1:10" ht="15.75" customHeight="1">
      <c r="A138" s="7">
        <v>30803</v>
      </c>
      <c r="B138" s="8" t="s">
        <v>17</v>
      </c>
      <c r="C138" s="8" t="s">
        <v>185</v>
      </c>
      <c r="D138" s="8" t="s">
        <v>188</v>
      </c>
      <c r="E138" s="9">
        <f t="shared" si="0"/>
        <v>20.793950850661627</v>
      </c>
      <c r="F138" s="10">
        <v>11</v>
      </c>
      <c r="G138" s="18">
        <v>529</v>
      </c>
      <c r="H138" s="18">
        <f t="shared" ref="H138:I138" si="149">F138/5</f>
        <v>2.2000000000000002</v>
      </c>
      <c r="I138" s="18">
        <f t="shared" si="149"/>
        <v>105.8</v>
      </c>
      <c r="J138" s="32"/>
    </row>
    <row r="139" spans="1:10" ht="15.75" customHeight="1">
      <c r="A139" s="7">
        <v>30901</v>
      </c>
      <c r="B139" s="8" t="s">
        <v>17</v>
      </c>
      <c r="C139" s="8" t="s">
        <v>189</v>
      </c>
      <c r="D139" s="8" t="s">
        <v>189</v>
      </c>
      <c r="E139" s="9">
        <f t="shared" si="0"/>
        <v>12.808438500659257</v>
      </c>
      <c r="F139" s="10">
        <v>136</v>
      </c>
      <c r="G139" s="18">
        <v>10618</v>
      </c>
      <c r="H139" s="18">
        <f t="shared" ref="H139:I139" si="150">F139/5</f>
        <v>27.2</v>
      </c>
      <c r="I139" s="18">
        <f t="shared" si="150"/>
        <v>2123.6</v>
      </c>
      <c r="J139" s="32"/>
    </row>
    <row r="140" spans="1:10" ht="15.75" customHeight="1">
      <c r="A140" s="7">
        <v>30902</v>
      </c>
      <c r="B140" s="8" t="s">
        <v>17</v>
      </c>
      <c r="C140" s="8" t="s">
        <v>189</v>
      </c>
      <c r="D140" s="8" t="s">
        <v>190</v>
      </c>
      <c r="E140" s="9">
        <f t="shared" si="0"/>
        <v>16.682113067655237</v>
      </c>
      <c r="F140" s="10">
        <v>72</v>
      </c>
      <c r="G140" s="18">
        <v>4316</v>
      </c>
      <c r="H140" s="18">
        <f t="shared" ref="H140:I140" si="151">F140/5</f>
        <v>14.4</v>
      </c>
      <c r="I140" s="18">
        <f t="shared" si="151"/>
        <v>863.2</v>
      </c>
      <c r="J140" s="32"/>
    </row>
    <row r="141" spans="1:10" ht="15.75" customHeight="1">
      <c r="A141" s="7">
        <v>30903</v>
      </c>
      <c r="B141" s="8" t="s">
        <v>17</v>
      </c>
      <c r="C141" s="8" t="s">
        <v>189</v>
      </c>
      <c r="D141" s="8" t="s">
        <v>191</v>
      </c>
      <c r="E141" s="9">
        <f t="shared" si="0"/>
        <v>12.754409769335142</v>
      </c>
      <c r="F141" s="10">
        <v>47</v>
      </c>
      <c r="G141" s="18">
        <v>3685</v>
      </c>
      <c r="H141" s="18">
        <f t="shared" ref="H141:I141" si="152">F141/5</f>
        <v>9.4</v>
      </c>
      <c r="I141" s="18">
        <f t="shared" si="152"/>
        <v>737</v>
      </c>
      <c r="J141" s="32"/>
    </row>
    <row r="142" spans="1:10" ht="15.75" customHeight="1">
      <c r="A142" s="7">
        <v>30904</v>
      </c>
      <c r="B142" s="8" t="s">
        <v>17</v>
      </c>
      <c r="C142" s="8" t="s">
        <v>189</v>
      </c>
      <c r="D142" s="8" t="s">
        <v>192</v>
      </c>
      <c r="E142" s="9">
        <f t="shared" si="0"/>
        <v>12.464294988314725</v>
      </c>
      <c r="F142" s="10">
        <v>48</v>
      </c>
      <c r="G142" s="18">
        <v>3851</v>
      </c>
      <c r="H142" s="18">
        <f t="shared" ref="H142:I142" si="153">F142/5</f>
        <v>9.6</v>
      </c>
      <c r="I142" s="18">
        <f t="shared" si="153"/>
        <v>770.2</v>
      </c>
      <c r="J142" s="32"/>
    </row>
    <row r="143" spans="1:10" ht="15.75" customHeight="1">
      <c r="A143" s="7">
        <v>30905</v>
      </c>
      <c r="B143" s="8" t="s">
        <v>17</v>
      </c>
      <c r="C143" s="8" t="s">
        <v>189</v>
      </c>
      <c r="D143" s="8" t="s">
        <v>193</v>
      </c>
      <c r="E143" s="9">
        <f t="shared" si="0"/>
        <v>11.780455153949131</v>
      </c>
      <c r="F143" s="10">
        <v>44</v>
      </c>
      <c r="G143" s="18">
        <v>3735</v>
      </c>
      <c r="H143" s="18">
        <f t="shared" ref="H143:I143" si="154">F143/5</f>
        <v>8.8000000000000007</v>
      </c>
      <c r="I143" s="18">
        <f t="shared" si="154"/>
        <v>747</v>
      </c>
      <c r="J143" s="32"/>
    </row>
    <row r="144" spans="1:10" ht="15.75" customHeight="1">
      <c r="A144" s="7">
        <v>31001</v>
      </c>
      <c r="B144" s="8" t="s">
        <v>17</v>
      </c>
      <c r="C144" s="8" t="s">
        <v>194</v>
      </c>
      <c r="D144" s="8" t="s">
        <v>195</v>
      </c>
      <c r="E144" s="9">
        <f t="shared" si="0"/>
        <v>14.556682840758713</v>
      </c>
      <c r="F144" s="10">
        <v>198</v>
      </c>
      <c r="G144" s="18">
        <v>13602</v>
      </c>
      <c r="H144" s="18">
        <f t="shared" ref="H144:I144" si="155">F144/5</f>
        <v>39.6</v>
      </c>
      <c r="I144" s="18">
        <f t="shared" si="155"/>
        <v>2720.4</v>
      </c>
      <c r="J144" s="32"/>
    </row>
    <row r="145" spans="1:10" ht="15.75" customHeight="1">
      <c r="A145" s="7">
        <v>31002</v>
      </c>
      <c r="B145" s="8" t="s">
        <v>17</v>
      </c>
      <c r="C145" s="8" t="s">
        <v>194</v>
      </c>
      <c r="D145" s="8" t="s">
        <v>196</v>
      </c>
      <c r="E145" s="9">
        <f t="shared" si="0"/>
        <v>24.029574861367838</v>
      </c>
      <c r="F145" s="10">
        <v>39</v>
      </c>
      <c r="G145" s="18">
        <v>1623</v>
      </c>
      <c r="H145" s="18">
        <f t="shared" ref="H145:I145" si="156">F145/5</f>
        <v>7.8</v>
      </c>
      <c r="I145" s="18">
        <f t="shared" si="156"/>
        <v>324.60000000000002</v>
      </c>
      <c r="J145" s="32"/>
    </row>
    <row r="146" spans="1:10" ht="15.75" customHeight="1">
      <c r="A146" s="7">
        <v>31003</v>
      </c>
      <c r="B146" s="8" t="s">
        <v>17</v>
      </c>
      <c r="C146" s="8" t="s">
        <v>194</v>
      </c>
      <c r="D146" s="8" t="s">
        <v>197</v>
      </c>
      <c r="E146" s="9">
        <f t="shared" si="0"/>
        <v>27.991509684266383</v>
      </c>
      <c r="F146" s="10">
        <v>211</v>
      </c>
      <c r="G146" s="18">
        <v>7538</v>
      </c>
      <c r="H146" s="18">
        <f t="shared" ref="H146:I146" si="157">F146/5</f>
        <v>42.2</v>
      </c>
      <c r="I146" s="18">
        <f t="shared" si="157"/>
        <v>1507.6</v>
      </c>
      <c r="J146" s="32"/>
    </row>
    <row r="147" spans="1:10" ht="15.75" customHeight="1">
      <c r="A147" s="7">
        <v>31101</v>
      </c>
      <c r="B147" s="8" t="s">
        <v>17</v>
      </c>
      <c r="C147" s="8" t="s">
        <v>198</v>
      </c>
      <c r="D147" s="8" t="s">
        <v>198</v>
      </c>
      <c r="E147" s="9">
        <f t="shared" si="0"/>
        <v>43.563068920676209</v>
      </c>
      <c r="F147" s="10">
        <v>67</v>
      </c>
      <c r="G147" s="18">
        <v>1538</v>
      </c>
      <c r="H147" s="18">
        <f t="shared" ref="H147:I147" si="158">F147/5</f>
        <v>13.4</v>
      </c>
      <c r="I147" s="18">
        <f t="shared" si="158"/>
        <v>307.60000000000002</v>
      </c>
      <c r="J147" s="32"/>
    </row>
    <row r="148" spans="1:10" ht="15.75" customHeight="1">
      <c r="A148" s="7">
        <v>31201</v>
      </c>
      <c r="B148" s="8" t="s">
        <v>17</v>
      </c>
      <c r="C148" s="8" t="s">
        <v>199</v>
      </c>
      <c r="D148" s="8" t="s">
        <v>200</v>
      </c>
      <c r="E148" s="9">
        <f t="shared" si="0"/>
        <v>21.513944223107572</v>
      </c>
      <c r="F148" s="10">
        <v>27</v>
      </c>
      <c r="G148" s="18">
        <v>1255</v>
      </c>
      <c r="H148" s="18">
        <f t="shared" ref="H148:I148" si="159">F148/5</f>
        <v>5.4</v>
      </c>
      <c r="I148" s="18">
        <f t="shared" si="159"/>
        <v>251</v>
      </c>
      <c r="J148" s="32"/>
    </row>
    <row r="149" spans="1:10" ht="15.75" customHeight="1">
      <c r="A149" s="7">
        <v>31202</v>
      </c>
      <c r="B149" s="8" t="s">
        <v>17</v>
      </c>
      <c r="C149" s="8" t="s">
        <v>199</v>
      </c>
      <c r="D149" s="8" t="s">
        <v>201</v>
      </c>
      <c r="E149" s="9">
        <f t="shared" si="0"/>
        <v>16.538037486218304</v>
      </c>
      <c r="F149" s="10">
        <v>15</v>
      </c>
      <c r="G149" s="18">
        <v>907</v>
      </c>
      <c r="H149" s="18">
        <f t="shared" ref="H149:I149" si="160">F149/5</f>
        <v>3</v>
      </c>
      <c r="I149" s="18">
        <f t="shared" si="160"/>
        <v>181.4</v>
      </c>
      <c r="J149" s="32"/>
    </row>
    <row r="150" spans="1:10" ht="15.75" customHeight="1">
      <c r="A150" s="7">
        <v>31203</v>
      </c>
      <c r="B150" s="8" t="s">
        <v>17</v>
      </c>
      <c r="C150" s="8" t="s">
        <v>199</v>
      </c>
      <c r="D150" s="8" t="s">
        <v>202</v>
      </c>
      <c r="E150" s="9">
        <f t="shared" si="0"/>
        <v>20.80624187256177</v>
      </c>
      <c r="F150" s="10">
        <v>16</v>
      </c>
      <c r="G150" s="18">
        <v>769</v>
      </c>
      <c r="H150" s="18">
        <f t="shared" ref="H150:I150" si="161">F150/5</f>
        <v>3.2</v>
      </c>
      <c r="I150" s="18">
        <f t="shared" si="161"/>
        <v>153.80000000000001</v>
      </c>
      <c r="J150" s="32"/>
    </row>
    <row r="151" spans="1:10" ht="15.75" customHeight="1">
      <c r="A151" s="7">
        <v>31204</v>
      </c>
      <c r="B151" s="8" t="s">
        <v>17</v>
      </c>
      <c r="C151" s="8" t="s">
        <v>199</v>
      </c>
      <c r="D151" s="8" t="s">
        <v>203</v>
      </c>
      <c r="E151" s="9">
        <f t="shared" si="0"/>
        <v>24.040684234858993</v>
      </c>
      <c r="F151" s="10">
        <v>52</v>
      </c>
      <c r="G151" s="18">
        <v>2163</v>
      </c>
      <c r="H151" s="18">
        <f t="shared" ref="H151:I151" si="162">F151/5</f>
        <v>10.4</v>
      </c>
      <c r="I151" s="18">
        <f t="shared" si="162"/>
        <v>432.6</v>
      </c>
      <c r="J151" s="32"/>
    </row>
    <row r="152" spans="1:10" ht="15.75" customHeight="1">
      <c r="A152" s="7">
        <v>31205</v>
      </c>
      <c r="B152" s="8" t="s">
        <v>17</v>
      </c>
      <c r="C152" s="8" t="s">
        <v>199</v>
      </c>
      <c r="D152" s="8" t="s">
        <v>204</v>
      </c>
      <c r="E152" s="9">
        <f t="shared" si="0"/>
        <v>17.740429505135388</v>
      </c>
      <c r="F152" s="10">
        <v>95</v>
      </c>
      <c r="G152" s="18">
        <v>5355</v>
      </c>
      <c r="H152" s="18">
        <f t="shared" ref="H152:I152" si="163">F152/5</f>
        <v>19</v>
      </c>
      <c r="I152" s="18">
        <f t="shared" si="163"/>
        <v>1071</v>
      </c>
      <c r="J152" s="32"/>
    </row>
    <row r="153" spans="1:10" ht="15.75" customHeight="1">
      <c r="A153" s="7">
        <v>31206</v>
      </c>
      <c r="B153" s="8" t="s">
        <v>17</v>
      </c>
      <c r="C153" s="8" t="s">
        <v>199</v>
      </c>
      <c r="D153" s="8" t="s">
        <v>205</v>
      </c>
      <c r="E153" s="9">
        <f t="shared" si="0"/>
        <v>18.558364712210867</v>
      </c>
      <c r="F153" s="10">
        <v>69</v>
      </c>
      <c r="G153" s="18">
        <v>3718</v>
      </c>
      <c r="H153" s="18">
        <f t="shared" ref="H153:I153" si="164">F153/5</f>
        <v>13.8</v>
      </c>
      <c r="I153" s="18">
        <f t="shared" si="164"/>
        <v>743.6</v>
      </c>
      <c r="J153" s="32"/>
    </row>
    <row r="154" spans="1:10" ht="15.75" customHeight="1">
      <c r="A154" s="7">
        <v>31301</v>
      </c>
      <c r="B154" s="8" t="s">
        <v>17</v>
      </c>
      <c r="C154" s="8" t="s">
        <v>206</v>
      </c>
      <c r="D154" s="8" t="s">
        <v>206</v>
      </c>
      <c r="E154" s="9">
        <f t="shared" si="0"/>
        <v>15.861571737563086</v>
      </c>
      <c r="F154" s="10">
        <v>22</v>
      </c>
      <c r="G154" s="18">
        <v>1387</v>
      </c>
      <c r="H154" s="18">
        <f t="shared" ref="H154:I154" si="165">F154/5</f>
        <v>4.4000000000000004</v>
      </c>
      <c r="I154" s="18">
        <f t="shared" si="165"/>
        <v>277.39999999999998</v>
      </c>
      <c r="J154" s="32"/>
    </row>
    <row r="155" spans="1:10" ht="15.75" customHeight="1">
      <c r="A155" s="7">
        <v>31302</v>
      </c>
      <c r="B155" s="8" t="s">
        <v>17</v>
      </c>
      <c r="C155" s="8" t="s">
        <v>206</v>
      </c>
      <c r="D155" s="8" t="s">
        <v>207</v>
      </c>
      <c r="E155" s="9">
        <f t="shared" si="0"/>
        <v>34.782608695652172</v>
      </c>
      <c r="F155" s="10">
        <v>12</v>
      </c>
      <c r="G155" s="18">
        <v>345</v>
      </c>
      <c r="H155" s="18">
        <f t="shared" ref="H155:I155" si="166">F155/5</f>
        <v>2.4</v>
      </c>
      <c r="I155" s="18">
        <f t="shared" si="166"/>
        <v>69</v>
      </c>
      <c r="J155" s="32"/>
    </row>
    <row r="156" spans="1:10" ht="15.75" customHeight="1">
      <c r="A156" s="7">
        <v>31303</v>
      </c>
      <c r="B156" s="8" t="s">
        <v>17</v>
      </c>
      <c r="C156" s="8" t="s">
        <v>206</v>
      </c>
      <c r="D156" s="8" t="s">
        <v>208</v>
      </c>
      <c r="E156" s="9">
        <f t="shared" si="0"/>
        <v>14.563106796116505</v>
      </c>
      <c r="F156" s="10">
        <v>3</v>
      </c>
      <c r="G156" s="18">
        <v>206</v>
      </c>
      <c r="H156" s="18">
        <f t="shared" ref="H156:I156" si="167">F156/5</f>
        <v>0.6</v>
      </c>
      <c r="I156" s="18">
        <f t="shared" si="167"/>
        <v>41.2</v>
      </c>
      <c r="J156" s="32"/>
    </row>
    <row r="157" spans="1:10" ht="15.75" customHeight="1">
      <c r="A157" s="19">
        <v>31304</v>
      </c>
      <c r="B157" s="8" t="s">
        <v>17</v>
      </c>
      <c r="C157" s="8" t="s">
        <v>206</v>
      </c>
      <c r="D157" s="8" t="s">
        <v>209</v>
      </c>
      <c r="E157" s="9">
        <f t="shared" si="0"/>
        <v>47.619047619047613</v>
      </c>
      <c r="F157" s="10">
        <v>25</v>
      </c>
      <c r="G157" s="18">
        <v>525</v>
      </c>
      <c r="H157" s="18">
        <f t="shared" ref="H157:I157" si="168">F157/5</f>
        <v>5</v>
      </c>
      <c r="I157" s="18">
        <f t="shared" si="168"/>
        <v>105</v>
      </c>
      <c r="J157" s="32"/>
    </row>
    <row r="158" spans="1:10" ht="15.75" customHeight="1">
      <c r="A158" s="7">
        <v>31401</v>
      </c>
      <c r="B158" s="8" t="s">
        <v>17</v>
      </c>
      <c r="C158" s="8" t="s">
        <v>210</v>
      </c>
      <c r="D158" s="8" t="s">
        <v>210</v>
      </c>
      <c r="E158" s="9">
        <f t="shared" si="0"/>
        <v>15.791918253599629</v>
      </c>
      <c r="F158" s="10">
        <v>34</v>
      </c>
      <c r="G158" s="18">
        <v>2153</v>
      </c>
      <c r="H158" s="18">
        <f t="shared" ref="H158:I158" si="169">F158/5</f>
        <v>6.8</v>
      </c>
      <c r="I158" s="18">
        <f t="shared" si="169"/>
        <v>430.6</v>
      </c>
      <c r="J158" s="32"/>
    </row>
    <row r="159" spans="1:10" ht="15.75" customHeight="1">
      <c r="A159" s="7">
        <v>31402</v>
      </c>
      <c r="B159" s="8" t="s">
        <v>17</v>
      </c>
      <c r="C159" s="8" t="s">
        <v>210</v>
      </c>
      <c r="D159" s="8" t="s">
        <v>211</v>
      </c>
      <c r="E159" s="9">
        <f t="shared" si="0"/>
        <v>14.652014652014651</v>
      </c>
      <c r="F159" s="10">
        <v>8</v>
      </c>
      <c r="G159" s="18">
        <v>546</v>
      </c>
      <c r="H159" s="18">
        <f t="shared" ref="H159:I159" si="170">F159/5</f>
        <v>1.6</v>
      </c>
      <c r="I159" s="18">
        <f t="shared" si="170"/>
        <v>109.2</v>
      </c>
      <c r="J159" s="32"/>
    </row>
    <row r="160" spans="1:10" ht="15.75" customHeight="1">
      <c r="A160" s="7">
        <v>31403</v>
      </c>
      <c r="B160" s="8" t="s">
        <v>17</v>
      </c>
      <c r="C160" s="8" t="s">
        <v>210</v>
      </c>
      <c r="D160" s="8" t="s">
        <v>212</v>
      </c>
      <c r="E160" s="9">
        <f t="shared" si="0"/>
        <v>22.727272727272727</v>
      </c>
      <c r="F160" s="10">
        <v>18</v>
      </c>
      <c r="G160" s="18">
        <v>792</v>
      </c>
      <c r="H160" s="18">
        <f t="shared" ref="H160:I160" si="171">F160/5</f>
        <v>3.6</v>
      </c>
      <c r="I160" s="18">
        <f t="shared" si="171"/>
        <v>158.4</v>
      </c>
      <c r="J160" s="32"/>
    </row>
    <row r="161" spans="1:10" ht="15.75" customHeight="1">
      <c r="A161" s="7">
        <v>31404</v>
      </c>
      <c r="B161" s="8" t="s">
        <v>17</v>
      </c>
      <c r="C161" s="8" t="s">
        <v>210</v>
      </c>
      <c r="D161" s="8" t="s">
        <v>213</v>
      </c>
      <c r="E161" s="9">
        <f t="shared" si="0"/>
        <v>28.985507246376812</v>
      </c>
      <c r="F161" s="10">
        <v>2</v>
      </c>
      <c r="G161" s="18">
        <v>69</v>
      </c>
      <c r="H161" s="18">
        <f t="shared" ref="H161:I161" si="172">F161/5</f>
        <v>0.4</v>
      </c>
      <c r="I161" s="18">
        <f t="shared" si="172"/>
        <v>13.8</v>
      </c>
      <c r="J161" s="32"/>
    </row>
    <row r="162" spans="1:10" ht="15.75" customHeight="1">
      <c r="A162" s="7">
        <v>31405</v>
      </c>
      <c r="B162" s="8" t="s">
        <v>17</v>
      </c>
      <c r="C162" s="8" t="s">
        <v>210</v>
      </c>
      <c r="D162" s="8" t="s">
        <v>214</v>
      </c>
      <c r="E162" s="9">
        <f t="shared" si="0"/>
        <v>0</v>
      </c>
      <c r="F162" s="10">
        <v>0</v>
      </c>
      <c r="G162" s="18">
        <v>187</v>
      </c>
      <c r="H162" s="18">
        <f t="shared" ref="H162:I162" si="173">F162/5</f>
        <v>0</v>
      </c>
      <c r="I162" s="18">
        <f t="shared" si="173"/>
        <v>37.4</v>
      </c>
      <c r="J162" s="32"/>
    </row>
    <row r="163" spans="1:10" ht="15.75" customHeight="1">
      <c r="A163" s="7">
        <v>31501</v>
      </c>
      <c r="B163" s="8" t="s">
        <v>17</v>
      </c>
      <c r="C163" s="8" t="s">
        <v>215</v>
      </c>
      <c r="D163" s="8" t="s">
        <v>215</v>
      </c>
      <c r="E163" s="9">
        <f t="shared" si="0"/>
        <v>70.175438596491219</v>
      </c>
      <c r="F163" s="10">
        <v>32</v>
      </c>
      <c r="G163" s="18">
        <v>456</v>
      </c>
      <c r="H163" s="18">
        <f t="shared" ref="H163:I163" si="174">F163/5</f>
        <v>6.4</v>
      </c>
      <c r="I163" s="18">
        <f t="shared" si="174"/>
        <v>91.2</v>
      </c>
      <c r="J163" s="32"/>
    </row>
    <row r="164" spans="1:10" ht="15.75" customHeight="1">
      <c r="A164" s="7">
        <v>31601</v>
      </c>
      <c r="B164" s="8" t="s">
        <v>17</v>
      </c>
      <c r="C164" s="8" t="s">
        <v>216</v>
      </c>
      <c r="D164" s="8" t="s">
        <v>216</v>
      </c>
      <c r="E164" s="9">
        <f t="shared" si="0"/>
        <v>24.054982817869416</v>
      </c>
      <c r="F164" s="10">
        <v>28</v>
      </c>
      <c r="G164" s="18">
        <v>1164</v>
      </c>
      <c r="H164" s="18">
        <f t="shared" ref="H164:I164" si="175">F164/5</f>
        <v>5.6</v>
      </c>
      <c r="I164" s="18">
        <f t="shared" si="175"/>
        <v>232.8</v>
      </c>
      <c r="J164" s="32"/>
    </row>
    <row r="165" spans="1:10" ht="15.75" customHeight="1">
      <c r="A165" s="7">
        <v>31602</v>
      </c>
      <c r="B165" s="8" t="s">
        <v>17</v>
      </c>
      <c r="C165" s="8" t="s">
        <v>216</v>
      </c>
      <c r="D165" s="8" t="s">
        <v>217</v>
      </c>
      <c r="E165" s="9">
        <f t="shared" si="0"/>
        <v>19.129603060736489</v>
      </c>
      <c r="F165" s="10">
        <v>40</v>
      </c>
      <c r="G165" s="18">
        <v>2091</v>
      </c>
      <c r="H165" s="18">
        <f t="shared" ref="H165:I165" si="176">F165/5</f>
        <v>8</v>
      </c>
      <c r="I165" s="18">
        <f t="shared" si="176"/>
        <v>418.2</v>
      </c>
      <c r="J165" s="32"/>
    </row>
    <row r="166" spans="1:10" ht="15.75" customHeight="1">
      <c r="A166" s="7">
        <v>40101</v>
      </c>
      <c r="B166" s="8" t="s">
        <v>20</v>
      </c>
      <c r="C166" s="8" t="s">
        <v>164</v>
      </c>
      <c r="D166" s="8" t="s">
        <v>20</v>
      </c>
      <c r="E166" s="9">
        <f t="shared" si="0"/>
        <v>19.867208811570332</v>
      </c>
      <c r="F166" s="10">
        <v>386</v>
      </c>
      <c r="G166" s="18">
        <v>19429</v>
      </c>
      <c r="H166" s="18">
        <f t="shared" ref="H166:I166" si="177">F166/5</f>
        <v>77.2</v>
      </c>
      <c r="I166" s="18">
        <f t="shared" si="177"/>
        <v>3885.8</v>
      </c>
      <c r="J166" s="32"/>
    </row>
    <row r="167" spans="1:10" ht="15.75" customHeight="1">
      <c r="A167" s="7">
        <v>40102</v>
      </c>
      <c r="B167" s="8" t="s">
        <v>20</v>
      </c>
      <c r="C167" s="8" t="s">
        <v>164</v>
      </c>
      <c r="D167" s="8" t="s">
        <v>218</v>
      </c>
      <c r="E167" s="9">
        <f t="shared" si="0"/>
        <v>31.53468815697267</v>
      </c>
      <c r="F167" s="10">
        <v>45</v>
      </c>
      <c r="G167" s="18">
        <v>1427</v>
      </c>
      <c r="H167" s="18">
        <f t="shared" ref="H167:I167" si="178">F167/5</f>
        <v>9</v>
      </c>
      <c r="I167" s="18">
        <f t="shared" si="178"/>
        <v>285.39999999999998</v>
      </c>
      <c r="J167" s="32"/>
    </row>
    <row r="168" spans="1:10" ht="15.75" customHeight="1">
      <c r="A168" s="7">
        <v>40103</v>
      </c>
      <c r="B168" s="8" t="s">
        <v>20</v>
      </c>
      <c r="C168" s="8" t="s">
        <v>164</v>
      </c>
      <c r="D168" s="8" t="s">
        <v>219</v>
      </c>
      <c r="E168" s="9">
        <f t="shared" si="0"/>
        <v>10.126582278481013</v>
      </c>
      <c r="F168" s="10">
        <v>4</v>
      </c>
      <c r="G168" s="18">
        <v>395</v>
      </c>
      <c r="H168" s="18">
        <f t="shared" ref="H168:I168" si="179">F168/5</f>
        <v>0.8</v>
      </c>
      <c r="I168" s="18">
        <f t="shared" si="179"/>
        <v>79</v>
      </c>
      <c r="J168" s="32"/>
    </row>
    <row r="169" spans="1:10" ht="15.75" customHeight="1">
      <c r="A169" s="7">
        <v>40104</v>
      </c>
      <c r="B169" s="8" t="s">
        <v>20</v>
      </c>
      <c r="C169" s="8" t="s">
        <v>164</v>
      </c>
      <c r="D169" s="8" t="s">
        <v>220</v>
      </c>
      <c r="E169" s="9">
        <f t="shared" si="0"/>
        <v>20.076481835564053</v>
      </c>
      <c r="F169" s="10">
        <v>21</v>
      </c>
      <c r="G169" s="18">
        <v>1046</v>
      </c>
      <c r="H169" s="18">
        <f t="shared" ref="H169:I169" si="180">F169/5</f>
        <v>4.2</v>
      </c>
      <c r="I169" s="18">
        <f t="shared" si="180"/>
        <v>209.2</v>
      </c>
      <c r="J169" s="32"/>
    </row>
    <row r="170" spans="1:10" ht="15.75" customHeight="1">
      <c r="A170" s="7">
        <v>40201</v>
      </c>
      <c r="B170" s="8" t="s">
        <v>20</v>
      </c>
      <c r="C170" s="8" t="s">
        <v>221</v>
      </c>
      <c r="D170" s="8" t="s">
        <v>222</v>
      </c>
      <c r="E170" s="9">
        <f t="shared" si="0"/>
        <v>22.203602848764138</v>
      </c>
      <c r="F170" s="10">
        <v>53</v>
      </c>
      <c r="G170" s="18">
        <v>2387</v>
      </c>
      <c r="H170" s="18">
        <f t="shared" ref="H170:I170" si="181">F170/5</f>
        <v>10.6</v>
      </c>
      <c r="I170" s="18">
        <f t="shared" si="181"/>
        <v>477.4</v>
      </c>
      <c r="J170" s="32"/>
    </row>
    <row r="171" spans="1:10" ht="15.75" customHeight="1">
      <c r="A171" s="7">
        <v>40202</v>
      </c>
      <c r="B171" s="8" t="s">
        <v>20</v>
      </c>
      <c r="C171" s="8" t="s">
        <v>221</v>
      </c>
      <c r="D171" s="8" t="s">
        <v>223</v>
      </c>
      <c r="E171" s="9">
        <f t="shared" si="0"/>
        <v>37.65690376569038</v>
      </c>
      <c r="F171" s="10">
        <v>9</v>
      </c>
      <c r="G171" s="18">
        <v>239</v>
      </c>
      <c r="H171" s="18">
        <f t="shared" ref="H171:I171" si="182">F171/5</f>
        <v>1.8</v>
      </c>
      <c r="I171" s="18">
        <f t="shared" si="182"/>
        <v>47.8</v>
      </c>
      <c r="J171" s="32"/>
    </row>
    <row r="172" spans="1:10" ht="15.75" customHeight="1">
      <c r="A172" s="7">
        <v>40301</v>
      </c>
      <c r="B172" s="8" t="s">
        <v>20</v>
      </c>
      <c r="C172" s="8" t="s">
        <v>224</v>
      </c>
      <c r="D172" s="8" t="s">
        <v>225</v>
      </c>
      <c r="E172" s="9">
        <f t="shared" si="0"/>
        <v>17.564402810304447</v>
      </c>
      <c r="F172" s="10">
        <v>15</v>
      </c>
      <c r="G172" s="18">
        <v>854</v>
      </c>
      <c r="H172" s="18">
        <f t="shared" ref="H172:I172" si="183">F172/5</f>
        <v>3</v>
      </c>
      <c r="I172" s="18">
        <f t="shared" si="183"/>
        <v>170.8</v>
      </c>
      <c r="J172" s="32"/>
    </row>
    <row r="173" spans="1:10" ht="15.75" customHeight="1">
      <c r="A173" s="7">
        <v>40302</v>
      </c>
      <c r="B173" s="8" t="s">
        <v>20</v>
      </c>
      <c r="C173" s="8" t="s">
        <v>224</v>
      </c>
      <c r="D173" s="8" t="s">
        <v>226</v>
      </c>
      <c r="E173" s="9">
        <f t="shared" si="0"/>
        <v>16.393442622950822</v>
      </c>
      <c r="F173" s="10">
        <v>2</v>
      </c>
      <c r="G173" s="18">
        <v>122</v>
      </c>
      <c r="H173" s="18">
        <f t="shared" ref="H173:I173" si="184">F173/5</f>
        <v>0.4</v>
      </c>
      <c r="I173" s="18">
        <f t="shared" si="184"/>
        <v>24.4</v>
      </c>
      <c r="J173" s="32"/>
    </row>
    <row r="174" spans="1:10" ht="15.75" customHeight="1">
      <c r="A174" s="7">
        <v>40401</v>
      </c>
      <c r="B174" s="8" t="s">
        <v>20</v>
      </c>
      <c r="C174" s="8" t="s">
        <v>227</v>
      </c>
      <c r="D174" s="8" t="s">
        <v>228</v>
      </c>
      <c r="E174" s="9">
        <f t="shared" si="0"/>
        <v>39.886039886039889</v>
      </c>
      <c r="F174" s="10">
        <v>14</v>
      </c>
      <c r="G174" s="18">
        <v>351</v>
      </c>
      <c r="H174" s="18">
        <f t="shared" ref="H174:I174" si="185">F174/5</f>
        <v>2.8</v>
      </c>
      <c r="I174" s="18">
        <f t="shared" si="185"/>
        <v>70.2</v>
      </c>
      <c r="J174" s="32"/>
    </row>
    <row r="175" spans="1:10" ht="15.75" customHeight="1">
      <c r="A175" s="7">
        <v>40402</v>
      </c>
      <c r="B175" s="8" t="s">
        <v>20</v>
      </c>
      <c r="C175" s="8" t="s">
        <v>227</v>
      </c>
      <c r="D175" s="8" t="s">
        <v>229</v>
      </c>
      <c r="E175" s="9">
        <f t="shared" si="0"/>
        <v>9.8360655737704921</v>
      </c>
      <c r="F175" s="10">
        <v>3</v>
      </c>
      <c r="G175" s="18">
        <v>305</v>
      </c>
      <c r="H175" s="18">
        <f t="shared" ref="H175:I175" si="186">F175/5</f>
        <v>0.6</v>
      </c>
      <c r="I175" s="18">
        <f t="shared" si="186"/>
        <v>61</v>
      </c>
      <c r="J175" s="32"/>
    </row>
    <row r="176" spans="1:10" ht="15.75" customHeight="1">
      <c r="A176" s="7">
        <v>40501</v>
      </c>
      <c r="B176" s="8" t="s">
        <v>20</v>
      </c>
      <c r="C176" s="8" t="s">
        <v>230</v>
      </c>
      <c r="D176" s="8" t="s">
        <v>231</v>
      </c>
      <c r="E176" s="9">
        <f t="shared" si="0"/>
        <v>8.9285714285714288</v>
      </c>
      <c r="F176" s="10">
        <v>2</v>
      </c>
      <c r="G176" s="18">
        <v>224</v>
      </c>
      <c r="H176" s="18">
        <f t="shared" ref="H176:I176" si="187">F176/5</f>
        <v>0.4</v>
      </c>
      <c r="I176" s="18">
        <f t="shared" si="187"/>
        <v>44.8</v>
      </c>
      <c r="J176" s="32"/>
    </row>
    <row r="177" spans="1:10" ht="15.75" customHeight="1">
      <c r="A177" s="7">
        <v>40502</v>
      </c>
      <c r="B177" s="8" t="s">
        <v>20</v>
      </c>
      <c r="C177" s="8" t="s">
        <v>230</v>
      </c>
      <c r="D177" s="8" t="s">
        <v>232</v>
      </c>
      <c r="E177" s="9">
        <f t="shared" si="0"/>
        <v>9.1743119266055047</v>
      </c>
      <c r="F177" s="10">
        <v>2</v>
      </c>
      <c r="G177" s="18">
        <v>218</v>
      </c>
      <c r="H177" s="18">
        <f t="shared" ref="H177:I177" si="188">F177/5</f>
        <v>0.4</v>
      </c>
      <c r="I177" s="18">
        <f t="shared" si="188"/>
        <v>43.6</v>
      </c>
      <c r="J177" s="32"/>
    </row>
    <row r="178" spans="1:10" ht="15.75" customHeight="1">
      <c r="A178" s="7">
        <v>40503</v>
      </c>
      <c r="B178" s="8" t="s">
        <v>20</v>
      </c>
      <c r="C178" s="8" t="s">
        <v>230</v>
      </c>
      <c r="D178" s="8" t="s">
        <v>233</v>
      </c>
      <c r="E178" s="9">
        <f t="shared" si="0"/>
        <v>12.345679012345679</v>
      </c>
      <c r="F178" s="10">
        <v>1</v>
      </c>
      <c r="G178" s="18">
        <v>81</v>
      </c>
      <c r="H178" s="18">
        <f t="shared" ref="H178:I178" si="189">F178/5</f>
        <v>0.2</v>
      </c>
      <c r="I178" s="18">
        <f t="shared" si="189"/>
        <v>16.2</v>
      </c>
      <c r="J178" s="32"/>
    </row>
    <row r="179" spans="1:10" ht="15.75" customHeight="1">
      <c r="A179" s="7">
        <v>40504</v>
      </c>
      <c r="B179" s="8" t="s">
        <v>20</v>
      </c>
      <c r="C179" s="8" t="s">
        <v>230</v>
      </c>
      <c r="D179" s="8" t="s">
        <v>234</v>
      </c>
      <c r="E179" s="9">
        <f t="shared" si="0"/>
        <v>0</v>
      </c>
      <c r="F179" s="10">
        <v>0</v>
      </c>
      <c r="G179" s="18">
        <v>49</v>
      </c>
      <c r="H179" s="18">
        <f t="shared" ref="H179:I179" si="190">F179/5</f>
        <v>0</v>
      </c>
      <c r="I179" s="18">
        <f t="shared" si="190"/>
        <v>9.8000000000000007</v>
      </c>
      <c r="J179" s="32"/>
    </row>
    <row r="180" spans="1:10" ht="15.75" customHeight="1">
      <c r="A180" s="7">
        <v>40505</v>
      </c>
      <c r="B180" s="8" t="s">
        <v>20</v>
      </c>
      <c r="C180" s="8" t="s">
        <v>230</v>
      </c>
      <c r="D180" s="8" t="s">
        <v>235</v>
      </c>
      <c r="E180" s="9">
        <f t="shared" si="0"/>
        <v>18.604651162790699</v>
      </c>
      <c r="F180" s="10">
        <v>4</v>
      </c>
      <c r="G180" s="18">
        <v>215</v>
      </c>
      <c r="H180" s="18">
        <f t="shared" ref="H180:I180" si="191">F180/5</f>
        <v>0.8</v>
      </c>
      <c r="I180" s="18">
        <f t="shared" si="191"/>
        <v>43</v>
      </c>
      <c r="J180" s="32"/>
    </row>
    <row r="181" spans="1:10" ht="15.75" customHeight="1">
      <c r="A181" s="7">
        <v>40601</v>
      </c>
      <c r="B181" s="8" t="s">
        <v>20</v>
      </c>
      <c r="C181" s="8" t="s">
        <v>236</v>
      </c>
      <c r="D181" s="8" t="s">
        <v>236</v>
      </c>
      <c r="E181" s="9">
        <f t="shared" si="0"/>
        <v>22.071307300509339</v>
      </c>
      <c r="F181" s="10">
        <v>13</v>
      </c>
      <c r="G181" s="18">
        <v>589</v>
      </c>
      <c r="H181" s="18">
        <f t="shared" ref="H181:I181" si="192">F181/5</f>
        <v>2.6</v>
      </c>
      <c r="I181" s="18">
        <f t="shared" si="192"/>
        <v>117.8</v>
      </c>
      <c r="J181" s="32"/>
    </row>
    <row r="182" spans="1:10" ht="15.75" customHeight="1">
      <c r="A182" s="7">
        <v>40602</v>
      </c>
      <c r="B182" s="8" t="s">
        <v>20</v>
      </c>
      <c r="C182" s="8" t="s">
        <v>236</v>
      </c>
      <c r="D182" s="8" t="s">
        <v>237</v>
      </c>
      <c r="E182" s="9">
        <f t="shared" si="0"/>
        <v>14.285714285714285</v>
      </c>
      <c r="F182" s="10">
        <v>3</v>
      </c>
      <c r="G182" s="18">
        <v>210</v>
      </c>
      <c r="H182" s="18">
        <f t="shared" ref="H182:I182" si="193">F182/5</f>
        <v>0.6</v>
      </c>
      <c r="I182" s="18">
        <f t="shared" si="193"/>
        <v>42</v>
      </c>
      <c r="J182" s="32"/>
    </row>
    <row r="183" spans="1:10" ht="15.75" customHeight="1">
      <c r="A183" s="7">
        <v>40603</v>
      </c>
      <c r="B183" s="8" t="s">
        <v>20</v>
      </c>
      <c r="C183" s="8" t="s">
        <v>236</v>
      </c>
      <c r="D183" s="8" t="s">
        <v>238</v>
      </c>
      <c r="E183" s="9">
        <f t="shared" si="0"/>
        <v>8.8888888888888893</v>
      </c>
      <c r="F183" s="10">
        <v>2</v>
      </c>
      <c r="G183" s="18">
        <v>225</v>
      </c>
      <c r="H183" s="18">
        <f t="shared" ref="H183:I183" si="194">F183/5</f>
        <v>0.4</v>
      </c>
      <c r="I183" s="18">
        <f t="shared" si="194"/>
        <v>45</v>
      </c>
      <c r="J183" s="32"/>
    </row>
    <row r="184" spans="1:10" ht="15.75" customHeight="1">
      <c r="A184" s="7">
        <v>40701</v>
      </c>
      <c r="B184" s="8" t="s">
        <v>20</v>
      </c>
      <c r="C184" s="8" t="s">
        <v>239</v>
      </c>
      <c r="D184" s="8" t="s">
        <v>240</v>
      </c>
      <c r="E184" s="9">
        <f t="shared" si="0"/>
        <v>28.691983122362871</v>
      </c>
      <c r="F184" s="10">
        <v>34</v>
      </c>
      <c r="G184" s="18">
        <v>1185</v>
      </c>
      <c r="H184" s="18">
        <f t="shared" ref="H184:I184" si="195">F184/5</f>
        <v>6.8</v>
      </c>
      <c r="I184" s="18">
        <f t="shared" si="195"/>
        <v>237</v>
      </c>
      <c r="J184" s="32"/>
    </row>
    <row r="185" spans="1:10" ht="15.75" customHeight="1">
      <c r="A185" s="7">
        <v>40702</v>
      </c>
      <c r="B185" s="8" t="s">
        <v>20</v>
      </c>
      <c r="C185" s="8" t="s">
        <v>239</v>
      </c>
      <c r="D185" s="8" t="s">
        <v>241</v>
      </c>
      <c r="E185" s="9">
        <f t="shared" si="0"/>
        <v>25.210084033613445</v>
      </c>
      <c r="F185" s="10">
        <v>9</v>
      </c>
      <c r="G185" s="18">
        <v>357</v>
      </c>
      <c r="H185" s="18">
        <f t="shared" ref="H185:I185" si="196">F185/5</f>
        <v>1.8</v>
      </c>
      <c r="I185" s="18">
        <f t="shared" si="196"/>
        <v>71.400000000000006</v>
      </c>
      <c r="J185" s="32"/>
    </row>
    <row r="186" spans="1:10" ht="15.75" customHeight="1">
      <c r="A186" s="7">
        <v>40801</v>
      </c>
      <c r="B186" s="8" t="s">
        <v>20</v>
      </c>
      <c r="C186" s="8" t="s">
        <v>242</v>
      </c>
      <c r="D186" s="8" t="s">
        <v>243</v>
      </c>
      <c r="E186" s="9">
        <f t="shared" si="0"/>
        <v>20.585048754062839</v>
      </c>
      <c r="F186" s="10">
        <v>19</v>
      </c>
      <c r="G186" s="18">
        <v>923</v>
      </c>
      <c r="H186" s="18">
        <f t="shared" ref="H186:I186" si="197">F186/5</f>
        <v>3.8</v>
      </c>
      <c r="I186" s="18">
        <f t="shared" si="197"/>
        <v>184.6</v>
      </c>
      <c r="J186" s="32"/>
    </row>
    <row r="187" spans="1:10" ht="15.75" customHeight="1">
      <c r="A187" s="7">
        <v>40802</v>
      </c>
      <c r="B187" s="8" t="s">
        <v>20</v>
      </c>
      <c r="C187" s="8" t="s">
        <v>242</v>
      </c>
      <c r="D187" s="8" t="s">
        <v>244</v>
      </c>
      <c r="E187" s="9">
        <f t="shared" si="0"/>
        <v>10.928961748633879</v>
      </c>
      <c r="F187" s="10">
        <v>2</v>
      </c>
      <c r="G187" s="18">
        <v>183</v>
      </c>
      <c r="H187" s="18">
        <f t="shared" ref="H187:I187" si="198">F187/5</f>
        <v>0.4</v>
      </c>
      <c r="I187" s="18">
        <f t="shared" si="198"/>
        <v>36.6</v>
      </c>
      <c r="J187" s="32"/>
    </row>
    <row r="188" spans="1:10" ht="15.75" customHeight="1">
      <c r="A188" s="7">
        <v>40901</v>
      </c>
      <c r="B188" s="8" t="s">
        <v>20</v>
      </c>
      <c r="C188" s="8" t="s">
        <v>245</v>
      </c>
      <c r="D188" s="8" t="s">
        <v>245</v>
      </c>
      <c r="E188" s="9">
        <f t="shared" si="0"/>
        <v>11.538461538461538</v>
      </c>
      <c r="F188" s="10">
        <v>12</v>
      </c>
      <c r="G188" s="18">
        <v>1040</v>
      </c>
      <c r="H188" s="18">
        <f t="shared" ref="H188:I188" si="199">F188/5</f>
        <v>2.4</v>
      </c>
      <c r="I188" s="18">
        <f t="shared" si="199"/>
        <v>208</v>
      </c>
      <c r="J188" s="32"/>
    </row>
    <row r="189" spans="1:10" ht="15.75" customHeight="1">
      <c r="A189" s="7">
        <v>40902</v>
      </c>
      <c r="B189" s="8" t="s">
        <v>20</v>
      </c>
      <c r="C189" s="8" t="s">
        <v>245</v>
      </c>
      <c r="D189" s="8" t="s">
        <v>246</v>
      </c>
      <c r="E189" s="9">
        <f t="shared" si="0"/>
        <v>8.4745762711864412</v>
      </c>
      <c r="F189" s="10">
        <v>1</v>
      </c>
      <c r="G189" s="18">
        <v>118</v>
      </c>
      <c r="H189" s="18">
        <f t="shared" ref="H189:I189" si="200">F189/5</f>
        <v>0.2</v>
      </c>
      <c r="I189" s="18">
        <f t="shared" si="200"/>
        <v>23.6</v>
      </c>
      <c r="J189" s="32"/>
    </row>
    <row r="190" spans="1:10" ht="15.75" customHeight="1">
      <c r="A190" s="7">
        <v>40903</v>
      </c>
      <c r="B190" s="8" t="s">
        <v>20</v>
      </c>
      <c r="C190" s="8" t="s">
        <v>245</v>
      </c>
      <c r="D190" s="8" t="s">
        <v>247</v>
      </c>
      <c r="E190" s="9">
        <f t="shared" si="0"/>
        <v>24.096385542168676</v>
      </c>
      <c r="F190" s="10">
        <v>4</v>
      </c>
      <c r="G190" s="18">
        <v>166</v>
      </c>
      <c r="H190" s="18">
        <f t="shared" ref="H190:I190" si="201">F190/5</f>
        <v>0.8</v>
      </c>
      <c r="I190" s="18">
        <f t="shared" si="201"/>
        <v>33.200000000000003</v>
      </c>
      <c r="J190" s="32"/>
    </row>
    <row r="191" spans="1:10" ht="15.75" customHeight="1">
      <c r="A191" s="7">
        <v>41001</v>
      </c>
      <c r="B191" s="8" t="s">
        <v>20</v>
      </c>
      <c r="C191" s="8" t="s">
        <v>248</v>
      </c>
      <c r="D191" s="8" t="s">
        <v>249</v>
      </c>
      <c r="E191" s="9">
        <f t="shared" si="0"/>
        <v>26.217228464419478</v>
      </c>
      <c r="F191" s="10">
        <v>14</v>
      </c>
      <c r="G191" s="18">
        <v>534</v>
      </c>
      <c r="H191" s="18">
        <f t="shared" ref="H191:I191" si="202">F191/5</f>
        <v>2.8</v>
      </c>
      <c r="I191" s="18">
        <f t="shared" si="202"/>
        <v>106.8</v>
      </c>
      <c r="J191" s="32"/>
    </row>
    <row r="192" spans="1:10" ht="15.75" customHeight="1">
      <c r="A192" s="7">
        <v>41101</v>
      </c>
      <c r="B192" s="8" t="s">
        <v>20</v>
      </c>
      <c r="C192" s="8" t="s">
        <v>250</v>
      </c>
      <c r="D192" s="8" t="s">
        <v>251</v>
      </c>
      <c r="E192" s="9">
        <f t="shared" si="0"/>
        <v>53.125</v>
      </c>
      <c r="F192" s="10">
        <v>17</v>
      </c>
      <c r="G192" s="18">
        <v>320</v>
      </c>
      <c r="H192" s="18">
        <f t="shared" ref="H192:I192" si="203">F192/5</f>
        <v>3.4</v>
      </c>
      <c r="I192" s="18">
        <f t="shared" si="203"/>
        <v>64</v>
      </c>
      <c r="J192" s="32"/>
    </row>
    <row r="193" spans="1:10" ht="15.75" customHeight="1">
      <c r="A193" s="7">
        <v>41201</v>
      </c>
      <c r="B193" s="8" t="s">
        <v>20</v>
      </c>
      <c r="C193" s="8" t="s">
        <v>252</v>
      </c>
      <c r="D193" s="8" t="s">
        <v>253</v>
      </c>
      <c r="E193" s="9">
        <f t="shared" si="0"/>
        <v>15.748031496062993</v>
      </c>
      <c r="F193" s="10">
        <v>4</v>
      </c>
      <c r="G193" s="18">
        <v>254</v>
      </c>
      <c r="H193" s="18">
        <f t="shared" ref="H193:I193" si="204">F193/5</f>
        <v>0.8</v>
      </c>
      <c r="I193" s="18">
        <f t="shared" si="204"/>
        <v>50.8</v>
      </c>
      <c r="J193" s="32"/>
    </row>
    <row r="194" spans="1:10" ht="15.75" customHeight="1">
      <c r="A194" s="7">
        <v>41202</v>
      </c>
      <c r="B194" s="8" t="s">
        <v>20</v>
      </c>
      <c r="C194" s="8" t="s">
        <v>252</v>
      </c>
      <c r="D194" s="8" t="s">
        <v>254</v>
      </c>
      <c r="E194" s="9">
        <f t="shared" si="0"/>
        <v>19.230769230769234</v>
      </c>
      <c r="F194" s="10">
        <v>3</v>
      </c>
      <c r="G194" s="18">
        <v>156</v>
      </c>
      <c r="H194" s="18">
        <f t="shared" ref="H194:I194" si="205">F194/5</f>
        <v>0.6</v>
      </c>
      <c r="I194" s="18">
        <f t="shared" si="205"/>
        <v>31.2</v>
      </c>
      <c r="J194" s="32"/>
    </row>
    <row r="195" spans="1:10" ht="15.75" customHeight="1">
      <c r="A195" s="7">
        <v>41301</v>
      </c>
      <c r="B195" s="8" t="s">
        <v>20</v>
      </c>
      <c r="C195" s="8" t="s">
        <v>255</v>
      </c>
      <c r="D195" s="8" t="s">
        <v>255</v>
      </c>
      <c r="E195" s="9">
        <f t="shared" si="0"/>
        <v>35.60830860534125</v>
      </c>
      <c r="F195" s="10">
        <v>12</v>
      </c>
      <c r="G195" s="18">
        <v>337</v>
      </c>
      <c r="H195" s="18">
        <f t="shared" ref="H195:I195" si="206">F195/5</f>
        <v>2.4</v>
      </c>
      <c r="I195" s="18">
        <f t="shared" si="206"/>
        <v>67.400000000000006</v>
      </c>
      <c r="J195" s="32"/>
    </row>
    <row r="196" spans="1:10" ht="15.75" customHeight="1">
      <c r="A196" s="7">
        <v>41401</v>
      </c>
      <c r="B196" s="8" t="s">
        <v>20</v>
      </c>
      <c r="C196" s="8" t="s">
        <v>256</v>
      </c>
      <c r="D196" s="8" t="s">
        <v>257</v>
      </c>
      <c r="E196" s="9">
        <f t="shared" si="0"/>
        <v>16.393442622950822</v>
      </c>
      <c r="F196" s="10">
        <v>10</v>
      </c>
      <c r="G196" s="18">
        <v>610</v>
      </c>
      <c r="H196" s="18">
        <f t="shared" ref="H196:I196" si="207">F196/5</f>
        <v>2</v>
      </c>
      <c r="I196" s="18">
        <f t="shared" si="207"/>
        <v>122</v>
      </c>
      <c r="J196" s="32"/>
    </row>
    <row r="197" spans="1:10" ht="15.75" customHeight="1">
      <c r="A197" s="7">
        <v>41501</v>
      </c>
      <c r="B197" s="8" t="s">
        <v>20</v>
      </c>
      <c r="C197" s="8" t="s">
        <v>258</v>
      </c>
      <c r="D197" s="8" t="s">
        <v>259</v>
      </c>
      <c r="E197" s="9">
        <f t="shared" si="0"/>
        <v>0</v>
      </c>
      <c r="F197" s="10">
        <v>0</v>
      </c>
      <c r="G197" s="18">
        <v>87</v>
      </c>
      <c r="H197" s="18">
        <f t="shared" ref="H197:I197" si="208">F197/5</f>
        <v>0</v>
      </c>
      <c r="I197" s="18">
        <f t="shared" si="208"/>
        <v>17.399999999999999</v>
      </c>
      <c r="J197" s="32"/>
    </row>
    <row r="198" spans="1:10" ht="15.75" customHeight="1">
      <c r="A198" s="7">
        <v>41502</v>
      </c>
      <c r="B198" s="8" t="s">
        <v>20</v>
      </c>
      <c r="C198" s="8" t="s">
        <v>258</v>
      </c>
      <c r="D198" s="8" t="s">
        <v>260</v>
      </c>
      <c r="E198" s="9">
        <f t="shared" si="0"/>
        <v>12.820512820512819</v>
      </c>
      <c r="F198" s="10">
        <v>1</v>
      </c>
      <c r="G198" s="18">
        <v>78</v>
      </c>
      <c r="H198" s="18">
        <f t="shared" ref="H198:I198" si="209">F198/5</f>
        <v>0.2</v>
      </c>
      <c r="I198" s="18">
        <f t="shared" si="209"/>
        <v>15.6</v>
      </c>
      <c r="J198" s="32"/>
    </row>
    <row r="199" spans="1:10" ht="15.75" customHeight="1">
      <c r="A199" s="7">
        <v>41503</v>
      </c>
      <c r="B199" s="8" t="s">
        <v>20</v>
      </c>
      <c r="C199" s="8" t="s">
        <v>258</v>
      </c>
      <c r="D199" s="8" t="s">
        <v>224</v>
      </c>
      <c r="E199" s="9">
        <f t="shared" si="0"/>
        <v>0</v>
      </c>
      <c r="F199" s="10">
        <v>0</v>
      </c>
      <c r="G199" s="18">
        <v>64</v>
      </c>
      <c r="H199" s="18">
        <f t="shared" ref="H199:I199" si="210">F199/5</f>
        <v>0</v>
      </c>
      <c r="I199" s="18">
        <f t="shared" si="210"/>
        <v>12.8</v>
      </c>
      <c r="J199" s="32"/>
    </row>
    <row r="200" spans="1:10" ht="15.75" customHeight="1">
      <c r="A200" s="7">
        <v>41601</v>
      </c>
      <c r="B200" s="8" t="s">
        <v>20</v>
      </c>
      <c r="C200" s="8" t="s">
        <v>261</v>
      </c>
      <c r="D200" s="8" t="s">
        <v>262</v>
      </c>
      <c r="E200" s="9">
        <f t="shared" si="0"/>
        <v>40.650406504065039</v>
      </c>
      <c r="F200" s="10">
        <v>10</v>
      </c>
      <c r="G200" s="18">
        <v>246</v>
      </c>
      <c r="H200" s="18">
        <f t="shared" ref="H200:I200" si="211">F200/5</f>
        <v>2</v>
      </c>
      <c r="I200" s="18">
        <f t="shared" si="211"/>
        <v>49.2</v>
      </c>
      <c r="J200" s="32"/>
    </row>
    <row r="201" spans="1:10" ht="15.75" customHeight="1">
      <c r="A201" s="7">
        <v>50101</v>
      </c>
      <c r="B201" s="8" t="s">
        <v>263</v>
      </c>
      <c r="C201" s="8" t="s">
        <v>264</v>
      </c>
      <c r="D201" s="8" t="s">
        <v>263</v>
      </c>
      <c r="E201" s="9">
        <f t="shared" si="0"/>
        <v>20.196370867511806</v>
      </c>
      <c r="F201" s="10">
        <v>325</v>
      </c>
      <c r="G201" s="18">
        <v>16092</v>
      </c>
      <c r="H201" s="18">
        <f t="shared" ref="H201:I201" si="212">F201/5</f>
        <v>65</v>
      </c>
      <c r="I201" s="18">
        <f t="shared" si="212"/>
        <v>3218.4</v>
      </c>
      <c r="J201" s="32"/>
    </row>
    <row r="202" spans="1:10" ht="15.75" customHeight="1">
      <c r="A202" s="7">
        <v>50102</v>
      </c>
      <c r="B202" s="8" t="s">
        <v>263</v>
      </c>
      <c r="C202" s="8" t="s">
        <v>264</v>
      </c>
      <c r="D202" s="8" t="s">
        <v>265</v>
      </c>
      <c r="E202" s="9">
        <f t="shared" si="0"/>
        <v>47.54440961337513</v>
      </c>
      <c r="F202" s="10">
        <v>91</v>
      </c>
      <c r="G202" s="18">
        <v>1914</v>
      </c>
      <c r="H202" s="18">
        <f t="shared" ref="H202:I202" si="213">F202/5</f>
        <v>18.2</v>
      </c>
      <c r="I202" s="18">
        <f t="shared" si="213"/>
        <v>382.8</v>
      </c>
      <c r="J202" s="32"/>
    </row>
    <row r="203" spans="1:10" ht="15.75" customHeight="1">
      <c r="A203" s="7">
        <v>50103</v>
      </c>
      <c r="B203" s="8" t="s">
        <v>263</v>
      </c>
      <c r="C203" s="8" t="s">
        <v>264</v>
      </c>
      <c r="D203" s="8" t="s">
        <v>266</v>
      </c>
      <c r="E203" s="9">
        <f t="shared" si="0"/>
        <v>29.247910863509748</v>
      </c>
      <c r="F203" s="10">
        <v>21</v>
      </c>
      <c r="G203" s="18">
        <v>718</v>
      </c>
      <c r="H203" s="18">
        <f t="shared" ref="H203:I203" si="214">F203/5</f>
        <v>4.2</v>
      </c>
      <c r="I203" s="18">
        <f t="shared" si="214"/>
        <v>143.6</v>
      </c>
      <c r="J203" s="32"/>
    </row>
    <row r="204" spans="1:10" ht="15.75" customHeight="1">
      <c r="A204" s="7">
        <v>50104</v>
      </c>
      <c r="B204" s="8" t="s">
        <v>263</v>
      </c>
      <c r="C204" s="8" t="s">
        <v>264</v>
      </c>
      <c r="D204" s="8" t="s">
        <v>267</v>
      </c>
      <c r="E204" s="9">
        <f t="shared" si="0"/>
        <v>6.8027210884353737</v>
      </c>
      <c r="F204" s="10">
        <v>1</v>
      </c>
      <c r="G204" s="18">
        <v>147</v>
      </c>
      <c r="H204" s="18">
        <f t="shared" ref="H204:I204" si="215">F204/5</f>
        <v>0.2</v>
      </c>
      <c r="I204" s="18">
        <f t="shared" si="215"/>
        <v>29.4</v>
      </c>
      <c r="J204" s="32"/>
    </row>
    <row r="205" spans="1:10" ht="15.75" customHeight="1">
      <c r="A205" s="7">
        <v>50201</v>
      </c>
      <c r="B205" s="8" t="s">
        <v>263</v>
      </c>
      <c r="C205" s="8" t="s">
        <v>268</v>
      </c>
      <c r="D205" s="8" t="s">
        <v>269</v>
      </c>
      <c r="E205" s="9">
        <f t="shared" si="0"/>
        <v>40.273037542662117</v>
      </c>
      <c r="F205" s="10">
        <v>59</v>
      </c>
      <c r="G205" s="18">
        <v>1465</v>
      </c>
      <c r="H205" s="18">
        <f t="shared" ref="H205:I205" si="216">F205/5</f>
        <v>11.8</v>
      </c>
      <c r="I205" s="18">
        <f t="shared" si="216"/>
        <v>293</v>
      </c>
      <c r="J205" s="32"/>
    </row>
    <row r="206" spans="1:10" ht="15.75" customHeight="1">
      <c r="A206" s="7">
        <v>50202</v>
      </c>
      <c r="B206" s="8" t="s">
        <v>263</v>
      </c>
      <c r="C206" s="8" t="s">
        <v>268</v>
      </c>
      <c r="D206" s="8" t="s">
        <v>270</v>
      </c>
      <c r="E206" s="9">
        <f t="shared" si="0"/>
        <v>40.553907022749755</v>
      </c>
      <c r="F206" s="10">
        <v>41</v>
      </c>
      <c r="G206" s="18">
        <v>1011</v>
      </c>
      <c r="H206" s="18">
        <f t="shared" ref="H206:I206" si="217">F206/5</f>
        <v>8.1999999999999993</v>
      </c>
      <c r="I206" s="18">
        <f t="shared" si="217"/>
        <v>202.2</v>
      </c>
      <c r="J206" s="32"/>
    </row>
    <row r="207" spans="1:10" ht="15.75" customHeight="1">
      <c r="A207" s="7">
        <v>50203</v>
      </c>
      <c r="B207" s="8" t="s">
        <v>263</v>
      </c>
      <c r="C207" s="8" t="s">
        <v>268</v>
      </c>
      <c r="D207" s="8" t="s">
        <v>271</v>
      </c>
      <c r="E207" s="9">
        <f t="shared" si="0"/>
        <v>26.334519572953738</v>
      </c>
      <c r="F207" s="10">
        <v>74</v>
      </c>
      <c r="G207" s="18">
        <v>2810</v>
      </c>
      <c r="H207" s="18">
        <f t="shared" ref="H207:I207" si="218">F207/5</f>
        <v>14.8</v>
      </c>
      <c r="I207" s="18">
        <f t="shared" si="218"/>
        <v>562</v>
      </c>
      <c r="J207" s="32"/>
    </row>
    <row r="208" spans="1:10" ht="15.75" customHeight="1">
      <c r="A208" s="7">
        <v>50204</v>
      </c>
      <c r="B208" s="8" t="s">
        <v>263</v>
      </c>
      <c r="C208" s="8" t="s">
        <v>268</v>
      </c>
      <c r="D208" s="8" t="s">
        <v>272</v>
      </c>
      <c r="E208" s="9">
        <f t="shared" si="0"/>
        <v>42.105263157894733</v>
      </c>
      <c r="F208" s="10">
        <v>24</v>
      </c>
      <c r="G208" s="18">
        <v>570</v>
      </c>
      <c r="H208" s="18">
        <f t="shared" ref="H208:I208" si="219">F208/5</f>
        <v>4.8</v>
      </c>
      <c r="I208" s="18">
        <f t="shared" si="219"/>
        <v>114</v>
      </c>
      <c r="J208" s="32"/>
    </row>
    <row r="209" spans="1:10" ht="15.75" customHeight="1">
      <c r="A209" s="7">
        <v>50301</v>
      </c>
      <c r="B209" s="8" t="s">
        <v>263</v>
      </c>
      <c r="C209" s="8" t="s">
        <v>273</v>
      </c>
      <c r="D209" s="8" t="s">
        <v>274</v>
      </c>
      <c r="E209" s="9">
        <f t="shared" si="0"/>
        <v>31.707317073170731</v>
      </c>
      <c r="F209" s="10">
        <v>65</v>
      </c>
      <c r="G209" s="18">
        <v>2050</v>
      </c>
      <c r="H209" s="18">
        <f t="shared" ref="H209:I209" si="220">F209/5</f>
        <v>13</v>
      </c>
      <c r="I209" s="18">
        <f t="shared" si="220"/>
        <v>410</v>
      </c>
      <c r="J209" s="32"/>
    </row>
    <row r="210" spans="1:10" ht="15.75" customHeight="1">
      <c r="A210" s="7">
        <v>50302</v>
      </c>
      <c r="B210" s="8" t="s">
        <v>263</v>
      </c>
      <c r="C210" s="8" t="s">
        <v>273</v>
      </c>
      <c r="D210" s="8" t="s">
        <v>275</v>
      </c>
      <c r="E210" s="9">
        <f t="shared" si="0"/>
        <v>34.172661870503603</v>
      </c>
      <c r="F210" s="10">
        <v>19</v>
      </c>
      <c r="G210" s="18">
        <v>556</v>
      </c>
      <c r="H210" s="18">
        <f t="shared" ref="H210:I210" si="221">F210/5</f>
        <v>3.8</v>
      </c>
      <c r="I210" s="18">
        <f t="shared" si="221"/>
        <v>111.2</v>
      </c>
      <c r="J210" s="32"/>
    </row>
    <row r="211" spans="1:10" ht="15.75" customHeight="1">
      <c r="A211" s="7">
        <v>50303</v>
      </c>
      <c r="B211" s="8" t="s">
        <v>263</v>
      </c>
      <c r="C211" s="8" t="s">
        <v>273</v>
      </c>
      <c r="D211" s="8" t="s">
        <v>276</v>
      </c>
      <c r="E211" s="9">
        <f t="shared" si="0"/>
        <v>18.973214285714285</v>
      </c>
      <c r="F211" s="10">
        <v>17</v>
      </c>
      <c r="G211" s="18">
        <v>896</v>
      </c>
      <c r="H211" s="18">
        <f t="shared" ref="H211:I211" si="222">F211/5</f>
        <v>3.4</v>
      </c>
      <c r="I211" s="18">
        <f t="shared" si="222"/>
        <v>179.2</v>
      </c>
      <c r="J211" s="32"/>
    </row>
    <row r="212" spans="1:10" ht="15.75" customHeight="1">
      <c r="A212" s="7">
        <v>50401</v>
      </c>
      <c r="B212" s="8" t="s">
        <v>263</v>
      </c>
      <c r="C212" s="8" t="s">
        <v>270</v>
      </c>
      <c r="D212" s="8" t="s">
        <v>277</v>
      </c>
      <c r="E212" s="9">
        <f t="shared" si="0"/>
        <v>70.88122605363985</v>
      </c>
      <c r="F212" s="10">
        <v>74</v>
      </c>
      <c r="G212" s="18">
        <v>1044</v>
      </c>
      <c r="H212" s="18">
        <f t="shared" ref="H212:I212" si="223">F212/5</f>
        <v>14.8</v>
      </c>
      <c r="I212" s="18">
        <f t="shared" si="223"/>
        <v>208.8</v>
      </c>
      <c r="J212" s="32"/>
    </row>
    <row r="213" spans="1:10" ht="15.75" customHeight="1">
      <c r="A213" s="7">
        <v>50402</v>
      </c>
      <c r="B213" s="8" t="s">
        <v>263</v>
      </c>
      <c r="C213" s="8" t="s">
        <v>270</v>
      </c>
      <c r="D213" s="8" t="s">
        <v>278</v>
      </c>
      <c r="E213" s="9">
        <f t="shared" si="0"/>
        <v>26.548672566371682</v>
      </c>
      <c r="F213" s="10">
        <v>24</v>
      </c>
      <c r="G213" s="18">
        <v>904</v>
      </c>
      <c r="H213" s="18">
        <f t="shared" ref="H213:I213" si="224">F213/5</f>
        <v>4.8</v>
      </c>
      <c r="I213" s="18">
        <f t="shared" si="224"/>
        <v>180.8</v>
      </c>
      <c r="J213" s="32"/>
    </row>
    <row r="214" spans="1:10" ht="15.75" customHeight="1">
      <c r="A214" s="7">
        <v>50403</v>
      </c>
      <c r="B214" s="8" t="s">
        <v>263</v>
      </c>
      <c r="C214" s="8" t="s">
        <v>270</v>
      </c>
      <c r="D214" s="8" t="s">
        <v>279</v>
      </c>
      <c r="E214" s="9">
        <f t="shared" si="0"/>
        <v>52.711606690319307</v>
      </c>
      <c r="F214" s="10">
        <v>104</v>
      </c>
      <c r="G214" s="18">
        <v>1973</v>
      </c>
      <c r="H214" s="18">
        <f t="shared" ref="H214:I214" si="225">F214/5</f>
        <v>20.8</v>
      </c>
      <c r="I214" s="18">
        <f t="shared" si="225"/>
        <v>394.6</v>
      </c>
      <c r="J214" s="32"/>
    </row>
    <row r="215" spans="1:10" ht="15.75" customHeight="1">
      <c r="A215" s="7">
        <v>50404</v>
      </c>
      <c r="B215" s="8" t="s">
        <v>263</v>
      </c>
      <c r="C215" s="8" t="s">
        <v>270</v>
      </c>
      <c r="D215" s="8" t="s">
        <v>280</v>
      </c>
      <c r="E215" s="9">
        <f t="shared" si="0"/>
        <v>39.042821158690174</v>
      </c>
      <c r="F215" s="10">
        <v>31</v>
      </c>
      <c r="G215" s="18">
        <v>794</v>
      </c>
      <c r="H215" s="18">
        <f t="shared" ref="H215:I215" si="226">F215/5</f>
        <v>6.2</v>
      </c>
      <c r="I215" s="18">
        <f t="shared" si="226"/>
        <v>158.80000000000001</v>
      </c>
      <c r="J215" s="32"/>
    </row>
    <row r="216" spans="1:10" ht="15.75" customHeight="1">
      <c r="A216" s="19">
        <v>50405</v>
      </c>
      <c r="B216" s="8" t="s">
        <v>263</v>
      </c>
      <c r="C216" s="8" t="s">
        <v>270</v>
      </c>
      <c r="D216" s="8" t="s">
        <v>281</v>
      </c>
      <c r="E216" s="9">
        <f t="shared" si="0"/>
        <v>62.5</v>
      </c>
      <c r="F216" s="10">
        <v>83</v>
      </c>
      <c r="G216" s="18">
        <v>1328</v>
      </c>
      <c r="H216" s="18">
        <f t="shared" ref="H216:I216" si="227">F216/5</f>
        <v>16.600000000000001</v>
      </c>
      <c r="I216" s="18">
        <f t="shared" si="227"/>
        <v>265.60000000000002</v>
      </c>
      <c r="J216" s="32"/>
    </row>
    <row r="217" spans="1:10" ht="15.75" customHeight="1">
      <c r="A217" s="7">
        <v>50501</v>
      </c>
      <c r="B217" s="8" t="s">
        <v>263</v>
      </c>
      <c r="C217" s="8" t="s">
        <v>282</v>
      </c>
      <c r="D217" s="8" t="s">
        <v>283</v>
      </c>
      <c r="E217" s="9">
        <f t="shared" si="0"/>
        <v>47.491995731056562</v>
      </c>
      <c r="F217" s="10">
        <v>89</v>
      </c>
      <c r="G217" s="18">
        <v>1874</v>
      </c>
      <c r="H217" s="18">
        <f t="shared" ref="H217:I217" si="228">F217/5</f>
        <v>17.8</v>
      </c>
      <c r="I217" s="18">
        <f t="shared" si="228"/>
        <v>374.8</v>
      </c>
      <c r="J217" s="32"/>
    </row>
    <row r="218" spans="1:10" ht="15.75" customHeight="1">
      <c r="A218" s="7">
        <v>50502</v>
      </c>
      <c r="B218" s="8" t="s">
        <v>263</v>
      </c>
      <c r="C218" s="8" t="s">
        <v>282</v>
      </c>
      <c r="D218" s="8" t="s">
        <v>284</v>
      </c>
      <c r="E218" s="9">
        <f t="shared" si="0"/>
        <v>31.537450722733244</v>
      </c>
      <c r="F218" s="10">
        <v>24</v>
      </c>
      <c r="G218" s="18">
        <v>761</v>
      </c>
      <c r="H218" s="18">
        <f t="shared" ref="H218:I218" si="229">F218/5</f>
        <v>4.8</v>
      </c>
      <c r="I218" s="18">
        <f t="shared" si="229"/>
        <v>152.19999999999999</v>
      </c>
      <c r="J218" s="32"/>
    </row>
    <row r="219" spans="1:10" ht="15.75" customHeight="1">
      <c r="A219" s="7">
        <v>50601</v>
      </c>
      <c r="B219" s="8" t="s">
        <v>263</v>
      </c>
      <c r="C219" s="8" t="s">
        <v>285</v>
      </c>
      <c r="D219" s="8" t="s">
        <v>286</v>
      </c>
      <c r="E219" s="9">
        <f t="shared" si="0"/>
        <v>16.203703703703702</v>
      </c>
      <c r="F219" s="10">
        <v>28</v>
      </c>
      <c r="G219" s="18">
        <v>1728</v>
      </c>
      <c r="H219" s="18">
        <f t="shared" ref="H219:I219" si="230">F219/5</f>
        <v>5.6</v>
      </c>
      <c r="I219" s="18">
        <f t="shared" si="230"/>
        <v>345.6</v>
      </c>
      <c r="J219" s="32"/>
    </row>
    <row r="220" spans="1:10" ht="15.75" customHeight="1">
      <c r="A220" s="7">
        <v>50602</v>
      </c>
      <c r="B220" s="8" t="s">
        <v>263</v>
      </c>
      <c r="C220" s="8" t="s">
        <v>285</v>
      </c>
      <c r="D220" s="8" t="s">
        <v>287</v>
      </c>
      <c r="E220" s="9">
        <f t="shared" si="0"/>
        <v>19.097222222222225</v>
      </c>
      <c r="F220" s="10">
        <v>11</v>
      </c>
      <c r="G220" s="18">
        <v>576</v>
      </c>
      <c r="H220" s="18">
        <f t="shared" ref="H220:I220" si="231">F220/5</f>
        <v>2.2000000000000002</v>
      </c>
      <c r="I220" s="18">
        <f t="shared" si="231"/>
        <v>115.2</v>
      </c>
      <c r="J220" s="32"/>
    </row>
    <row r="221" spans="1:10" ht="15.75" customHeight="1">
      <c r="A221" s="7">
        <v>50701</v>
      </c>
      <c r="B221" s="8" t="s">
        <v>263</v>
      </c>
      <c r="C221" s="8" t="s">
        <v>288</v>
      </c>
      <c r="D221" s="8" t="s">
        <v>289</v>
      </c>
      <c r="E221" s="9">
        <f t="shared" si="0"/>
        <v>54.054054054054056</v>
      </c>
      <c r="F221" s="10">
        <v>60</v>
      </c>
      <c r="G221" s="18">
        <v>1110</v>
      </c>
      <c r="H221" s="18">
        <f t="shared" ref="H221:I221" si="232">F221/5</f>
        <v>12</v>
      </c>
      <c r="I221" s="18">
        <f t="shared" si="232"/>
        <v>222</v>
      </c>
      <c r="J221" s="32"/>
    </row>
    <row r="222" spans="1:10" ht="15.75" customHeight="1">
      <c r="A222" s="7">
        <v>50702</v>
      </c>
      <c r="B222" s="8" t="s">
        <v>263</v>
      </c>
      <c r="C222" s="8" t="s">
        <v>288</v>
      </c>
      <c r="D222" s="8" t="s">
        <v>290</v>
      </c>
      <c r="E222" s="9">
        <f t="shared" si="0"/>
        <v>49.212598425196852</v>
      </c>
      <c r="F222" s="10">
        <v>25</v>
      </c>
      <c r="G222" s="18">
        <v>508</v>
      </c>
      <c r="H222" s="18">
        <f t="shared" ref="H222:I222" si="233">F222/5</f>
        <v>5</v>
      </c>
      <c r="I222" s="18">
        <f t="shared" si="233"/>
        <v>101.6</v>
      </c>
      <c r="J222" s="32"/>
    </row>
    <row r="223" spans="1:10" ht="15.75" customHeight="1">
      <c r="A223" s="7">
        <v>50801</v>
      </c>
      <c r="B223" s="8" t="s">
        <v>263</v>
      </c>
      <c r="C223" s="8" t="s">
        <v>291</v>
      </c>
      <c r="D223" s="8" t="s">
        <v>292</v>
      </c>
      <c r="E223" s="9">
        <f t="shared" si="0"/>
        <v>13.486176668914363</v>
      </c>
      <c r="F223" s="10">
        <v>40</v>
      </c>
      <c r="G223" s="18">
        <v>2966</v>
      </c>
      <c r="H223" s="18">
        <f t="shared" ref="H223:I223" si="234">F223/5</f>
        <v>8</v>
      </c>
      <c r="I223" s="18">
        <f t="shared" si="234"/>
        <v>593.20000000000005</v>
      </c>
      <c r="J223" s="32"/>
    </row>
    <row r="224" spans="1:10" ht="15.75" customHeight="1">
      <c r="A224" s="7">
        <v>50802</v>
      </c>
      <c r="B224" s="8" t="s">
        <v>263</v>
      </c>
      <c r="C224" s="8" t="s">
        <v>291</v>
      </c>
      <c r="D224" s="8" t="s">
        <v>293</v>
      </c>
      <c r="E224" s="9">
        <f t="shared" si="0"/>
        <v>24.745269286754002</v>
      </c>
      <c r="F224" s="10">
        <v>17</v>
      </c>
      <c r="G224" s="18">
        <v>687</v>
      </c>
      <c r="H224" s="18">
        <f t="shared" ref="H224:I224" si="235">F224/5</f>
        <v>3.4</v>
      </c>
      <c r="I224" s="18">
        <f t="shared" si="235"/>
        <v>137.4</v>
      </c>
      <c r="J224" s="32"/>
    </row>
    <row r="225" spans="1:10" ht="15.75" customHeight="1">
      <c r="A225" s="7">
        <v>50901</v>
      </c>
      <c r="B225" s="8" t="s">
        <v>263</v>
      </c>
      <c r="C225" s="8" t="s">
        <v>294</v>
      </c>
      <c r="D225" s="8" t="s">
        <v>295</v>
      </c>
      <c r="E225" s="9">
        <f t="shared" si="0"/>
        <v>24.420024420024419</v>
      </c>
      <c r="F225" s="10">
        <v>20</v>
      </c>
      <c r="G225" s="18">
        <v>819</v>
      </c>
      <c r="H225" s="18">
        <f t="shared" ref="H225:I225" si="236">F225/5</f>
        <v>4</v>
      </c>
      <c r="I225" s="18">
        <f t="shared" si="236"/>
        <v>163.80000000000001</v>
      </c>
      <c r="J225" s="32"/>
    </row>
    <row r="226" spans="1:10" ht="15.75" customHeight="1">
      <c r="A226" s="7">
        <v>50902</v>
      </c>
      <c r="B226" s="8" t="s">
        <v>263</v>
      </c>
      <c r="C226" s="8" t="s">
        <v>294</v>
      </c>
      <c r="D226" s="8" t="s">
        <v>296</v>
      </c>
      <c r="E226" s="9">
        <f t="shared" si="0"/>
        <v>23.255813953488371</v>
      </c>
      <c r="F226" s="10">
        <v>2</v>
      </c>
      <c r="G226" s="18">
        <v>86</v>
      </c>
      <c r="H226" s="18">
        <f t="shared" ref="H226:I226" si="237">F226/5</f>
        <v>0.4</v>
      </c>
      <c r="I226" s="18">
        <f t="shared" si="237"/>
        <v>17.2</v>
      </c>
      <c r="J226" s="32"/>
    </row>
    <row r="227" spans="1:10" ht="15.75" customHeight="1">
      <c r="A227" s="7">
        <v>51001</v>
      </c>
      <c r="B227" s="8" t="s">
        <v>263</v>
      </c>
      <c r="C227" s="8" t="s">
        <v>297</v>
      </c>
      <c r="D227" s="8" t="s">
        <v>298</v>
      </c>
      <c r="E227" s="9">
        <f t="shared" si="0"/>
        <v>44.334975369458128</v>
      </c>
      <c r="F227" s="10">
        <v>9</v>
      </c>
      <c r="G227" s="18">
        <v>203</v>
      </c>
      <c r="H227" s="18">
        <f t="shared" ref="H227:I227" si="238">F227/5</f>
        <v>1.8</v>
      </c>
      <c r="I227" s="18">
        <f t="shared" si="238"/>
        <v>40.6</v>
      </c>
      <c r="J227" s="32"/>
    </row>
    <row r="228" spans="1:10" ht="15.75" customHeight="1">
      <c r="A228" s="7">
        <v>51002</v>
      </c>
      <c r="B228" s="8" t="s">
        <v>263</v>
      </c>
      <c r="C228" s="8" t="s">
        <v>297</v>
      </c>
      <c r="D228" s="8" t="s">
        <v>299</v>
      </c>
      <c r="E228" s="9">
        <f t="shared" si="0"/>
        <v>16.393442622950822</v>
      </c>
      <c r="F228" s="10">
        <v>1</v>
      </c>
      <c r="G228" s="18">
        <v>61</v>
      </c>
      <c r="H228" s="18">
        <f t="shared" ref="H228:I228" si="239">F228/5</f>
        <v>0.2</v>
      </c>
      <c r="I228" s="18">
        <f t="shared" si="239"/>
        <v>12.2</v>
      </c>
      <c r="J228" s="32"/>
    </row>
    <row r="229" spans="1:10" ht="15.75" customHeight="1">
      <c r="A229" s="7">
        <v>51003</v>
      </c>
      <c r="B229" s="8" t="s">
        <v>263</v>
      </c>
      <c r="C229" s="8" t="s">
        <v>297</v>
      </c>
      <c r="D229" s="8" t="s">
        <v>300</v>
      </c>
      <c r="E229" s="9">
        <f t="shared" si="0"/>
        <v>35.97122302158273</v>
      </c>
      <c r="F229" s="10">
        <v>5</v>
      </c>
      <c r="G229" s="18">
        <v>139</v>
      </c>
      <c r="H229" s="18">
        <f t="shared" ref="H229:I229" si="240">F229/5</f>
        <v>1</v>
      </c>
      <c r="I229" s="18">
        <f t="shared" si="240"/>
        <v>27.8</v>
      </c>
      <c r="J229" s="32"/>
    </row>
    <row r="230" spans="1:10" ht="15.75" customHeight="1">
      <c r="A230" s="7">
        <v>51101</v>
      </c>
      <c r="B230" s="8" t="s">
        <v>263</v>
      </c>
      <c r="C230" s="8" t="s">
        <v>301</v>
      </c>
      <c r="D230" s="8" t="s">
        <v>302</v>
      </c>
      <c r="E230" s="9">
        <f t="shared" si="0"/>
        <v>18.497109826589597</v>
      </c>
      <c r="F230" s="10">
        <v>16</v>
      </c>
      <c r="G230" s="18">
        <v>865</v>
      </c>
      <c r="H230" s="18">
        <f t="shared" ref="H230:I230" si="241">F230/5</f>
        <v>3.2</v>
      </c>
      <c r="I230" s="18">
        <f t="shared" si="241"/>
        <v>173</v>
      </c>
      <c r="J230" s="32"/>
    </row>
    <row r="231" spans="1:10" ht="15.75" customHeight="1">
      <c r="A231" s="7">
        <v>51102</v>
      </c>
      <c r="B231" s="8" t="s">
        <v>263</v>
      </c>
      <c r="C231" s="8" t="s">
        <v>301</v>
      </c>
      <c r="D231" s="8" t="s">
        <v>303</v>
      </c>
      <c r="E231" s="9">
        <f t="shared" si="0"/>
        <v>29.312288613303267</v>
      </c>
      <c r="F231" s="10">
        <v>26</v>
      </c>
      <c r="G231" s="18">
        <v>887</v>
      </c>
      <c r="H231" s="18">
        <f t="shared" ref="H231:I231" si="242">F231/5</f>
        <v>5.2</v>
      </c>
      <c r="I231" s="18">
        <f t="shared" si="242"/>
        <v>177.4</v>
      </c>
      <c r="J231" s="32"/>
    </row>
    <row r="232" spans="1:10" ht="15.75" customHeight="1">
      <c r="A232" s="7">
        <v>51103</v>
      </c>
      <c r="B232" s="8" t="s">
        <v>263</v>
      </c>
      <c r="C232" s="8" t="s">
        <v>301</v>
      </c>
      <c r="D232" s="8" t="s">
        <v>304</v>
      </c>
      <c r="E232" s="9">
        <f t="shared" si="0"/>
        <v>26.8389662027833</v>
      </c>
      <c r="F232" s="10">
        <v>27</v>
      </c>
      <c r="G232" s="18">
        <v>1006</v>
      </c>
      <c r="H232" s="18">
        <f t="shared" ref="H232:I232" si="243">F232/5</f>
        <v>5.4</v>
      </c>
      <c r="I232" s="18">
        <f t="shared" si="243"/>
        <v>201.2</v>
      </c>
      <c r="J232" s="32"/>
    </row>
    <row r="233" spans="1:10" ht="15.75" customHeight="1">
      <c r="A233" s="7">
        <v>51201</v>
      </c>
      <c r="B233" s="8" t="s">
        <v>263</v>
      </c>
      <c r="C233" s="8" t="s">
        <v>305</v>
      </c>
      <c r="D233" s="8" t="s">
        <v>306</v>
      </c>
      <c r="E233" s="9">
        <f t="shared" si="0"/>
        <v>23.721881390593047</v>
      </c>
      <c r="F233" s="10">
        <v>58</v>
      </c>
      <c r="G233" s="18">
        <v>2445</v>
      </c>
      <c r="H233" s="18">
        <f t="shared" ref="H233:I233" si="244">F233/5</f>
        <v>11.6</v>
      </c>
      <c r="I233" s="18">
        <f t="shared" si="244"/>
        <v>489</v>
      </c>
      <c r="J233" s="32"/>
    </row>
    <row r="234" spans="1:10" ht="15.75" customHeight="1">
      <c r="A234" s="7">
        <v>51202</v>
      </c>
      <c r="B234" s="8" t="s">
        <v>263</v>
      </c>
      <c r="C234" s="8" t="s">
        <v>305</v>
      </c>
      <c r="D234" s="8" t="s">
        <v>307</v>
      </c>
      <c r="E234" s="9">
        <f t="shared" si="0"/>
        <v>26.030368763557483</v>
      </c>
      <c r="F234" s="10">
        <v>12</v>
      </c>
      <c r="G234" s="18">
        <v>461</v>
      </c>
      <c r="H234" s="18">
        <f t="shared" ref="H234:I234" si="245">F234/5</f>
        <v>2.4</v>
      </c>
      <c r="I234" s="18">
        <f t="shared" si="245"/>
        <v>92.2</v>
      </c>
      <c r="J234" s="32"/>
    </row>
    <row r="235" spans="1:10" ht="15.75" customHeight="1">
      <c r="A235" s="7">
        <v>51203</v>
      </c>
      <c r="B235" s="8" t="s">
        <v>263</v>
      </c>
      <c r="C235" s="8" t="s">
        <v>305</v>
      </c>
      <c r="D235" s="8" t="s">
        <v>308</v>
      </c>
      <c r="E235" s="9">
        <f t="shared" si="0"/>
        <v>15.447154471544716</v>
      </c>
      <c r="F235" s="10">
        <v>19</v>
      </c>
      <c r="G235" s="18">
        <v>1230</v>
      </c>
      <c r="H235" s="18">
        <f t="shared" ref="H235:I235" si="246">F235/5</f>
        <v>3.8</v>
      </c>
      <c r="I235" s="18">
        <f t="shared" si="246"/>
        <v>246</v>
      </c>
      <c r="J235" s="32"/>
    </row>
    <row r="236" spans="1:10" ht="15.75" customHeight="1">
      <c r="A236" s="19">
        <v>51204</v>
      </c>
      <c r="B236" s="8" t="s">
        <v>263</v>
      </c>
      <c r="C236" s="8"/>
      <c r="D236" s="8" t="s">
        <v>309</v>
      </c>
      <c r="E236" s="9">
        <f t="shared" si="0"/>
        <v>30.303030303030305</v>
      </c>
      <c r="F236" s="10">
        <v>11</v>
      </c>
      <c r="G236" s="18">
        <v>363</v>
      </c>
      <c r="H236" s="18">
        <f t="shared" ref="H236:I236" si="247">F236/5</f>
        <v>2.2000000000000002</v>
      </c>
      <c r="I236" s="18">
        <f t="shared" si="247"/>
        <v>72.599999999999994</v>
      </c>
      <c r="J236" s="32"/>
    </row>
    <row r="237" spans="1:10" ht="15.75" customHeight="1">
      <c r="A237" s="7">
        <v>51301</v>
      </c>
      <c r="B237" s="8" t="s">
        <v>263</v>
      </c>
      <c r="C237" s="8" t="s">
        <v>310</v>
      </c>
      <c r="D237" s="8" t="s">
        <v>311</v>
      </c>
      <c r="E237" s="9">
        <f t="shared" si="0"/>
        <v>43.859649122807014</v>
      </c>
      <c r="F237" s="10">
        <v>10</v>
      </c>
      <c r="G237" s="18">
        <v>228</v>
      </c>
      <c r="H237" s="18">
        <f t="shared" ref="H237:I237" si="248">F237/5</f>
        <v>2</v>
      </c>
      <c r="I237" s="18">
        <f t="shared" si="248"/>
        <v>45.6</v>
      </c>
      <c r="J237" s="32"/>
    </row>
    <row r="238" spans="1:10" ht="15.75" customHeight="1">
      <c r="A238" s="7">
        <v>51302</v>
      </c>
      <c r="B238" s="8" t="s">
        <v>263</v>
      </c>
      <c r="C238" s="8" t="s">
        <v>310</v>
      </c>
      <c r="D238" s="8" t="s">
        <v>312</v>
      </c>
      <c r="E238" s="9">
        <f t="shared" si="0"/>
        <v>41.509433962264147</v>
      </c>
      <c r="F238" s="10">
        <v>11</v>
      </c>
      <c r="G238" s="18">
        <v>265</v>
      </c>
      <c r="H238" s="18">
        <f t="shared" ref="H238:I238" si="249">F238/5</f>
        <v>2.2000000000000002</v>
      </c>
      <c r="I238" s="18">
        <f t="shared" si="249"/>
        <v>53</v>
      </c>
      <c r="J238" s="32"/>
    </row>
    <row r="239" spans="1:10" ht="15.75" customHeight="1">
      <c r="A239" s="7">
        <v>51401</v>
      </c>
      <c r="B239" s="8" t="s">
        <v>263</v>
      </c>
      <c r="C239" s="8" t="s">
        <v>313</v>
      </c>
      <c r="D239" s="8" t="s">
        <v>314</v>
      </c>
      <c r="E239" s="9">
        <f t="shared" si="0"/>
        <v>38.596491228070178</v>
      </c>
      <c r="F239" s="10">
        <v>11</v>
      </c>
      <c r="G239" s="18">
        <v>285</v>
      </c>
      <c r="H239" s="18">
        <f t="shared" ref="H239:I239" si="250">F239/5</f>
        <v>2.2000000000000002</v>
      </c>
      <c r="I239" s="18">
        <f t="shared" si="250"/>
        <v>57</v>
      </c>
      <c r="J239" s="32"/>
    </row>
    <row r="240" spans="1:10" ht="15.75" customHeight="1">
      <c r="A240" s="7">
        <v>51402</v>
      </c>
      <c r="B240" s="8" t="s">
        <v>263</v>
      </c>
      <c r="C240" s="8" t="s">
        <v>313</v>
      </c>
      <c r="D240" s="8" t="s">
        <v>315</v>
      </c>
      <c r="E240" s="9">
        <f t="shared" si="0"/>
        <v>0</v>
      </c>
      <c r="F240" s="10">
        <v>0</v>
      </c>
      <c r="G240" s="18">
        <v>84</v>
      </c>
      <c r="H240" s="18">
        <f t="shared" ref="H240:I240" si="251">F240/5</f>
        <v>0</v>
      </c>
      <c r="I240" s="18">
        <f t="shared" si="251"/>
        <v>16.8</v>
      </c>
      <c r="J240" s="32"/>
    </row>
    <row r="241" spans="1:14" ht="15.75" customHeight="1">
      <c r="A241" s="7">
        <v>51501</v>
      </c>
      <c r="B241" s="8" t="s">
        <v>263</v>
      </c>
      <c r="C241" s="8" t="s">
        <v>316</v>
      </c>
      <c r="D241" s="8" t="s">
        <v>317</v>
      </c>
      <c r="E241" s="9">
        <f t="shared" si="0"/>
        <v>19.372077488309952</v>
      </c>
      <c r="F241" s="10">
        <v>58</v>
      </c>
      <c r="G241" s="18">
        <v>2994</v>
      </c>
      <c r="H241" s="18">
        <f t="shared" ref="H241:I241" si="252">F241/5</f>
        <v>11.6</v>
      </c>
      <c r="I241" s="18">
        <f t="shared" si="252"/>
        <v>598.79999999999995</v>
      </c>
      <c r="J241" s="32"/>
    </row>
    <row r="242" spans="1:14" ht="15.75" customHeight="1">
      <c r="A242" s="7">
        <v>51601</v>
      </c>
      <c r="B242" s="8" t="s">
        <v>263</v>
      </c>
      <c r="C242" s="8" t="s">
        <v>318</v>
      </c>
      <c r="D242" s="8" t="s">
        <v>319</v>
      </c>
      <c r="E242" s="9">
        <f t="shared" si="0"/>
        <v>39.0625</v>
      </c>
      <c r="F242" s="10">
        <v>5</v>
      </c>
      <c r="G242" s="18">
        <v>128</v>
      </c>
      <c r="H242" s="18">
        <f t="shared" ref="H242:I242" si="253">F242/5</f>
        <v>1</v>
      </c>
      <c r="I242" s="18">
        <f t="shared" si="253"/>
        <v>25.6</v>
      </c>
      <c r="J242" s="32"/>
    </row>
    <row r="243" spans="1:14" ht="15.75" customHeight="1">
      <c r="A243" s="7">
        <v>60101</v>
      </c>
      <c r="B243" s="8" t="s">
        <v>25</v>
      </c>
      <c r="C243" s="8" t="s">
        <v>164</v>
      </c>
      <c r="D243" s="8" t="s">
        <v>25</v>
      </c>
      <c r="E243" s="9">
        <f t="shared" si="0"/>
        <v>10.699273977837217</v>
      </c>
      <c r="F243" s="10">
        <v>140</v>
      </c>
      <c r="G243" s="18">
        <v>13085</v>
      </c>
      <c r="H243" s="18">
        <f t="shared" ref="H243:I243" si="254">F243/5</f>
        <v>28</v>
      </c>
      <c r="I243" s="18">
        <f t="shared" si="254"/>
        <v>2617</v>
      </c>
      <c r="J243" s="32"/>
    </row>
    <row r="244" spans="1:14" ht="15.75" customHeight="1">
      <c r="A244" s="7">
        <v>60201</v>
      </c>
      <c r="B244" s="8" t="s">
        <v>25</v>
      </c>
      <c r="C244" s="8" t="s">
        <v>320</v>
      </c>
      <c r="D244" s="8" t="s">
        <v>321</v>
      </c>
      <c r="E244" s="9">
        <f t="shared" si="0"/>
        <v>11.952191235059761</v>
      </c>
      <c r="F244" s="10">
        <v>12</v>
      </c>
      <c r="G244" s="18">
        <v>1004</v>
      </c>
      <c r="H244" s="18">
        <f t="shared" ref="H244:I244" si="255">F244/5</f>
        <v>2.4</v>
      </c>
      <c r="I244" s="18">
        <f t="shared" si="255"/>
        <v>200.8</v>
      </c>
      <c r="J244" s="32"/>
    </row>
    <row r="245" spans="1:14" ht="15.75" customHeight="1">
      <c r="A245" s="7">
        <v>60202</v>
      </c>
      <c r="B245" s="8" t="s">
        <v>25</v>
      </c>
      <c r="C245" s="8" t="s">
        <v>320</v>
      </c>
      <c r="D245" s="8" t="s">
        <v>322</v>
      </c>
      <c r="E245" s="9">
        <f t="shared" si="0"/>
        <v>7.9787234042553186</v>
      </c>
      <c r="F245" s="10">
        <v>18</v>
      </c>
      <c r="G245" s="18">
        <v>2256</v>
      </c>
      <c r="H245" s="18">
        <f t="shared" ref="H245:I245" si="256">F245/5</f>
        <v>3.6</v>
      </c>
      <c r="I245" s="18">
        <f t="shared" si="256"/>
        <v>451.2</v>
      </c>
      <c r="J245" s="32"/>
    </row>
    <row r="246" spans="1:14" ht="15.75" customHeight="1">
      <c r="A246" s="7">
        <v>60301</v>
      </c>
      <c r="B246" s="8" t="s">
        <v>25</v>
      </c>
      <c r="C246" s="8" t="s">
        <v>323</v>
      </c>
      <c r="D246" s="8" t="s">
        <v>324</v>
      </c>
      <c r="E246" s="9">
        <f t="shared" si="0"/>
        <v>15.424164524421593</v>
      </c>
      <c r="F246" s="10">
        <v>96</v>
      </c>
      <c r="G246" s="18">
        <v>6224</v>
      </c>
      <c r="H246" s="18">
        <f t="shared" ref="H246:I246" si="257">F246/5</f>
        <v>19.2</v>
      </c>
      <c r="I246" s="18">
        <f t="shared" si="257"/>
        <v>1244.8</v>
      </c>
      <c r="J246" s="32"/>
      <c r="L246" s="20"/>
      <c r="M246" s="20"/>
      <c r="N246" s="20"/>
    </row>
    <row r="247" spans="1:14" ht="15.75" customHeight="1">
      <c r="A247" s="7">
        <v>60302</v>
      </c>
      <c r="B247" s="8" t="s">
        <v>25</v>
      </c>
      <c r="C247" s="8" t="s">
        <v>323</v>
      </c>
      <c r="D247" s="8" t="s">
        <v>325</v>
      </c>
      <c r="E247" s="9">
        <f t="shared" si="0"/>
        <v>7.4487895716945998</v>
      </c>
      <c r="F247" s="10">
        <v>8</v>
      </c>
      <c r="G247" s="18">
        <v>1074</v>
      </c>
      <c r="H247" s="18">
        <f t="shared" ref="H247:I247" si="258">F247/5</f>
        <v>1.6</v>
      </c>
      <c r="I247" s="18">
        <f t="shared" si="258"/>
        <v>214.8</v>
      </c>
      <c r="J247" s="32"/>
    </row>
    <row r="248" spans="1:14" ht="15.75" customHeight="1">
      <c r="A248" s="7">
        <v>60303</v>
      </c>
      <c r="B248" s="8" t="s">
        <v>25</v>
      </c>
      <c r="C248" s="8" t="s">
        <v>323</v>
      </c>
      <c r="D248" s="8" t="s">
        <v>326</v>
      </c>
      <c r="E248" s="9">
        <f t="shared" si="0"/>
        <v>10.227647641042561</v>
      </c>
      <c r="F248" s="10">
        <v>31</v>
      </c>
      <c r="G248" s="18">
        <v>3031</v>
      </c>
      <c r="H248" s="18">
        <f t="shared" ref="H248:I248" si="259">F248/5</f>
        <v>6.2</v>
      </c>
      <c r="I248" s="18">
        <f t="shared" si="259"/>
        <v>606.20000000000005</v>
      </c>
      <c r="J248" s="32"/>
    </row>
    <row r="249" spans="1:14" ht="15.75" customHeight="1">
      <c r="A249" s="7">
        <v>60401</v>
      </c>
      <c r="B249" s="8" t="s">
        <v>25</v>
      </c>
      <c r="C249" s="8" t="s">
        <v>327</v>
      </c>
      <c r="D249" s="8" t="s">
        <v>328</v>
      </c>
      <c r="E249" s="9">
        <f t="shared" si="0"/>
        <v>9.3360995850622412</v>
      </c>
      <c r="F249" s="10">
        <v>9</v>
      </c>
      <c r="G249" s="18">
        <v>964</v>
      </c>
      <c r="H249" s="18">
        <f t="shared" ref="H249:I249" si="260">F249/5</f>
        <v>1.8</v>
      </c>
      <c r="I249" s="18">
        <f t="shared" si="260"/>
        <v>192.8</v>
      </c>
      <c r="J249" s="32"/>
    </row>
    <row r="250" spans="1:14" ht="15.75" customHeight="1">
      <c r="A250" s="7">
        <v>60402</v>
      </c>
      <c r="B250" s="8" t="s">
        <v>25</v>
      </c>
      <c r="C250" s="8" t="s">
        <v>327</v>
      </c>
      <c r="D250" s="8" t="s">
        <v>329</v>
      </c>
      <c r="E250" s="9">
        <f t="shared" si="0"/>
        <v>12.861736334405144</v>
      </c>
      <c r="F250" s="10">
        <v>4</v>
      </c>
      <c r="G250" s="18">
        <v>311</v>
      </c>
      <c r="H250" s="18">
        <f t="shared" ref="H250:I250" si="261">F250/5</f>
        <v>0.8</v>
      </c>
      <c r="I250" s="18">
        <f t="shared" si="261"/>
        <v>62.2</v>
      </c>
      <c r="J250" s="32"/>
    </row>
    <row r="251" spans="1:14" ht="15.75" customHeight="1">
      <c r="A251" s="7">
        <v>60501</v>
      </c>
      <c r="B251" s="8" t="s">
        <v>25</v>
      </c>
      <c r="C251" s="8" t="s">
        <v>330</v>
      </c>
      <c r="D251" s="8" t="s">
        <v>331</v>
      </c>
      <c r="E251" s="9">
        <f t="shared" si="0"/>
        <v>6.318207926479035</v>
      </c>
      <c r="F251" s="10">
        <v>11</v>
      </c>
      <c r="G251" s="18">
        <v>1741</v>
      </c>
      <c r="H251" s="18">
        <f t="shared" ref="H251:I251" si="262">F251/5</f>
        <v>2.2000000000000002</v>
      </c>
      <c r="I251" s="18">
        <f t="shared" si="262"/>
        <v>348.2</v>
      </c>
      <c r="J251" s="32"/>
    </row>
    <row r="252" spans="1:14" ht="15.75" customHeight="1">
      <c r="A252" s="7">
        <v>60502</v>
      </c>
      <c r="B252" s="8" t="s">
        <v>25</v>
      </c>
      <c r="C252" s="8" t="s">
        <v>330</v>
      </c>
      <c r="D252" s="8" t="s">
        <v>332</v>
      </c>
      <c r="E252" s="9">
        <f t="shared" si="0"/>
        <v>23.172905525846705</v>
      </c>
      <c r="F252" s="10">
        <v>13</v>
      </c>
      <c r="G252" s="18">
        <v>561</v>
      </c>
      <c r="H252" s="18">
        <f t="shared" ref="H252:I252" si="263">F252/5</f>
        <v>2.6</v>
      </c>
      <c r="I252" s="18">
        <f t="shared" si="263"/>
        <v>112.2</v>
      </c>
      <c r="J252" s="32"/>
    </row>
    <row r="253" spans="1:14" ht="15.75" customHeight="1">
      <c r="A253" s="7">
        <v>60601</v>
      </c>
      <c r="B253" s="8" t="s">
        <v>25</v>
      </c>
      <c r="C253" s="8" t="s">
        <v>333</v>
      </c>
      <c r="D253" s="8" t="s">
        <v>205</v>
      </c>
      <c r="E253" s="9">
        <f t="shared" si="0"/>
        <v>12.345679012345679</v>
      </c>
      <c r="F253" s="10">
        <v>16</v>
      </c>
      <c r="G253" s="18">
        <v>1296</v>
      </c>
      <c r="H253" s="18">
        <f t="shared" ref="H253:I253" si="264">F253/5</f>
        <v>3.2</v>
      </c>
      <c r="I253" s="18">
        <f t="shared" si="264"/>
        <v>259.2</v>
      </c>
      <c r="J253" s="32"/>
    </row>
    <row r="254" spans="1:14" ht="15.75" customHeight="1">
      <c r="A254" s="7">
        <v>70101</v>
      </c>
      <c r="B254" s="8" t="s">
        <v>27</v>
      </c>
      <c r="C254" s="8" t="s">
        <v>334</v>
      </c>
      <c r="D254" s="8" t="s">
        <v>335</v>
      </c>
      <c r="E254" s="9">
        <f t="shared" si="0"/>
        <v>10.404624277456648</v>
      </c>
      <c r="F254" s="10">
        <v>1044</v>
      </c>
      <c r="G254" s="18">
        <v>100340</v>
      </c>
      <c r="H254" s="18">
        <f t="shared" ref="H254:I254" si="265">F254/5</f>
        <v>208.8</v>
      </c>
      <c r="I254" s="18">
        <f t="shared" si="265"/>
        <v>20068</v>
      </c>
      <c r="J254" s="32"/>
    </row>
    <row r="255" spans="1:14" ht="15.75" customHeight="1">
      <c r="A255" s="7">
        <v>70102</v>
      </c>
      <c r="B255" s="8" t="s">
        <v>27</v>
      </c>
      <c r="C255" s="8" t="s">
        <v>334</v>
      </c>
      <c r="D255" s="8" t="s">
        <v>336</v>
      </c>
      <c r="E255" s="9">
        <f t="shared" si="0"/>
        <v>12.97747306562194</v>
      </c>
      <c r="F255" s="10">
        <v>106</v>
      </c>
      <c r="G255" s="18">
        <v>8168</v>
      </c>
      <c r="H255" s="18">
        <f t="shared" ref="H255:I255" si="266">F255/5</f>
        <v>21.2</v>
      </c>
      <c r="I255" s="18">
        <f t="shared" si="266"/>
        <v>1633.6</v>
      </c>
      <c r="J255" s="32"/>
    </row>
    <row r="256" spans="1:14" ht="15.75" customHeight="1">
      <c r="A256" s="7">
        <v>70103</v>
      </c>
      <c r="B256" s="8" t="s">
        <v>27</v>
      </c>
      <c r="C256" s="8" t="s">
        <v>334</v>
      </c>
      <c r="D256" s="8" t="s">
        <v>337</v>
      </c>
      <c r="E256" s="9">
        <f t="shared" si="0"/>
        <v>10.043041606886657</v>
      </c>
      <c r="F256" s="10">
        <v>14</v>
      </c>
      <c r="G256" s="18">
        <v>1394</v>
      </c>
      <c r="H256" s="18">
        <f t="shared" ref="H256:I256" si="267">F256/5</f>
        <v>2.8</v>
      </c>
      <c r="I256" s="18">
        <f t="shared" si="267"/>
        <v>278.8</v>
      </c>
      <c r="J256" s="32"/>
    </row>
    <row r="257" spans="1:10" ht="15.75" customHeight="1">
      <c r="A257" s="7">
        <v>70104</v>
      </c>
      <c r="B257" s="8" t="s">
        <v>27</v>
      </c>
      <c r="C257" s="8" t="s">
        <v>334</v>
      </c>
      <c r="D257" s="8" t="s">
        <v>338</v>
      </c>
      <c r="E257" s="9">
        <f t="shared" ref="E257:E344" si="268">(F257/G257)*1000</f>
        <v>9.2290481961405799</v>
      </c>
      <c r="F257" s="10">
        <v>99</v>
      </c>
      <c r="G257" s="18">
        <v>10727</v>
      </c>
      <c r="H257" s="18">
        <f t="shared" ref="H257:I257" si="269">F257/5</f>
        <v>19.8</v>
      </c>
      <c r="I257" s="18">
        <f t="shared" si="269"/>
        <v>2145.4</v>
      </c>
      <c r="J257" s="32"/>
    </row>
    <row r="258" spans="1:10" ht="15.75" customHeight="1">
      <c r="A258" s="7">
        <v>70105</v>
      </c>
      <c r="B258" s="8" t="s">
        <v>27</v>
      </c>
      <c r="C258" s="8" t="s">
        <v>334</v>
      </c>
      <c r="D258" s="8" t="s">
        <v>339</v>
      </c>
      <c r="E258" s="9">
        <f t="shared" si="268"/>
        <v>13.406940063091483</v>
      </c>
      <c r="F258" s="10">
        <v>51</v>
      </c>
      <c r="G258" s="18">
        <v>3804</v>
      </c>
      <c r="H258" s="18">
        <f t="shared" ref="H258:I258" si="270">F258/5</f>
        <v>10.199999999999999</v>
      </c>
      <c r="I258" s="18">
        <f t="shared" si="270"/>
        <v>760.8</v>
      </c>
      <c r="J258" s="32"/>
    </row>
    <row r="259" spans="1:10" ht="15.75" customHeight="1">
      <c r="A259" s="7">
        <v>70201</v>
      </c>
      <c r="B259" s="8" t="s">
        <v>27</v>
      </c>
      <c r="C259" s="8" t="s">
        <v>340</v>
      </c>
      <c r="D259" s="8" t="s">
        <v>340</v>
      </c>
      <c r="E259" s="9">
        <f t="shared" si="268"/>
        <v>12.380012559433032</v>
      </c>
      <c r="F259" s="10">
        <v>138</v>
      </c>
      <c r="G259" s="18">
        <v>11147</v>
      </c>
      <c r="H259" s="18">
        <f t="shared" ref="H259:I259" si="271">F259/5</f>
        <v>27.6</v>
      </c>
      <c r="I259" s="18">
        <f t="shared" si="271"/>
        <v>2229.4</v>
      </c>
      <c r="J259" s="32"/>
    </row>
    <row r="260" spans="1:10" ht="15.75" customHeight="1">
      <c r="A260" s="7">
        <v>70202</v>
      </c>
      <c r="B260" s="8" t="s">
        <v>27</v>
      </c>
      <c r="C260" s="8" t="s">
        <v>340</v>
      </c>
      <c r="D260" s="8" t="s">
        <v>341</v>
      </c>
      <c r="E260" s="9">
        <f t="shared" si="268"/>
        <v>16.282225237449119</v>
      </c>
      <c r="F260" s="10">
        <v>12</v>
      </c>
      <c r="G260" s="18">
        <v>737</v>
      </c>
      <c r="H260" s="18">
        <f t="shared" ref="H260:I260" si="272">F260/5</f>
        <v>2.4</v>
      </c>
      <c r="I260" s="18">
        <f t="shared" si="272"/>
        <v>147.4</v>
      </c>
      <c r="J260" s="32"/>
    </row>
    <row r="261" spans="1:10" ht="15.75" customHeight="1">
      <c r="A261" s="7">
        <v>70301</v>
      </c>
      <c r="B261" s="8" t="s">
        <v>27</v>
      </c>
      <c r="C261" s="8" t="s">
        <v>342</v>
      </c>
      <c r="D261" s="8" t="s">
        <v>343</v>
      </c>
      <c r="E261" s="9">
        <f t="shared" si="268"/>
        <v>18.014772113132768</v>
      </c>
      <c r="F261" s="10">
        <v>100</v>
      </c>
      <c r="G261" s="18">
        <v>5551</v>
      </c>
      <c r="H261" s="18">
        <f t="shared" ref="H261:I261" si="273">F261/5</f>
        <v>20</v>
      </c>
      <c r="I261" s="18">
        <f t="shared" si="273"/>
        <v>1110.2</v>
      </c>
      <c r="J261" s="32"/>
    </row>
    <row r="262" spans="1:10" ht="15.75" customHeight="1">
      <c r="A262" s="7">
        <v>70302</v>
      </c>
      <c r="B262" s="8" t="s">
        <v>27</v>
      </c>
      <c r="C262" s="8" t="s">
        <v>342</v>
      </c>
      <c r="D262" s="8" t="s">
        <v>344</v>
      </c>
      <c r="E262" s="9">
        <f t="shared" si="268"/>
        <v>31.281533804238141</v>
      </c>
      <c r="F262" s="10">
        <v>31</v>
      </c>
      <c r="G262" s="18">
        <v>991</v>
      </c>
      <c r="H262" s="18">
        <f t="shared" ref="H262:I262" si="274">F262/5</f>
        <v>6.2</v>
      </c>
      <c r="I262" s="18">
        <f t="shared" si="274"/>
        <v>198.2</v>
      </c>
      <c r="J262" s="32"/>
    </row>
    <row r="263" spans="1:10" ht="15.75" customHeight="1">
      <c r="A263" s="7">
        <v>70303</v>
      </c>
      <c r="B263" s="8" t="s">
        <v>27</v>
      </c>
      <c r="C263" s="8" t="s">
        <v>342</v>
      </c>
      <c r="D263" s="8" t="s">
        <v>345</v>
      </c>
      <c r="E263" s="9">
        <f t="shared" si="268"/>
        <v>18.18181818181818</v>
      </c>
      <c r="F263" s="10">
        <v>12</v>
      </c>
      <c r="G263" s="18">
        <v>660</v>
      </c>
      <c r="H263" s="18">
        <f t="shared" ref="H263:I263" si="275">F263/5</f>
        <v>2.4</v>
      </c>
      <c r="I263" s="18">
        <f t="shared" si="275"/>
        <v>132</v>
      </c>
      <c r="J263" s="32"/>
    </row>
    <row r="264" spans="1:10" ht="15.75" customHeight="1">
      <c r="A264" s="7">
        <v>70401</v>
      </c>
      <c r="B264" s="8" t="s">
        <v>27</v>
      </c>
      <c r="C264" s="8" t="s">
        <v>346</v>
      </c>
      <c r="D264" s="8" t="s">
        <v>347</v>
      </c>
      <c r="E264" s="9">
        <f t="shared" si="268"/>
        <v>5.3533190578158454</v>
      </c>
      <c r="F264" s="10">
        <v>5</v>
      </c>
      <c r="G264" s="18">
        <v>934</v>
      </c>
      <c r="H264" s="18">
        <f t="shared" ref="H264:I264" si="276">F264/5</f>
        <v>1</v>
      </c>
      <c r="I264" s="18">
        <f t="shared" si="276"/>
        <v>186.8</v>
      </c>
      <c r="J264" s="32"/>
    </row>
    <row r="265" spans="1:10" ht="15.75" customHeight="1">
      <c r="A265" s="7">
        <v>70402</v>
      </c>
      <c r="B265" s="8" t="s">
        <v>27</v>
      </c>
      <c r="C265" s="8" t="s">
        <v>346</v>
      </c>
      <c r="D265" s="8" t="s">
        <v>348</v>
      </c>
      <c r="E265" s="9">
        <f t="shared" si="268"/>
        <v>16.806722689075631</v>
      </c>
      <c r="F265" s="10">
        <v>22</v>
      </c>
      <c r="G265" s="18">
        <v>1309</v>
      </c>
      <c r="H265" s="18">
        <f t="shared" ref="H265:I265" si="277">F265/5</f>
        <v>4.4000000000000004</v>
      </c>
      <c r="I265" s="18">
        <f t="shared" si="277"/>
        <v>261.8</v>
      </c>
      <c r="J265" s="32"/>
    </row>
    <row r="266" spans="1:10" ht="15.75" customHeight="1">
      <c r="A266" s="7">
        <v>70403</v>
      </c>
      <c r="B266" s="8" t="s">
        <v>27</v>
      </c>
      <c r="C266" s="8" t="s">
        <v>346</v>
      </c>
      <c r="D266" s="8" t="s">
        <v>349</v>
      </c>
      <c r="E266" s="9">
        <f t="shared" si="268"/>
        <v>19.254204240799414</v>
      </c>
      <c r="F266" s="10">
        <v>79</v>
      </c>
      <c r="G266" s="18">
        <v>4103</v>
      </c>
      <c r="H266" s="18">
        <f t="shared" ref="H266:I266" si="278">F266/5</f>
        <v>15.8</v>
      </c>
      <c r="I266" s="18">
        <f t="shared" si="278"/>
        <v>820.6</v>
      </c>
      <c r="J266" s="32"/>
    </row>
    <row r="267" spans="1:10" ht="15.75" customHeight="1">
      <c r="A267" s="7">
        <v>70404</v>
      </c>
      <c r="B267" s="8" t="s">
        <v>27</v>
      </c>
      <c r="C267" s="8" t="s">
        <v>346</v>
      </c>
      <c r="D267" s="8" t="s">
        <v>350</v>
      </c>
      <c r="E267" s="9">
        <f t="shared" si="268"/>
        <v>11.730205278592376</v>
      </c>
      <c r="F267" s="10">
        <v>8</v>
      </c>
      <c r="G267" s="18">
        <v>682</v>
      </c>
      <c r="H267" s="18">
        <f t="shared" ref="H267:I267" si="279">F267/5</f>
        <v>1.6</v>
      </c>
      <c r="I267" s="18">
        <f t="shared" si="279"/>
        <v>136.4</v>
      </c>
      <c r="J267" s="32"/>
    </row>
    <row r="268" spans="1:10" ht="15.75" customHeight="1">
      <c r="A268" s="7">
        <v>70501</v>
      </c>
      <c r="B268" s="8" t="s">
        <v>27</v>
      </c>
      <c r="C268" s="8" t="s">
        <v>351</v>
      </c>
      <c r="D268" s="8" t="s">
        <v>352</v>
      </c>
      <c r="E268" s="9">
        <f t="shared" si="268"/>
        <v>20.114942528735632</v>
      </c>
      <c r="F268" s="10">
        <v>63</v>
      </c>
      <c r="G268" s="18">
        <v>3132</v>
      </c>
      <c r="H268" s="18">
        <f t="shared" ref="H268:I268" si="280">F268/5</f>
        <v>12.6</v>
      </c>
      <c r="I268" s="18">
        <f t="shared" si="280"/>
        <v>626.4</v>
      </c>
      <c r="J268" s="32"/>
    </row>
    <row r="269" spans="1:10" ht="15.75" customHeight="1">
      <c r="A269" s="7">
        <v>70502</v>
      </c>
      <c r="B269" s="8" t="s">
        <v>27</v>
      </c>
      <c r="C269" s="8" t="s">
        <v>351</v>
      </c>
      <c r="D269" s="8" t="s">
        <v>353</v>
      </c>
      <c r="E269" s="9">
        <f t="shared" si="268"/>
        <v>21.489038419795964</v>
      </c>
      <c r="F269" s="10">
        <v>99</v>
      </c>
      <c r="G269" s="18">
        <v>4607</v>
      </c>
      <c r="H269" s="18">
        <f t="shared" ref="H269:I269" si="281">F269/5</f>
        <v>19.8</v>
      </c>
      <c r="I269" s="18">
        <f t="shared" si="281"/>
        <v>921.4</v>
      </c>
      <c r="J269" s="32"/>
    </row>
    <row r="270" spans="1:10" ht="15.75" customHeight="1">
      <c r="A270" s="7">
        <v>70503</v>
      </c>
      <c r="B270" s="8" t="s">
        <v>27</v>
      </c>
      <c r="C270" s="8" t="s">
        <v>351</v>
      </c>
      <c r="D270" s="8" t="s">
        <v>354</v>
      </c>
      <c r="E270" s="9">
        <f t="shared" si="268"/>
        <v>15.175718849840255</v>
      </c>
      <c r="F270" s="10">
        <v>19</v>
      </c>
      <c r="G270" s="18">
        <v>1252</v>
      </c>
      <c r="H270" s="18">
        <f t="shared" ref="H270:I270" si="282">F270/5</f>
        <v>3.8</v>
      </c>
      <c r="I270" s="18">
        <f t="shared" si="282"/>
        <v>250.4</v>
      </c>
      <c r="J270" s="32"/>
    </row>
    <row r="271" spans="1:10" ht="15.75" customHeight="1">
      <c r="A271" s="7">
        <v>70601</v>
      </c>
      <c r="B271" s="8" t="s">
        <v>27</v>
      </c>
      <c r="C271" s="8" t="s">
        <v>355</v>
      </c>
      <c r="D271" s="8" t="s">
        <v>356</v>
      </c>
      <c r="E271" s="9">
        <f t="shared" si="268"/>
        <v>6.968641114982578</v>
      </c>
      <c r="F271" s="10">
        <v>10</v>
      </c>
      <c r="G271" s="18">
        <v>1435</v>
      </c>
      <c r="H271" s="18">
        <f t="shared" ref="H271:I271" si="283">F271/5</f>
        <v>2</v>
      </c>
      <c r="I271" s="18">
        <f t="shared" si="283"/>
        <v>287</v>
      </c>
      <c r="J271" s="32"/>
    </row>
    <row r="272" spans="1:10" ht="15.75" customHeight="1">
      <c r="A272" s="7">
        <v>70602</v>
      </c>
      <c r="B272" s="8" t="s">
        <v>27</v>
      </c>
      <c r="C272" s="8" t="s">
        <v>355</v>
      </c>
      <c r="D272" s="8" t="s">
        <v>357</v>
      </c>
      <c r="E272" s="9">
        <f t="shared" si="268"/>
        <v>17.842660178426602</v>
      </c>
      <c r="F272" s="10">
        <v>22</v>
      </c>
      <c r="G272" s="18">
        <v>1233</v>
      </c>
      <c r="H272" s="18">
        <f t="shared" ref="H272:I272" si="284">F272/5</f>
        <v>4.4000000000000004</v>
      </c>
      <c r="I272" s="18">
        <f t="shared" si="284"/>
        <v>246.6</v>
      </c>
      <c r="J272" s="32"/>
    </row>
    <row r="273" spans="1:10" ht="15.75" customHeight="1">
      <c r="A273" s="7">
        <v>70603</v>
      </c>
      <c r="B273" s="8" t="s">
        <v>27</v>
      </c>
      <c r="C273" s="8" t="s">
        <v>355</v>
      </c>
      <c r="D273" s="8" t="s">
        <v>358</v>
      </c>
      <c r="E273" s="9">
        <f t="shared" si="268"/>
        <v>6.9930069930069934</v>
      </c>
      <c r="F273" s="10">
        <v>3</v>
      </c>
      <c r="G273" s="18">
        <v>429</v>
      </c>
      <c r="H273" s="18">
        <f t="shared" ref="H273:I273" si="285">F273/5</f>
        <v>0.6</v>
      </c>
      <c r="I273" s="18">
        <f t="shared" si="285"/>
        <v>85.8</v>
      </c>
      <c r="J273" s="32"/>
    </row>
    <row r="274" spans="1:10" ht="15.75" customHeight="1">
      <c r="A274" s="7">
        <v>70701</v>
      </c>
      <c r="B274" s="8" t="s">
        <v>27</v>
      </c>
      <c r="C274" s="8" t="s">
        <v>359</v>
      </c>
      <c r="D274" s="8" t="s">
        <v>360</v>
      </c>
      <c r="E274" s="9">
        <f t="shared" si="268"/>
        <v>18.561484918793504</v>
      </c>
      <c r="F274" s="10">
        <v>8</v>
      </c>
      <c r="G274" s="18">
        <v>431</v>
      </c>
      <c r="H274" s="18">
        <f t="shared" ref="H274:I274" si="286">F274/5</f>
        <v>1.6</v>
      </c>
      <c r="I274" s="18">
        <f t="shared" si="286"/>
        <v>86.2</v>
      </c>
      <c r="J274" s="32"/>
    </row>
    <row r="275" spans="1:10" ht="15.75" customHeight="1">
      <c r="A275" s="7">
        <v>70702</v>
      </c>
      <c r="B275" s="8" t="s">
        <v>27</v>
      </c>
      <c r="C275" s="8" t="s">
        <v>359</v>
      </c>
      <c r="D275" s="8" t="s">
        <v>361</v>
      </c>
      <c r="E275" s="9">
        <f t="shared" si="268"/>
        <v>33.592644978783596</v>
      </c>
      <c r="F275" s="10">
        <v>95</v>
      </c>
      <c r="G275" s="18">
        <v>2828</v>
      </c>
      <c r="H275" s="18">
        <f t="shared" ref="H275:I275" si="287">F275/5</f>
        <v>19</v>
      </c>
      <c r="I275" s="18">
        <f t="shared" si="287"/>
        <v>565.6</v>
      </c>
      <c r="J275" s="32"/>
    </row>
    <row r="276" spans="1:10" ht="15.75" customHeight="1">
      <c r="A276" s="7">
        <v>70703</v>
      </c>
      <c r="B276" s="8" t="s">
        <v>27</v>
      </c>
      <c r="C276" s="8" t="s">
        <v>359</v>
      </c>
      <c r="D276" s="8" t="s">
        <v>362</v>
      </c>
      <c r="E276" s="9">
        <f t="shared" si="268"/>
        <v>15.808674503445481</v>
      </c>
      <c r="F276" s="10">
        <v>39</v>
      </c>
      <c r="G276" s="18">
        <v>2467</v>
      </c>
      <c r="H276" s="18">
        <f t="shared" ref="H276:I276" si="288">F276/5</f>
        <v>7.8</v>
      </c>
      <c r="I276" s="18">
        <f t="shared" si="288"/>
        <v>493.4</v>
      </c>
      <c r="J276" s="32"/>
    </row>
    <row r="277" spans="1:10" ht="15.75" customHeight="1">
      <c r="A277" s="7">
        <v>70704</v>
      </c>
      <c r="B277" s="8" t="s">
        <v>27</v>
      </c>
      <c r="C277" s="8" t="s">
        <v>359</v>
      </c>
      <c r="D277" s="8" t="s">
        <v>363</v>
      </c>
      <c r="E277" s="9">
        <f t="shared" si="268"/>
        <v>14.440433212996391</v>
      </c>
      <c r="F277" s="10">
        <v>4</v>
      </c>
      <c r="G277" s="18">
        <v>277</v>
      </c>
      <c r="H277" s="18">
        <f t="shared" ref="H277:I277" si="289">F277/5</f>
        <v>0.8</v>
      </c>
      <c r="I277" s="18">
        <f t="shared" si="289"/>
        <v>55.4</v>
      </c>
      <c r="J277" s="32"/>
    </row>
    <row r="278" spans="1:10" ht="15.75" customHeight="1">
      <c r="A278" s="7">
        <v>70705</v>
      </c>
      <c r="B278" s="8" t="s">
        <v>27</v>
      </c>
      <c r="C278" s="8" t="s">
        <v>359</v>
      </c>
      <c r="D278" s="8" t="s">
        <v>364</v>
      </c>
      <c r="E278" s="9">
        <f t="shared" si="268"/>
        <v>25.790349417637273</v>
      </c>
      <c r="F278" s="10">
        <v>31</v>
      </c>
      <c r="G278" s="18">
        <v>1202</v>
      </c>
      <c r="H278" s="18">
        <f t="shared" ref="H278:I278" si="290">F278/5</f>
        <v>6.2</v>
      </c>
      <c r="I278" s="18">
        <f t="shared" si="290"/>
        <v>240.4</v>
      </c>
      <c r="J278" s="32"/>
    </row>
    <row r="279" spans="1:10" ht="15.75" customHeight="1">
      <c r="A279" s="7">
        <v>70706</v>
      </c>
      <c r="B279" s="8" t="s">
        <v>27</v>
      </c>
      <c r="C279" s="8" t="s">
        <v>359</v>
      </c>
      <c r="D279" s="8" t="s">
        <v>365</v>
      </c>
      <c r="E279" s="9">
        <f t="shared" si="268"/>
        <v>12.428793371310201</v>
      </c>
      <c r="F279" s="10">
        <v>24</v>
      </c>
      <c r="G279" s="18">
        <v>1931</v>
      </c>
      <c r="H279" s="18">
        <f t="shared" ref="H279:I279" si="291">F279/5</f>
        <v>4.8</v>
      </c>
      <c r="I279" s="18">
        <f t="shared" si="291"/>
        <v>386.2</v>
      </c>
      <c r="J279" s="32"/>
    </row>
    <row r="280" spans="1:10" ht="15.75" customHeight="1">
      <c r="A280" s="7">
        <v>70707</v>
      </c>
      <c r="B280" s="8" t="s">
        <v>27</v>
      </c>
      <c r="C280" s="8" t="s">
        <v>359</v>
      </c>
      <c r="D280" s="8" t="s">
        <v>366</v>
      </c>
      <c r="E280" s="9">
        <f t="shared" si="268"/>
        <v>10.101010101010102</v>
      </c>
      <c r="F280" s="10">
        <v>4</v>
      </c>
      <c r="G280" s="18">
        <v>396</v>
      </c>
      <c r="H280" s="18">
        <f t="shared" ref="H280:I280" si="292">F280/5</f>
        <v>0.8</v>
      </c>
      <c r="I280" s="18">
        <f t="shared" si="292"/>
        <v>79.2</v>
      </c>
      <c r="J280" s="32"/>
    </row>
    <row r="281" spans="1:10" ht="15.75" customHeight="1">
      <c r="A281" s="7">
        <v>70801</v>
      </c>
      <c r="B281" s="8" t="s">
        <v>27</v>
      </c>
      <c r="C281" s="8" t="s">
        <v>367</v>
      </c>
      <c r="D281" s="8" t="s">
        <v>367</v>
      </c>
      <c r="E281" s="9">
        <f t="shared" si="268"/>
        <v>9.2975206611570247</v>
      </c>
      <c r="F281" s="10">
        <v>9</v>
      </c>
      <c r="G281" s="18">
        <v>968</v>
      </c>
      <c r="H281" s="18">
        <f t="shared" ref="H281:I281" si="293">F281/5</f>
        <v>1.8</v>
      </c>
      <c r="I281" s="18">
        <f t="shared" si="293"/>
        <v>193.6</v>
      </c>
      <c r="J281" s="32"/>
    </row>
    <row r="282" spans="1:10" ht="15.75" customHeight="1">
      <c r="A282" s="7">
        <v>70802</v>
      </c>
      <c r="B282" s="8" t="s">
        <v>27</v>
      </c>
      <c r="C282" s="8" t="s">
        <v>367</v>
      </c>
      <c r="D282" s="8" t="s">
        <v>368</v>
      </c>
      <c r="E282" s="9">
        <f t="shared" si="268"/>
        <v>17.857142857142858</v>
      </c>
      <c r="F282" s="10">
        <v>2</v>
      </c>
      <c r="G282" s="18">
        <v>112</v>
      </c>
      <c r="H282" s="18">
        <f t="shared" ref="H282:I282" si="294">F282/5</f>
        <v>0.4</v>
      </c>
      <c r="I282" s="18">
        <f t="shared" si="294"/>
        <v>22.4</v>
      </c>
      <c r="J282" s="32"/>
    </row>
    <row r="283" spans="1:10" ht="15.75" customHeight="1">
      <c r="A283" s="7">
        <v>70803</v>
      </c>
      <c r="B283" s="8" t="s">
        <v>27</v>
      </c>
      <c r="C283" s="8" t="s">
        <v>367</v>
      </c>
      <c r="D283" s="8" t="s">
        <v>369</v>
      </c>
      <c r="E283" s="9">
        <f t="shared" si="268"/>
        <v>6.4935064935064943</v>
      </c>
      <c r="F283" s="10">
        <v>1</v>
      </c>
      <c r="G283" s="18">
        <v>154</v>
      </c>
      <c r="H283" s="18">
        <f t="shared" ref="H283:I283" si="295">F283/5</f>
        <v>0.2</v>
      </c>
      <c r="I283" s="18">
        <f t="shared" si="295"/>
        <v>30.8</v>
      </c>
      <c r="J283" s="32"/>
    </row>
    <row r="284" spans="1:10" ht="15.75" customHeight="1">
      <c r="A284" s="7">
        <v>70804</v>
      </c>
      <c r="B284" s="8" t="s">
        <v>27</v>
      </c>
      <c r="C284" s="8" t="s">
        <v>367</v>
      </c>
      <c r="D284" s="8" t="s">
        <v>370</v>
      </c>
      <c r="E284" s="9">
        <f t="shared" si="268"/>
        <v>0</v>
      </c>
      <c r="F284" s="10">
        <v>0</v>
      </c>
      <c r="G284" s="18">
        <v>91</v>
      </c>
      <c r="H284" s="18">
        <f t="shared" ref="H284:I284" si="296">F284/5</f>
        <v>0</v>
      </c>
      <c r="I284" s="18">
        <f t="shared" si="296"/>
        <v>18.2</v>
      </c>
      <c r="J284" s="32"/>
    </row>
    <row r="285" spans="1:10" ht="15.75" customHeight="1">
      <c r="A285" s="7">
        <v>70805</v>
      </c>
      <c r="B285" s="8" t="s">
        <v>27</v>
      </c>
      <c r="C285" s="8" t="s">
        <v>367</v>
      </c>
      <c r="D285" s="8" t="s">
        <v>371</v>
      </c>
      <c r="E285" s="9">
        <f t="shared" si="268"/>
        <v>17.241379310344826</v>
      </c>
      <c r="F285" s="10">
        <v>2</v>
      </c>
      <c r="G285" s="18">
        <v>116</v>
      </c>
      <c r="H285" s="18">
        <f t="shared" ref="H285:I285" si="297">F285/5</f>
        <v>0.4</v>
      </c>
      <c r="I285" s="18">
        <f t="shared" si="297"/>
        <v>23.2</v>
      </c>
      <c r="J285" s="32"/>
    </row>
    <row r="286" spans="1:10" ht="15.75" customHeight="1">
      <c r="A286" s="7">
        <v>70901</v>
      </c>
      <c r="B286" s="8" t="s">
        <v>27</v>
      </c>
      <c r="C286" s="8" t="s">
        <v>372</v>
      </c>
      <c r="D286" s="8" t="s">
        <v>373</v>
      </c>
      <c r="E286" s="9">
        <f t="shared" si="268"/>
        <v>19.718309859154932</v>
      </c>
      <c r="F286" s="10">
        <v>14</v>
      </c>
      <c r="G286" s="18">
        <v>710</v>
      </c>
      <c r="H286" s="18">
        <f t="shared" ref="H286:I286" si="298">F286/5</f>
        <v>2.8</v>
      </c>
      <c r="I286" s="18">
        <f t="shared" si="298"/>
        <v>142</v>
      </c>
      <c r="J286" s="32"/>
    </row>
    <row r="287" spans="1:10" ht="15.75" customHeight="1">
      <c r="A287" s="7">
        <v>70902</v>
      </c>
      <c r="B287" s="8" t="s">
        <v>27</v>
      </c>
      <c r="C287" s="8" t="s">
        <v>372</v>
      </c>
      <c r="D287" s="8" t="s">
        <v>374</v>
      </c>
      <c r="E287" s="9">
        <f t="shared" si="268"/>
        <v>12.064343163538874</v>
      </c>
      <c r="F287" s="10">
        <v>9</v>
      </c>
      <c r="G287" s="18">
        <v>746</v>
      </c>
      <c r="H287" s="18">
        <f t="shared" ref="H287:I287" si="299">F287/5</f>
        <v>1.8</v>
      </c>
      <c r="I287" s="18">
        <f t="shared" si="299"/>
        <v>149.19999999999999</v>
      </c>
      <c r="J287" s="32"/>
    </row>
    <row r="288" spans="1:10" ht="15.75" customHeight="1">
      <c r="A288" s="7">
        <v>70903</v>
      </c>
      <c r="B288" s="8" t="s">
        <v>27</v>
      </c>
      <c r="C288" s="8" t="s">
        <v>372</v>
      </c>
      <c r="D288" s="8" t="s">
        <v>375</v>
      </c>
      <c r="E288" s="9">
        <f t="shared" si="268"/>
        <v>13.993541442411194</v>
      </c>
      <c r="F288" s="10">
        <v>13</v>
      </c>
      <c r="G288" s="18">
        <v>929</v>
      </c>
      <c r="H288" s="18">
        <f t="shared" ref="H288:I288" si="300">F288/5</f>
        <v>2.6</v>
      </c>
      <c r="I288" s="18">
        <f t="shared" si="300"/>
        <v>185.8</v>
      </c>
      <c r="J288" s="32"/>
    </row>
    <row r="289" spans="1:10" ht="15.75" customHeight="1">
      <c r="A289" s="7">
        <v>70904</v>
      </c>
      <c r="B289" s="8" t="s">
        <v>27</v>
      </c>
      <c r="C289" s="8" t="s">
        <v>372</v>
      </c>
      <c r="D289" s="8" t="s">
        <v>376</v>
      </c>
      <c r="E289" s="9">
        <f t="shared" si="268"/>
        <v>13.245033112582782</v>
      </c>
      <c r="F289" s="10">
        <v>2</v>
      </c>
      <c r="G289" s="18">
        <v>151</v>
      </c>
      <c r="H289" s="18">
        <f t="shared" ref="H289:I289" si="301">F289/5</f>
        <v>0.4</v>
      </c>
      <c r="I289" s="18">
        <f t="shared" si="301"/>
        <v>30.2</v>
      </c>
      <c r="J289" s="32"/>
    </row>
    <row r="290" spans="1:10" ht="15.75" customHeight="1">
      <c r="A290" s="7">
        <v>71001</v>
      </c>
      <c r="B290" s="8" t="s">
        <v>27</v>
      </c>
      <c r="C290" s="8" t="s">
        <v>377</v>
      </c>
      <c r="D290" s="8" t="s">
        <v>378</v>
      </c>
      <c r="E290" s="9">
        <f t="shared" si="268"/>
        <v>12.406675450153712</v>
      </c>
      <c r="F290" s="10">
        <v>113</v>
      </c>
      <c r="G290" s="18">
        <v>9108</v>
      </c>
      <c r="H290" s="18">
        <f t="shared" ref="H290:I290" si="302">F290/5</f>
        <v>22.6</v>
      </c>
      <c r="I290" s="18">
        <f t="shared" si="302"/>
        <v>1821.6</v>
      </c>
      <c r="J290" s="32"/>
    </row>
    <row r="291" spans="1:10" ht="15.75" customHeight="1">
      <c r="A291" s="7">
        <v>71002</v>
      </c>
      <c r="B291" s="8" t="s">
        <v>27</v>
      </c>
      <c r="C291" s="8" t="s">
        <v>377</v>
      </c>
      <c r="D291" s="8" t="s">
        <v>379</v>
      </c>
      <c r="E291" s="9">
        <f t="shared" si="268"/>
        <v>15.58846453624318</v>
      </c>
      <c r="F291" s="10">
        <v>20</v>
      </c>
      <c r="G291" s="18">
        <v>1283</v>
      </c>
      <c r="H291" s="18">
        <f t="shared" ref="H291:I291" si="303">F291/5</f>
        <v>4</v>
      </c>
      <c r="I291" s="18">
        <f t="shared" si="303"/>
        <v>256.60000000000002</v>
      </c>
      <c r="J291" s="32"/>
    </row>
    <row r="292" spans="1:10" ht="15.75" customHeight="1">
      <c r="A292" s="7">
        <v>71003</v>
      </c>
      <c r="B292" s="8" t="s">
        <v>27</v>
      </c>
      <c r="C292" s="8" t="s">
        <v>377</v>
      </c>
      <c r="D292" s="8" t="s">
        <v>380</v>
      </c>
      <c r="E292" s="9">
        <f t="shared" si="268"/>
        <v>19.086176980913823</v>
      </c>
      <c r="F292" s="10">
        <v>33</v>
      </c>
      <c r="G292" s="18">
        <v>1729</v>
      </c>
      <c r="H292" s="18">
        <f t="shared" ref="H292:I292" si="304">F292/5</f>
        <v>6.6</v>
      </c>
      <c r="I292" s="18">
        <f t="shared" si="304"/>
        <v>345.8</v>
      </c>
      <c r="J292" s="32"/>
    </row>
    <row r="293" spans="1:10" ht="15.75" customHeight="1">
      <c r="A293" s="7">
        <v>71004</v>
      </c>
      <c r="B293" s="8" t="s">
        <v>27</v>
      </c>
      <c r="C293" s="8" t="s">
        <v>377</v>
      </c>
      <c r="D293" s="8" t="s">
        <v>381</v>
      </c>
      <c r="E293" s="9">
        <f t="shared" si="268"/>
        <v>20.181634712411707</v>
      </c>
      <c r="F293" s="10">
        <v>20</v>
      </c>
      <c r="G293" s="18">
        <v>991</v>
      </c>
      <c r="H293" s="18">
        <f t="shared" ref="H293:I293" si="305">F293/5</f>
        <v>4</v>
      </c>
      <c r="I293" s="18">
        <f t="shared" si="305"/>
        <v>198.2</v>
      </c>
      <c r="J293" s="32"/>
    </row>
    <row r="294" spans="1:10" ht="15.75" customHeight="1">
      <c r="A294" s="7">
        <v>71005</v>
      </c>
      <c r="B294" s="8" t="s">
        <v>27</v>
      </c>
      <c r="C294" s="8" t="s">
        <v>377</v>
      </c>
      <c r="D294" s="8" t="s">
        <v>382</v>
      </c>
      <c r="E294" s="9">
        <f t="shared" si="268"/>
        <v>9.1930541368743608</v>
      </c>
      <c r="F294" s="10">
        <v>9</v>
      </c>
      <c r="G294" s="18">
        <v>979</v>
      </c>
      <c r="H294" s="18">
        <f t="shared" ref="H294:I294" si="306">F294/5</f>
        <v>1.8</v>
      </c>
      <c r="I294" s="18">
        <f t="shared" si="306"/>
        <v>195.8</v>
      </c>
      <c r="J294" s="32"/>
    </row>
    <row r="295" spans="1:10" ht="15.75" customHeight="1">
      <c r="A295" s="7">
        <v>71101</v>
      </c>
      <c r="B295" s="8" t="s">
        <v>27</v>
      </c>
      <c r="C295" s="8" t="s">
        <v>383</v>
      </c>
      <c r="D295" s="8" t="s">
        <v>384</v>
      </c>
      <c r="E295" s="9">
        <f t="shared" si="268"/>
        <v>24.349979364424264</v>
      </c>
      <c r="F295" s="10">
        <v>59</v>
      </c>
      <c r="G295" s="18">
        <v>2423</v>
      </c>
      <c r="H295" s="18">
        <f t="shared" ref="H295:I295" si="307">F295/5</f>
        <v>11.8</v>
      </c>
      <c r="I295" s="18">
        <f t="shared" si="307"/>
        <v>484.6</v>
      </c>
      <c r="J295" s="32"/>
    </row>
    <row r="296" spans="1:10" ht="15.75" customHeight="1">
      <c r="A296" s="7">
        <v>71102</v>
      </c>
      <c r="B296" s="8" t="s">
        <v>27</v>
      </c>
      <c r="C296" s="8" t="s">
        <v>383</v>
      </c>
      <c r="D296" s="8" t="s">
        <v>385</v>
      </c>
      <c r="E296" s="9">
        <f t="shared" si="268"/>
        <v>38.154392191659277</v>
      </c>
      <c r="F296" s="10">
        <v>43</v>
      </c>
      <c r="G296" s="18">
        <v>1127</v>
      </c>
      <c r="H296" s="18">
        <f t="shared" ref="H296:I296" si="308">F296/5</f>
        <v>8.6</v>
      </c>
      <c r="I296" s="18">
        <f t="shared" si="308"/>
        <v>225.4</v>
      </c>
      <c r="J296" s="32"/>
    </row>
    <row r="297" spans="1:10" ht="15.75" customHeight="1">
      <c r="A297" s="7">
        <v>71103</v>
      </c>
      <c r="B297" s="8" t="s">
        <v>27</v>
      </c>
      <c r="C297" s="8" t="s">
        <v>383</v>
      </c>
      <c r="D297" s="8" t="s">
        <v>386</v>
      </c>
      <c r="E297" s="9">
        <f t="shared" si="268"/>
        <v>12.288786482334869</v>
      </c>
      <c r="F297" s="10">
        <v>8</v>
      </c>
      <c r="G297" s="18">
        <v>651</v>
      </c>
      <c r="H297" s="18">
        <f t="shared" ref="H297:I297" si="309">F297/5</f>
        <v>1.6</v>
      </c>
      <c r="I297" s="18">
        <f t="shared" si="309"/>
        <v>130.19999999999999</v>
      </c>
      <c r="J297" s="32"/>
    </row>
    <row r="298" spans="1:10" ht="15.75" customHeight="1">
      <c r="A298" s="7">
        <v>71104</v>
      </c>
      <c r="B298" s="8" t="s">
        <v>27</v>
      </c>
      <c r="C298" s="8" t="s">
        <v>383</v>
      </c>
      <c r="D298" s="8" t="s">
        <v>387</v>
      </c>
      <c r="E298" s="9">
        <f t="shared" si="268"/>
        <v>17.331022530329289</v>
      </c>
      <c r="F298" s="10">
        <v>60</v>
      </c>
      <c r="G298" s="18">
        <v>3462</v>
      </c>
      <c r="H298" s="18">
        <f t="shared" ref="H298:I298" si="310">F298/5</f>
        <v>12</v>
      </c>
      <c r="I298" s="18">
        <f t="shared" si="310"/>
        <v>692.4</v>
      </c>
      <c r="J298" s="32"/>
    </row>
    <row r="299" spans="1:10" ht="15.75" customHeight="1">
      <c r="A299" s="7">
        <v>71105</v>
      </c>
      <c r="B299" s="8" t="s">
        <v>27</v>
      </c>
      <c r="C299" s="8" t="s">
        <v>383</v>
      </c>
      <c r="D299" s="8" t="s">
        <v>388</v>
      </c>
      <c r="E299" s="9">
        <f t="shared" si="268"/>
        <v>15.779092702169626</v>
      </c>
      <c r="F299" s="10">
        <v>8</v>
      </c>
      <c r="G299" s="18">
        <v>507</v>
      </c>
      <c r="H299" s="18">
        <f t="shared" ref="H299:I299" si="311">F299/5</f>
        <v>1.6</v>
      </c>
      <c r="I299" s="18">
        <f t="shared" si="311"/>
        <v>101.4</v>
      </c>
      <c r="J299" s="32"/>
    </row>
    <row r="300" spans="1:10" ht="15.75" customHeight="1">
      <c r="A300" s="7">
        <v>71106</v>
      </c>
      <c r="B300" s="8" t="s">
        <v>27</v>
      </c>
      <c r="C300" s="8" t="s">
        <v>383</v>
      </c>
      <c r="D300" s="8" t="s">
        <v>389</v>
      </c>
      <c r="E300" s="9">
        <f t="shared" si="268"/>
        <v>16.707616707616705</v>
      </c>
      <c r="F300" s="10">
        <v>34</v>
      </c>
      <c r="G300" s="18">
        <v>2035</v>
      </c>
      <c r="H300" s="18">
        <f t="shared" ref="H300:I300" si="312">F300/5</f>
        <v>6.8</v>
      </c>
      <c r="I300" s="18">
        <f t="shared" si="312"/>
        <v>407</v>
      </c>
      <c r="J300" s="32"/>
    </row>
    <row r="301" spans="1:10" ht="15.75" customHeight="1">
      <c r="A301" s="7">
        <v>71201</v>
      </c>
      <c r="B301" s="8" t="s">
        <v>27</v>
      </c>
      <c r="C301" s="8" t="s">
        <v>390</v>
      </c>
      <c r="D301" s="8" t="s">
        <v>391</v>
      </c>
      <c r="E301" s="9">
        <f t="shared" si="268"/>
        <v>12.678288431061807</v>
      </c>
      <c r="F301" s="10">
        <v>16</v>
      </c>
      <c r="G301" s="18">
        <v>1262</v>
      </c>
      <c r="H301" s="18">
        <f t="shared" ref="H301:I301" si="313">F301/5</f>
        <v>3.2</v>
      </c>
      <c r="I301" s="18">
        <f t="shared" si="313"/>
        <v>252.4</v>
      </c>
      <c r="J301" s="32"/>
    </row>
    <row r="302" spans="1:10" ht="15.75" customHeight="1">
      <c r="A302" s="7">
        <v>71301</v>
      </c>
      <c r="B302" s="8" t="s">
        <v>27</v>
      </c>
      <c r="C302" s="8" t="s">
        <v>392</v>
      </c>
      <c r="D302" s="8" t="s">
        <v>393</v>
      </c>
      <c r="E302" s="9">
        <f t="shared" si="268"/>
        <v>24.4299674267101</v>
      </c>
      <c r="F302" s="10">
        <v>30</v>
      </c>
      <c r="G302" s="18">
        <v>1228</v>
      </c>
      <c r="H302" s="18">
        <f t="shared" ref="H302:I302" si="314">F302/5</f>
        <v>6</v>
      </c>
      <c r="I302" s="18">
        <f t="shared" si="314"/>
        <v>245.6</v>
      </c>
      <c r="J302" s="32"/>
    </row>
    <row r="303" spans="1:10" ht="15.75" customHeight="1">
      <c r="A303" s="7">
        <v>71302</v>
      </c>
      <c r="B303" s="8" t="s">
        <v>27</v>
      </c>
      <c r="C303" s="8" t="s">
        <v>392</v>
      </c>
      <c r="D303" s="8" t="s">
        <v>394</v>
      </c>
      <c r="E303" s="9">
        <f t="shared" si="268"/>
        <v>11.655011655011656</v>
      </c>
      <c r="F303" s="10">
        <v>5</v>
      </c>
      <c r="G303" s="18">
        <v>429</v>
      </c>
      <c r="H303" s="18">
        <f t="shared" ref="H303:I303" si="315">F303/5</f>
        <v>1</v>
      </c>
      <c r="I303" s="18">
        <f t="shared" si="315"/>
        <v>85.8</v>
      </c>
      <c r="J303" s="32"/>
    </row>
    <row r="304" spans="1:10" ht="15.75" customHeight="1">
      <c r="A304" s="7">
        <v>71401</v>
      </c>
      <c r="B304" s="8" t="s">
        <v>27</v>
      </c>
      <c r="C304" s="8" t="s">
        <v>395</v>
      </c>
      <c r="D304" s="8" t="s">
        <v>396</v>
      </c>
      <c r="E304" s="9">
        <f t="shared" si="268"/>
        <v>16.423357664233578</v>
      </c>
      <c r="F304" s="10">
        <v>18</v>
      </c>
      <c r="G304" s="18">
        <v>1096</v>
      </c>
      <c r="H304" s="18">
        <f t="shared" ref="H304:I304" si="316">F304/5</f>
        <v>3.6</v>
      </c>
      <c r="I304" s="18">
        <f t="shared" si="316"/>
        <v>219.2</v>
      </c>
      <c r="J304" s="32"/>
    </row>
    <row r="305" spans="1:10" ht="15.75" customHeight="1">
      <c r="A305" s="7">
        <v>71402</v>
      </c>
      <c r="B305" s="8" t="s">
        <v>27</v>
      </c>
      <c r="C305" s="8" t="s">
        <v>395</v>
      </c>
      <c r="D305" s="8" t="s">
        <v>397</v>
      </c>
      <c r="E305" s="9">
        <f t="shared" si="268"/>
        <v>13.168724279835391</v>
      </c>
      <c r="F305" s="10">
        <v>16</v>
      </c>
      <c r="G305" s="18">
        <v>1215</v>
      </c>
      <c r="H305" s="18">
        <f t="shared" ref="H305:I305" si="317">F305/5</f>
        <v>3.2</v>
      </c>
      <c r="I305" s="18">
        <f t="shared" si="317"/>
        <v>243</v>
      </c>
      <c r="J305" s="32"/>
    </row>
    <row r="306" spans="1:10" ht="15.75" customHeight="1">
      <c r="A306" s="7">
        <v>71403</v>
      </c>
      <c r="B306" s="8" t="s">
        <v>27</v>
      </c>
      <c r="C306" s="8" t="s">
        <v>395</v>
      </c>
      <c r="D306" s="8" t="s">
        <v>398</v>
      </c>
      <c r="E306" s="9">
        <f t="shared" si="268"/>
        <v>27.950310559006212</v>
      </c>
      <c r="F306" s="10">
        <v>18</v>
      </c>
      <c r="G306" s="18">
        <v>644</v>
      </c>
      <c r="H306" s="18">
        <f t="shared" ref="H306:I306" si="318">F306/5</f>
        <v>3.6</v>
      </c>
      <c r="I306" s="18">
        <f t="shared" si="318"/>
        <v>128.80000000000001</v>
      </c>
      <c r="J306" s="32"/>
    </row>
    <row r="307" spans="1:10" ht="15.75" customHeight="1">
      <c r="A307" s="7">
        <v>71501</v>
      </c>
      <c r="B307" s="8" t="s">
        <v>27</v>
      </c>
      <c r="C307" s="8" t="s">
        <v>399</v>
      </c>
      <c r="D307" s="8" t="s">
        <v>400</v>
      </c>
      <c r="E307" s="9">
        <f t="shared" si="268"/>
        <v>23.246951219512194</v>
      </c>
      <c r="F307" s="10">
        <v>61</v>
      </c>
      <c r="G307" s="18">
        <v>2624</v>
      </c>
      <c r="H307" s="18">
        <f t="shared" ref="H307:I307" si="319">F307/5</f>
        <v>12.2</v>
      </c>
      <c r="I307" s="18">
        <f t="shared" si="319"/>
        <v>524.79999999999995</v>
      </c>
      <c r="J307" s="32"/>
    </row>
    <row r="308" spans="1:10" ht="15.75" customHeight="1">
      <c r="A308" s="7">
        <v>71502</v>
      </c>
      <c r="B308" s="8" t="s">
        <v>27</v>
      </c>
      <c r="C308" s="8" t="s">
        <v>399</v>
      </c>
      <c r="D308" s="8" t="s">
        <v>401</v>
      </c>
      <c r="E308" s="9">
        <f t="shared" si="268"/>
        <v>45.081967213114758</v>
      </c>
      <c r="F308" s="10">
        <v>22</v>
      </c>
      <c r="G308" s="18">
        <v>488</v>
      </c>
      <c r="H308" s="18">
        <f t="shared" ref="H308:I308" si="320">F308/5</f>
        <v>4.4000000000000004</v>
      </c>
      <c r="I308" s="18">
        <f t="shared" si="320"/>
        <v>97.6</v>
      </c>
      <c r="J308" s="32"/>
    </row>
    <row r="309" spans="1:10" ht="15.75" customHeight="1">
      <c r="A309" s="7">
        <v>71503</v>
      </c>
      <c r="B309" s="8" t="s">
        <v>27</v>
      </c>
      <c r="C309" s="8" t="s">
        <v>399</v>
      </c>
      <c r="D309" s="8" t="s">
        <v>332</v>
      </c>
      <c r="E309" s="9">
        <f t="shared" si="268"/>
        <v>17.13796058269066</v>
      </c>
      <c r="F309" s="10">
        <v>20</v>
      </c>
      <c r="G309" s="18">
        <v>1167</v>
      </c>
      <c r="H309" s="18">
        <f t="shared" ref="H309:I309" si="321">F309/5</f>
        <v>4</v>
      </c>
      <c r="I309" s="18">
        <f t="shared" si="321"/>
        <v>233.4</v>
      </c>
      <c r="J309" s="32"/>
    </row>
    <row r="310" spans="1:10" ht="15.75" customHeight="1">
      <c r="A310" s="7">
        <v>80101</v>
      </c>
      <c r="B310" s="8" t="s">
        <v>29</v>
      </c>
      <c r="C310" s="8" t="s">
        <v>164</v>
      </c>
      <c r="D310" s="8" t="s">
        <v>402</v>
      </c>
      <c r="E310" s="9">
        <f t="shared" si="268"/>
        <v>12.325768920631264</v>
      </c>
      <c r="F310" s="10">
        <v>107</v>
      </c>
      <c r="G310" s="18">
        <v>8681</v>
      </c>
      <c r="H310" s="18">
        <f t="shared" ref="H310:I310" si="322">F310/5</f>
        <v>21.4</v>
      </c>
      <c r="I310" s="18">
        <f t="shared" si="322"/>
        <v>1736.2</v>
      </c>
      <c r="J310" s="32"/>
    </row>
    <row r="311" spans="1:10" ht="15.75" customHeight="1">
      <c r="A311" s="7">
        <v>80102</v>
      </c>
      <c r="B311" s="8" t="s">
        <v>29</v>
      </c>
      <c r="C311" s="8" t="s">
        <v>164</v>
      </c>
      <c r="D311" s="8" t="s">
        <v>385</v>
      </c>
      <c r="E311" s="9">
        <f t="shared" si="268"/>
        <v>19.298245614035089</v>
      </c>
      <c r="F311" s="10">
        <v>11</v>
      </c>
      <c r="G311" s="18">
        <v>570</v>
      </c>
      <c r="H311" s="18">
        <f t="shared" ref="H311:I311" si="323">F311/5</f>
        <v>2.2000000000000002</v>
      </c>
      <c r="I311" s="18">
        <f t="shared" si="323"/>
        <v>114</v>
      </c>
      <c r="J311" s="32"/>
    </row>
    <row r="312" spans="1:10" ht="15.75" customHeight="1">
      <c r="A312" s="7">
        <v>80201</v>
      </c>
      <c r="B312" s="8" t="s">
        <v>29</v>
      </c>
      <c r="C312" s="8" t="s">
        <v>403</v>
      </c>
      <c r="D312" s="8" t="s">
        <v>404</v>
      </c>
      <c r="E312" s="9">
        <f t="shared" si="268"/>
        <v>18.274346518621329</v>
      </c>
      <c r="F312" s="10">
        <v>158</v>
      </c>
      <c r="G312" s="18">
        <v>8646</v>
      </c>
      <c r="H312" s="18">
        <f t="shared" ref="H312:I312" si="324">F312/5</f>
        <v>31.6</v>
      </c>
      <c r="I312" s="18">
        <f t="shared" si="324"/>
        <v>1729.2</v>
      </c>
      <c r="J312" s="32"/>
    </row>
    <row r="313" spans="1:10" ht="15.75" customHeight="1">
      <c r="A313" s="7">
        <v>80202</v>
      </c>
      <c r="B313" s="8" t="s">
        <v>29</v>
      </c>
      <c r="C313" s="8" t="s">
        <v>403</v>
      </c>
      <c r="D313" s="8" t="s">
        <v>405</v>
      </c>
      <c r="E313" s="9">
        <f t="shared" si="268"/>
        <v>14.809828340626051</v>
      </c>
      <c r="F313" s="10">
        <v>44</v>
      </c>
      <c r="G313" s="18">
        <v>2971</v>
      </c>
      <c r="H313" s="18">
        <f t="shared" ref="H313:I313" si="325">F313/5</f>
        <v>8.8000000000000007</v>
      </c>
      <c r="I313" s="18">
        <f t="shared" si="325"/>
        <v>594.20000000000005</v>
      </c>
      <c r="J313" s="32"/>
    </row>
    <row r="314" spans="1:10" ht="15.75" customHeight="1">
      <c r="A314" s="7">
        <v>80301</v>
      </c>
      <c r="B314" s="8" t="s">
        <v>29</v>
      </c>
      <c r="C314" s="8" t="s">
        <v>406</v>
      </c>
      <c r="D314" s="8" t="s">
        <v>407</v>
      </c>
      <c r="E314" s="9">
        <f t="shared" si="268"/>
        <v>22.925764192139738</v>
      </c>
      <c r="F314" s="10">
        <v>21</v>
      </c>
      <c r="G314" s="18">
        <v>916</v>
      </c>
      <c r="H314" s="18">
        <f t="shared" ref="H314:I314" si="326">F314/5</f>
        <v>4.2</v>
      </c>
      <c r="I314" s="18">
        <f t="shared" si="326"/>
        <v>183.2</v>
      </c>
      <c r="J314" s="32"/>
    </row>
    <row r="315" spans="1:10" ht="15.75" customHeight="1">
      <c r="A315" s="7">
        <v>80302</v>
      </c>
      <c r="B315" s="8" t="s">
        <v>29</v>
      </c>
      <c r="C315" s="8" t="s">
        <v>406</v>
      </c>
      <c r="D315" s="8" t="s">
        <v>408</v>
      </c>
      <c r="E315" s="9">
        <f t="shared" si="268"/>
        <v>28.253192067372996</v>
      </c>
      <c r="F315" s="10">
        <v>104</v>
      </c>
      <c r="G315" s="18">
        <v>3681</v>
      </c>
      <c r="H315" s="18">
        <f t="shared" ref="H315:I315" si="327">F315/5</f>
        <v>20.8</v>
      </c>
      <c r="I315" s="18">
        <f t="shared" si="327"/>
        <v>736.2</v>
      </c>
      <c r="J315" s="32"/>
    </row>
    <row r="316" spans="1:10" ht="15.75" customHeight="1">
      <c r="A316" s="7">
        <v>80303</v>
      </c>
      <c r="B316" s="8" t="s">
        <v>29</v>
      </c>
      <c r="C316" s="8" t="s">
        <v>406</v>
      </c>
      <c r="D316" s="8" t="s">
        <v>409</v>
      </c>
      <c r="E316" s="9">
        <f t="shared" si="268"/>
        <v>14.623172103487065</v>
      </c>
      <c r="F316" s="10">
        <v>13</v>
      </c>
      <c r="G316" s="18">
        <v>889</v>
      </c>
      <c r="H316" s="18">
        <f t="shared" ref="H316:I316" si="328">F316/5</f>
        <v>2.6</v>
      </c>
      <c r="I316" s="18">
        <f t="shared" si="328"/>
        <v>177.8</v>
      </c>
      <c r="J316" s="32"/>
    </row>
    <row r="317" spans="1:10" ht="15.75" customHeight="1">
      <c r="A317" s="7">
        <v>80304</v>
      </c>
      <c r="B317" s="8" t="s">
        <v>29</v>
      </c>
      <c r="C317" s="8" t="s">
        <v>406</v>
      </c>
      <c r="D317" s="8" t="s">
        <v>410</v>
      </c>
      <c r="E317" s="9">
        <f t="shared" si="268"/>
        <v>22.754491017964074</v>
      </c>
      <c r="F317" s="10">
        <v>38</v>
      </c>
      <c r="G317" s="18">
        <v>1670</v>
      </c>
      <c r="H317" s="18">
        <f t="shared" ref="H317:I317" si="329">F317/5</f>
        <v>7.6</v>
      </c>
      <c r="I317" s="18">
        <f t="shared" si="329"/>
        <v>334</v>
      </c>
      <c r="J317" s="32"/>
    </row>
    <row r="318" spans="1:10" ht="15.75" customHeight="1">
      <c r="A318" s="7">
        <v>80401</v>
      </c>
      <c r="B318" s="8" t="s">
        <v>29</v>
      </c>
      <c r="C318" s="8" t="s">
        <v>411</v>
      </c>
      <c r="D318" s="8" t="s">
        <v>412</v>
      </c>
      <c r="E318" s="9">
        <f t="shared" si="268"/>
        <v>11.347517730496454</v>
      </c>
      <c r="F318" s="10">
        <v>16</v>
      </c>
      <c r="G318" s="18">
        <v>1410</v>
      </c>
      <c r="H318" s="18">
        <f t="shared" ref="H318:I318" si="330">F318/5</f>
        <v>3.2</v>
      </c>
      <c r="I318" s="18">
        <f t="shared" si="330"/>
        <v>282</v>
      </c>
      <c r="J318" s="32"/>
    </row>
    <row r="319" spans="1:10" ht="15.75" customHeight="1">
      <c r="A319" s="7">
        <v>80402</v>
      </c>
      <c r="B319" s="8" t="s">
        <v>29</v>
      </c>
      <c r="C319" s="8" t="s">
        <v>411</v>
      </c>
      <c r="D319" s="8" t="s">
        <v>413</v>
      </c>
      <c r="E319" s="9">
        <f t="shared" si="268"/>
        <v>9.8039215686274517</v>
      </c>
      <c r="F319" s="10">
        <v>5</v>
      </c>
      <c r="G319" s="18">
        <v>510</v>
      </c>
      <c r="H319" s="18">
        <f t="shared" ref="H319:I319" si="331">F319/5</f>
        <v>1</v>
      </c>
      <c r="I319" s="18">
        <f t="shared" si="331"/>
        <v>102</v>
      </c>
      <c r="J319" s="32"/>
    </row>
    <row r="320" spans="1:10" ht="15.75" customHeight="1">
      <c r="A320" s="7">
        <v>80501</v>
      </c>
      <c r="B320" s="8" t="s">
        <v>29</v>
      </c>
      <c r="C320" s="8" t="s">
        <v>414</v>
      </c>
      <c r="D320" s="8" t="s">
        <v>415</v>
      </c>
      <c r="E320" s="9">
        <f t="shared" si="268"/>
        <v>24.170882518268691</v>
      </c>
      <c r="F320" s="10">
        <v>43</v>
      </c>
      <c r="G320" s="18">
        <v>1779</v>
      </c>
      <c r="H320" s="18">
        <f t="shared" ref="H320:I320" si="332">F320/5</f>
        <v>8.6</v>
      </c>
      <c r="I320" s="18">
        <f t="shared" si="332"/>
        <v>355.8</v>
      </c>
      <c r="J320" s="32"/>
    </row>
    <row r="321" spans="1:10" ht="15.75" customHeight="1">
      <c r="A321" s="7">
        <v>80601</v>
      </c>
      <c r="B321" s="8" t="s">
        <v>29</v>
      </c>
      <c r="C321" s="8" t="s">
        <v>416</v>
      </c>
      <c r="D321" s="8" t="s">
        <v>417</v>
      </c>
      <c r="E321" s="9">
        <f t="shared" si="268"/>
        <v>20.588235294117649</v>
      </c>
      <c r="F321" s="10">
        <v>7</v>
      </c>
      <c r="G321" s="18">
        <v>340</v>
      </c>
      <c r="H321" s="18">
        <f t="shared" ref="H321:I321" si="333">F321/5</f>
        <v>1.4</v>
      </c>
      <c r="I321" s="18">
        <f t="shared" si="333"/>
        <v>68</v>
      </c>
      <c r="J321" s="32"/>
    </row>
    <row r="322" spans="1:10" ht="15.75" customHeight="1">
      <c r="A322" s="7">
        <v>80602</v>
      </c>
      <c r="B322" s="8" t="s">
        <v>29</v>
      </c>
      <c r="C322" s="8" t="s">
        <v>416</v>
      </c>
      <c r="D322" s="8" t="s">
        <v>418</v>
      </c>
      <c r="E322" s="9">
        <f t="shared" si="268"/>
        <v>23.360287511230908</v>
      </c>
      <c r="F322" s="10">
        <v>26</v>
      </c>
      <c r="G322" s="18">
        <v>1113</v>
      </c>
      <c r="H322" s="18">
        <f t="shared" ref="H322:I322" si="334">F322/5</f>
        <v>5.2</v>
      </c>
      <c r="I322" s="18">
        <f t="shared" si="334"/>
        <v>222.6</v>
      </c>
      <c r="J322" s="32"/>
    </row>
    <row r="323" spans="1:10" ht="15.75" customHeight="1">
      <c r="A323" s="7">
        <v>80701</v>
      </c>
      <c r="B323" s="8" t="s">
        <v>29</v>
      </c>
      <c r="C323" s="8" t="s">
        <v>419</v>
      </c>
      <c r="D323" s="8" t="s">
        <v>420</v>
      </c>
      <c r="E323" s="9">
        <f t="shared" si="268"/>
        <v>11.135857461024498</v>
      </c>
      <c r="F323" s="10">
        <v>5</v>
      </c>
      <c r="G323" s="18">
        <v>449</v>
      </c>
      <c r="H323" s="18">
        <f t="shared" ref="H323:I323" si="335">F323/5</f>
        <v>1</v>
      </c>
      <c r="I323" s="18">
        <f t="shared" si="335"/>
        <v>89.8</v>
      </c>
      <c r="J323" s="32"/>
    </row>
    <row r="324" spans="1:10" ht="15.75" customHeight="1">
      <c r="A324" s="7">
        <v>80702</v>
      </c>
      <c r="B324" s="8" t="s">
        <v>29</v>
      </c>
      <c r="C324" s="8" t="s">
        <v>419</v>
      </c>
      <c r="D324" s="8" t="s">
        <v>386</v>
      </c>
      <c r="E324" s="9">
        <f t="shared" si="268"/>
        <v>12.987012987012989</v>
      </c>
      <c r="F324" s="10">
        <v>5</v>
      </c>
      <c r="G324" s="18">
        <v>385</v>
      </c>
      <c r="H324" s="18">
        <f t="shared" ref="H324:I324" si="336">F324/5</f>
        <v>1</v>
      </c>
      <c r="I324" s="18">
        <f t="shared" si="336"/>
        <v>77</v>
      </c>
      <c r="J324" s="32"/>
    </row>
    <row r="325" spans="1:10" ht="15.75" customHeight="1">
      <c r="A325" s="7">
        <v>80703</v>
      </c>
      <c r="B325" s="8" t="s">
        <v>29</v>
      </c>
      <c r="C325" s="8" t="s">
        <v>419</v>
      </c>
      <c r="D325" s="8" t="s">
        <v>421</v>
      </c>
      <c r="E325" s="9">
        <f t="shared" si="268"/>
        <v>0</v>
      </c>
      <c r="F325" s="10">
        <v>0</v>
      </c>
      <c r="G325" s="18">
        <v>92</v>
      </c>
      <c r="H325" s="18">
        <f t="shared" ref="H325:I325" si="337">F325/5</f>
        <v>0</v>
      </c>
      <c r="I325" s="18">
        <f t="shared" si="337"/>
        <v>18.399999999999999</v>
      </c>
      <c r="J325" s="32"/>
    </row>
    <row r="326" spans="1:10" ht="15.75" customHeight="1">
      <c r="A326" s="7">
        <v>80801</v>
      </c>
      <c r="B326" s="8" t="s">
        <v>29</v>
      </c>
      <c r="C326" s="8" t="s">
        <v>422</v>
      </c>
      <c r="D326" s="8" t="s">
        <v>423</v>
      </c>
      <c r="E326" s="9">
        <f t="shared" si="268"/>
        <v>13.143483023001094</v>
      </c>
      <c r="F326" s="10">
        <v>12</v>
      </c>
      <c r="G326" s="18">
        <v>913</v>
      </c>
      <c r="H326" s="18">
        <f t="shared" ref="H326:I326" si="338">F326/5</f>
        <v>2.4</v>
      </c>
      <c r="I326" s="18">
        <f t="shared" si="338"/>
        <v>182.6</v>
      </c>
      <c r="J326" s="32"/>
    </row>
    <row r="327" spans="1:10" ht="15.75" customHeight="1">
      <c r="A327" s="7">
        <v>80802</v>
      </c>
      <c r="B327" s="8" t="s">
        <v>29</v>
      </c>
      <c r="C327" s="8" t="s">
        <v>422</v>
      </c>
      <c r="D327" s="8" t="s">
        <v>424</v>
      </c>
      <c r="E327" s="9">
        <f t="shared" si="268"/>
        <v>19.607843137254903</v>
      </c>
      <c r="F327" s="10">
        <v>9</v>
      </c>
      <c r="G327" s="18">
        <v>459</v>
      </c>
      <c r="H327" s="18">
        <f t="shared" ref="H327:I327" si="339">F327/5</f>
        <v>1.8</v>
      </c>
      <c r="I327" s="18">
        <f t="shared" si="339"/>
        <v>91.8</v>
      </c>
      <c r="J327" s="32"/>
    </row>
    <row r="328" spans="1:10" ht="15.75" customHeight="1">
      <c r="A328" s="7">
        <v>80803</v>
      </c>
      <c r="B328" s="8" t="s">
        <v>29</v>
      </c>
      <c r="C328" s="8" t="s">
        <v>422</v>
      </c>
      <c r="D328" s="8" t="s">
        <v>425</v>
      </c>
      <c r="E328" s="9">
        <f t="shared" si="268"/>
        <v>9.1185410334346493</v>
      </c>
      <c r="F328" s="10">
        <v>3</v>
      </c>
      <c r="G328" s="18">
        <v>329</v>
      </c>
      <c r="H328" s="18">
        <f t="shared" ref="H328:I328" si="340">F328/5</f>
        <v>0.6</v>
      </c>
      <c r="I328" s="18">
        <f t="shared" si="340"/>
        <v>65.8</v>
      </c>
      <c r="J328" s="32"/>
    </row>
    <row r="329" spans="1:10" ht="15.75" customHeight="1">
      <c r="A329" s="19">
        <v>80901</v>
      </c>
      <c r="B329" s="8" t="s">
        <v>29</v>
      </c>
      <c r="C329" s="8"/>
      <c r="D329" s="8" t="s">
        <v>426</v>
      </c>
      <c r="E329" s="9">
        <f t="shared" si="268"/>
        <v>50.505050505050505</v>
      </c>
      <c r="F329" s="10">
        <v>20</v>
      </c>
      <c r="G329" s="10">
        <v>396</v>
      </c>
      <c r="H329" s="18">
        <f t="shared" ref="H329:I329" si="341">F329/5</f>
        <v>4</v>
      </c>
      <c r="I329" s="18">
        <f t="shared" si="341"/>
        <v>79.2</v>
      </c>
      <c r="J329" s="30"/>
    </row>
    <row r="330" spans="1:10" ht="15.75" customHeight="1">
      <c r="A330" s="7">
        <v>90101</v>
      </c>
      <c r="B330" s="8" t="s">
        <v>31</v>
      </c>
      <c r="C330" s="8" t="s">
        <v>427</v>
      </c>
      <c r="D330" s="8" t="s">
        <v>428</v>
      </c>
      <c r="E330" s="9">
        <f t="shared" si="268"/>
        <v>13.614893025840512</v>
      </c>
      <c r="F330" s="10">
        <v>49</v>
      </c>
      <c r="G330" s="18">
        <v>3599</v>
      </c>
      <c r="H330" s="18">
        <f t="shared" ref="H330:I330" si="342">F330/5</f>
        <v>9.8000000000000007</v>
      </c>
      <c r="I330" s="18">
        <f t="shared" si="342"/>
        <v>719.8</v>
      </c>
      <c r="J330" s="32"/>
    </row>
    <row r="331" spans="1:10" ht="15.75" customHeight="1">
      <c r="A331" s="7">
        <v>90102</v>
      </c>
      <c r="B331" s="8" t="s">
        <v>31</v>
      </c>
      <c r="C331" s="8" t="s">
        <v>427</v>
      </c>
      <c r="D331" s="8" t="s">
        <v>429</v>
      </c>
      <c r="E331" s="9">
        <f t="shared" si="268"/>
        <v>6.4</v>
      </c>
      <c r="F331" s="10">
        <v>4</v>
      </c>
      <c r="G331" s="18">
        <v>625</v>
      </c>
      <c r="H331" s="18">
        <f t="shared" ref="H331:I331" si="343">F331/5</f>
        <v>0.8</v>
      </c>
      <c r="I331" s="18">
        <f t="shared" si="343"/>
        <v>125</v>
      </c>
      <c r="J331" s="32"/>
    </row>
    <row r="332" spans="1:10" ht="15.75" customHeight="1">
      <c r="A332" s="7">
        <v>90103</v>
      </c>
      <c r="B332" s="8" t="s">
        <v>31</v>
      </c>
      <c r="C332" s="8" t="s">
        <v>427</v>
      </c>
      <c r="D332" s="8" t="s">
        <v>430</v>
      </c>
      <c r="E332" s="9">
        <f t="shared" si="268"/>
        <v>6.5789473684210522</v>
      </c>
      <c r="F332" s="10">
        <v>1</v>
      </c>
      <c r="G332" s="18">
        <v>152</v>
      </c>
      <c r="H332" s="18">
        <f t="shared" ref="H332:I332" si="344">F332/5</f>
        <v>0.2</v>
      </c>
      <c r="I332" s="18">
        <f t="shared" si="344"/>
        <v>30.4</v>
      </c>
      <c r="J332" s="32"/>
    </row>
    <row r="333" spans="1:10" ht="15.75" customHeight="1">
      <c r="A333" s="7">
        <v>90104</v>
      </c>
      <c r="B333" s="8" t="s">
        <v>31</v>
      </c>
      <c r="C333" s="8" t="s">
        <v>427</v>
      </c>
      <c r="D333" s="8" t="s">
        <v>431</v>
      </c>
      <c r="E333" s="9">
        <f t="shared" si="268"/>
        <v>7.6045627376425857</v>
      </c>
      <c r="F333" s="10">
        <v>2</v>
      </c>
      <c r="G333" s="18">
        <v>263</v>
      </c>
      <c r="H333" s="18">
        <f t="shared" ref="H333:I333" si="345">F333/5</f>
        <v>0.4</v>
      </c>
      <c r="I333" s="18">
        <f t="shared" si="345"/>
        <v>52.6</v>
      </c>
      <c r="J333" s="32"/>
    </row>
    <row r="334" spans="1:10" ht="15.75" customHeight="1">
      <c r="A334" s="7">
        <v>90201</v>
      </c>
      <c r="B334" s="8" t="s">
        <v>31</v>
      </c>
      <c r="C334" s="8" t="s">
        <v>432</v>
      </c>
      <c r="D334" s="8" t="s">
        <v>433</v>
      </c>
      <c r="E334" s="9">
        <f t="shared" si="268"/>
        <v>14.900662251655628</v>
      </c>
      <c r="F334" s="10">
        <v>9</v>
      </c>
      <c r="G334" s="18">
        <v>604</v>
      </c>
      <c r="H334" s="18">
        <f t="shared" ref="H334:I334" si="346">F334/5</f>
        <v>1.8</v>
      </c>
      <c r="I334" s="18">
        <f t="shared" si="346"/>
        <v>120.8</v>
      </c>
      <c r="J334" s="32"/>
    </row>
    <row r="335" spans="1:10" ht="15.75" customHeight="1">
      <c r="A335" s="7">
        <v>90202</v>
      </c>
      <c r="B335" s="8" t="s">
        <v>31</v>
      </c>
      <c r="C335" s="8" t="s">
        <v>432</v>
      </c>
      <c r="D335" s="8" t="s">
        <v>382</v>
      </c>
      <c r="E335" s="9">
        <f t="shared" si="268"/>
        <v>0</v>
      </c>
      <c r="F335" s="10">
        <v>0</v>
      </c>
      <c r="G335" s="18">
        <v>262</v>
      </c>
      <c r="H335" s="18">
        <f t="shared" ref="H335:I335" si="347">F335/5</f>
        <v>0</v>
      </c>
      <c r="I335" s="18">
        <f t="shared" si="347"/>
        <v>52.4</v>
      </c>
      <c r="J335" s="32"/>
    </row>
    <row r="336" spans="1:10" ht="15.75" customHeight="1">
      <c r="A336" s="7">
        <v>90203</v>
      </c>
      <c r="B336" s="8" t="s">
        <v>31</v>
      </c>
      <c r="C336" s="8" t="s">
        <v>432</v>
      </c>
      <c r="D336" s="8" t="s">
        <v>434</v>
      </c>
      <c r="E336" s="9">
        <f t="shared" si="268"/>
        <v>15.503875968992247</v>
      </c>
      <c r="F336" s="10">
        <v>10</v>
      </c>
      <c r="G336" s="18">
        <v>645</v>
      </c>
      <c r="H336" s="18">
        <f t="shared" ref="H336:I336" si="348">F336/5</f>
        <v>2</v>
      </c>
      <c r="I336" s="18">
        <f t="shared" si="348"/>
        <v>129</v>
      </c>
      <c r="J336" s="32"/>
    </row>
    <row r="337" spans="1:12" ht="15.75" customHeight="1">
      <c r="A337" s="7">
        <v>90301</v>
      </c>
      <c r="B337" s="8" t="s">
        <v>31</v>
      </c>
      <c r="C337" s="8" t="s">
        <v>435</v>
      </c>
      <c r="D337" s="8" t="s">
        <v>436</v>
      </c>
      <c r="E337" s="9">
        <f t="shared" si="268"/>
        <v>13.353115727002967</v>
      </c>
      <c r="F337" s="10">
        <v>9</v>
      </c>
      <c r="G337" s="18">
        <v>674</v>
      </c>
      <c r="H337" s="18">
        <f t="shared" ref="H337:I337" si="349">F337/5</f>
        <v>1.8</v>
      </c>
      <c r="I337" s="18">
        <f t="shared" si="349"/>
        <v>134.80000000000001</v>
      </c>
      <c r="J337" s="32"/>
    </row>
    <row r="338" spans="1:12" ht="15.75" customHeight="1">
      <c r="A338" s="7">
        <v>90302</v>
      </c>
      <c r="B338" s="8" t="s">
        <v>31</v>
      </c>
      <c r="C338" s="8" t="s">
        <v>435</v>
      </c>
      <c r="D338" s="8" t="s">
        <v>437</v>
      </c>
      <c r="E338" s="9">
        <f t="shared" si="268"/>
        <v>5.0761421319796947</v>
      </c>
      <c r="F338" s="10">
        <v>4</v>
      </c>
      <c r="G338" s="18">
        <v>788</v>
      </c>
      <c r="H338" s="18">
        <f t="shared" ref="H338:I338" si="350">F338/5</f>
        <v>0.8</v>
      </c>
      <c r="I338" s="18">
        <f t="shared" si="350"/>
        <v>157.6</v>
      </c>
      <c r="J338" s="32"/>
    </row>
    <row r="339" spans="1:12" ht="15.75" customHeight="1">
      <c r="A339" s="7">
        <v>90303</v>
      </c>
      <c r="B339" s="8" t="s">
        <v>31</v>
      </c>
      <c r="C339" s="8" t="s">
        <v>435</v>
      </c>
      <c r="D339" s="8" t="s">
        <v>438</v>
      </c>
      <c r="E339" s="9">
        <f t="shared" si="268"/>
        <v>24.468085106382979</v>
      </c>
      <c r="F339" s="10">
        <v>23</v>
      </c>
      <c r="G339" s="18">
        <v>940</v>
      </c>
      <c r="H339" s="18">
        <f t="shared" ref="H339:I339" si="351">F339/5</f>
        <v>4.5999999999999996</v>
      </c>
      <c r="I339" s="18">
        <f t="shared" si="351"/>
        <v>188</v>
      </c>
      <c r="J339" s="32"/>
    </row>
    <row r="340" spans="1:12" ht="15.75" customHeight="1">
      <c r="A340" s="7">
        <v>90401</v>
      </c>
      <c r="B340" s="8" t="s">
        <v>31</v>
      </c>
      <c r="C340" s="8" t="s">
        <v>439</v>
      </c>
      <c r="D340" s="8" t="s">
        <v>440</v>
      </c>
      <c r="E340" s="9">
        <f t="shared" si="268"/>
        <v>8.695652173913043</v>
      </c>
      <c r="F340" s="10">
        <v>2</v>
      </c>
      <c r="G340" s="18">
        <v>230</v>
      </c>
      <c r="H340" s="18">
        <f t="shared" ref="H340:I340" si="352">F340/5</f>
        <v>0.4</v>
      </c>
      <c r="I340" s="18">
        <f t="shared" si="352"/>
        <v>46</v>
      </c>
      <c r="J340" s="32"/>
    </row>
    <row r="341" spans="1:12" ht="15.75" customHeight="1">
      <c r="A341" s="7">
        <v>90402</v>
      </c>
      <c r="B341" s="8" t="s">
        <v>31</v>
      </c>
      <c r="C341" s="8" t="s">
        <v>439</v>
      </c>
      <c r="D341" s="8" t="s">
        <v>102</v>
      </c>
      <c r="E341" s="9">
        <f t="shared" si="268"/>
        <v>14.218009478672984</v>
      </c>
      <c r="F341" s="10">
        <v>3</v>
      </c>
      <c r="G341" s="18">
        <v>211</v>
      </c>
      <c r="H341" s="18">
        <f t="shared" ref="H341:I341" si="353">F341/5</f>
        <v>0.6</v>
      </c>
      <c r="I341" s="18">
        <f t="shared" si="353"/>
        <v>42.2</v>
      </c>
      <c r="J341" s="32"/>
    </row>
    <row r="342" spans="1:12" ht="15.75" customHeight="1">
      <c r="A342" s="7">
        <v>90501</v>
      </c>
      <c r="B342" s="8" t="s">
        <v>31</v>
      </c>
      <c r="C342" s="8" t="s">
        <v>441</v>
      </c>
      <c r="D342" s="8" t="s">
        <v>442</v>
      </c>
      <c r="E342" s="9">
        <f t="shared" si="268"/>
        <v>7.9365079365079358</v>
      </c>
      <c r="F342" s="10">
        <v>1</v>
      </c>
      <c r="G342" s="18">
        <v>126</v>
      </c>
      <c r="H342" s="18">
        <f t="shared" ref="H342:I342" si="354">F342/5</f>
        <v>0.2</v>
      </c>
      <c r="I342" s="18">
        <f t="shared" si="354"/>
        <v>25.2</v>
      </c>
      <c r="J342" s="32"/>
    </row>
    <row r="343" spans="1:12" ht="15.75" customHeight="1">
      <c r="A343" s="7">
        <v>90502</v>
      </c>
      <c r="B343" s="8" t="s">
        <v>31</v>
      </c>
      <c r="C343" s="8" t="s">
        <v>441</v>
      </c>
      <c r="D343" s="8" t="s">
        <v>443</v>
      </c>
      <c r="E343" s="9">
        <f t="shared" si="268"/>
        <v>18.691588785046729</v>
      </c>
      <c r="F343" s="10">
        <v>4</v>
      </c>
      <c r="G343" s="18">
        <v>214</v>
      </c>
      <c r="H343" s="18">
        <f t="shared" ref="H343:I343" si="355">F343/5</f>
        <v>0.8</v>
      </c>
      <c r="I343" s="18">
        <f t="shared" si="355"/>
        <v>42.8</v>
      </c>
      <c r="J343" s="32"/>
    </row>
    <row r="344" spans="1:12" ht="15.75" customHeight="1">
      <c r="A344" s="7">
        <v>90503</v>
      </c>
      <c r="B344" s="8" t="s">
        <v>31</v>
      </c>
      <c r="C344" s="8" t="s">
        <v>441</v>
      </c>
      <c r="D344" s="8" t="s">
        <v>444</v>
      </c>
      <c r="E344" s="9">
        <f t="shared" si="268"/>
        <v>55.865921787709496</v>
      </c>
      <c r="F344" s="22">
        <v>10</v>
      </c>
      <c r="G344" s="40">
        <v>179</v>
      </c>
      <c r="H344" s="18">
        <f t="shared" ref="H344:I344" si="356">F344/5</f>
        <v>2</v>
      </c>
      <c r="I344" s="18">
        <f t="shared" si="356"/>
        <v>35.799999999999997</v>
      </c>
      <c r="J344" s="32"/>
    </row>
    <row r="345" spans="1:12" ht="15.75" customHeight="1">
      <c r="A345" s="24"/>
      <c r="D345" s="25"/>
      <c r="E345" s="26"/>
      <c r="F345" s="27">
        <v>13071</v>
      </c>
      <c r="G345" s="41">
        <v>719598</v>
      </c>
      <c r="H345" s="18">
        <f t="shared" ref="H345:I345" si="357">F345/5</f>
        <v>2614.1999999999998</v>
      </c>
      <c r="I345" s="18">
        <f t="shared" si="357"/>
        <v>143919.6</v>
      </c>
      <c r="J345" s="30"/>
      <c r="L345" s="20"/>
    </row>
    <row r="346" spans="1:12" ht="15.75" customHeight="1">
      <c r="A346" s="24"/>
      <c r="D346" s="25" t="s">
        <v>323</v>
      </c>
      <c r="E346" s="29">
        <f>(F346/G346)*1000</f>
        <v>13.069997095556202</v>
      </c>
      <c r="F346" s="30">
        <f t="shared" ref="F346:G346" si="358">AVERAGE(F246:F248)</f>
        <v>45</v>
      </c>
      <c r="G346" s="30">
        <f t="shared" si="358"/>
        <v>3443</v>
      </c>
      <c r="H346" s="30"/>
      <c r="I346" s="30"/>
      <c r="J346" s="32"/>
    </row>
    <row r="347" spans="1:12" ht="15.75" customHeight="1">
      <c r="A347" s="24"/>
      <c r="D347" s="31"/>
      <c r="E347" s="29"/>
      <c r="F347" s="30"/>
      <c r="G347" s="32"/>
      <c r="H347" s="32"/>
      <c r="I347" s="32"/>
      <c r="J347" s="32"/>
    </row>
    <row r="348" spans="1:12" ht="15.75" customHeight="1">
      <c r="A348" s="24"/>
      <c r="D348" s="25"/>
      <c r="E348" s="29"/>
      <c r="F348" s="30"/>
      <c r="G348" s="32"/>
      <c r="H348" s="32"/>
      <c r="I348" s="32"/>
      <c r="J348" s="32"/>
    </row>
    <row r="349" spans="1:12" ht="15.75" customHeight="1">
      <c r="A349" s="24"/>
      <c r="D349" s="25"/>
      <c r="E349" s="33"/>
      <c r="F349" s="30"/>
      <c r="G349" s="32"/>
      <c r="H349" s="32"/>
      <c r="I349" s="32"/>
      <c r="J349" s="32"/>
    </row>
    <row r="350" spans="1:12" ht="15.75" customHeight="1">
      <c r="A350" s="24"/>
      <c r="D350" s="25"/>
      <c r="E350" s="33"/>
      <c r="F350" s="30"/>
      <c r="G350" s="32"/>
      <c r="H350" s="32"/>
      <c r="I350" s="32"/>
      <c r="J350" s="32"/>
    </row>
    <row r="351" spans="1:12" ht="15.75" customHeight="1">
      <c r="A351" s="24"/>
      <c r="D351" s="25"/>
      <c r="E351" s="33"/>
      <c r="F351" s="30"/>
      <c r="G351" s="32"/>
      <c r="H351" s="32"/>
      <c r="I351" s="32"/>
      <c r="J351" s="32"/>
    </row>
    <row r="352" spans="1:12" ht="15.75" customHeight="1">
      <c r="A352" s="24"/>
      <c r="D352" s="25"/>
      <c r="F352" s="32"/>
      <c r="J352" s="32"/>
    </row>
    <row r="353" spans="1:9" ht="15.75" customHeight="1">
      <c r="A353" s="24"/>
      <c r="C353" s="8" t="s">
        <v>445</v>
      </c>
      <c r="D353" s="35">
        <f>AVERAGE(E1:E344)</f>
        <v>21.776113232567837</v>
      </c>
      <c r="F353" s="33">
        <f>D353+D354</f>
        <v>33.745986564480631</v>
      </c>
    </row>
    <row r="354" spans="1:9" ht="15.75" customHeight="1">
      <c r="A354" s="24"/>
      <c r="C354" s="8" t="s">
        <v>446</v>
      </c>
      <c r="D354" s="35">
        <f>STDEVA(E1:E344)</f>
        <v>11.969873331912797</v>
      </c>
      <c r="E354" s="36"/>
      <c r="F354" s="33">
        <f>D353-D354</f>
        <v>9.80623990065504</v>
      </c>
      <c r="G354" s="36"/>
      <c r="H354" s="36"/>
      <c r="I354" s="36"/>
    </row>
    <row r="355" spans="1:9" ht="15.75" customHeight="1">
      <c r="A355" s="24"/>
      <c r="C355" s="8" t="s">
        <v>447</v>
      </c>
      <c r="D355" s="35"/>
      <c r="E355" s="36"/>
      <c r="F355" s="33"/>
      <c r="G355" s="36"/>
      <c r="H355" s="36"/>
      <c r="I355" s="36"/>
    </row>
    <row r="356" spans="1:9" ht="15.75" customHeight="1">
      <c r="A356" s="24"/>
      <c r="C356" s="8" t="s">
        <v>448</v>
      </c>
      <c r="D356" s="35"/>
      <c r="E356" s="36"/>
      <c r="F356" s="33"/>
    </row>
    <row r="357" spans="1:9" ht="15.75" customHeight="1">
      <c r="A357" s="24"/>
      <c r="C357" s="8" t="s">
        <v>449</v>
      </c>
      <c r="D357" s="35"/>
      <c r="E357" s="36"/>
      <c r="F357" s="33"/>
    </row>
    <row r="358" spans="1:9" ht="15.75" customHeight="1">
      <c r="A358" s="24"/>
      <c r="D358" s="37"/>
      <c r="E358" s="33"/>
      <c r="F358" s="33"/>
    </row>
    <row r="359" spans="1:9" ht="15.75" customHeight="1">
      <c r="A359" s="24"/>
      <c r="D359" s="37"/>
      <c r="F359" s="33"/>
    </row>
    <row r="360" spans="1:9" ht="15.75" customHeight="1">
      <c r="A360" s="24"/>
      <c r="D360" s="37"/>
      <c r="F360" s="33"/>
    </row>
    <row r="361" spans="1:9" ht="15.75" customHeight="1">
      <c r="A361" s="24"/>
      <c r="D361" s="37"/>
      <c r="F361" s="33"/>
    </row>
    <row r="362" spans="1:9" ht="15.75" customHeight="1">
      <c r="A362" s="24"/>
      <c r="D362" s="37"/>
      <c r="F362" s="33"/>
    </row>
    <row r="363" spans="1:9" ht="15.75" customHeight="1">
      <c r="A363" s="24"/>
      <c r="D363" s="37"/>
      <c r="F363" s="33"/>
    </row>
    <row r="364" spans="1:9" ht="15.75" customHeight="1">
      <c r="A364" s="24"/>
      <c r="D364" s="37"/>
      <c r="F364" s="33"/>
    </row>
    <row r="365" spans="1:9" ht="15.75" customHeight="1">
      <c r="A365" s="24"/>
      <c r="D365" s="37"/>
      <c r="F365" s="33"/>
    </row>
    <row r="366" spans="1:9" ht="15.75" customHeight="1">
      <c r="A366" s="24"/>
      <c r="D366" s="37"/>
      <c r="F366" s="33"/>
    </row>
    <row r="367" spans="1:9" ht="15.75" customHeight="1">
      <c r="A367" s="24"/>
      <c r="D367" s="37"/>
      <c r="F367" s="33"/>
    </row>
    <row r="368" spans="1:9" ht="15.75" customHeight="1">
      <c r="A368" s="24"/>
      <c r="D368" s="37"/>
      <c r="F368" s="33"/>
    </row>
    <row r="369" spans="1:6" ht="15.75" customHeight="1">
      <c r="A369" s="24"/>
      <c r="D369" s="37"/>
      <c r="F369" s="33"/>
    </row>
    <row r="370" spans="1:6" ht="15.75" customHeight="1">
      <c r="A370" s="24"/>
      <c r="D370" s="37"/>
      <c r="F370" s="33"/>
    </row>
    <row r="371" spans="1:6" ht="15.75" customHeight="1">
      <c r="A371" s="24"/>
      <c r="D371" s="37"/>
      <c r="F371" s="33"/>
    </row>
    <row r="372" spans="1:6" ht="15.75" customHeight="1">
      <c r="A372" s="24"/>
      <c r="D372" s="37"/>
      <c r="F372" s="33"/>
    </row>
    <row r="373" spans="1:6" ht="15.75" customHeight="1">
      <c r="A373" s="24"/>
      <c r="D373" s="37"/>
      <c r="F373" s="33"/>
    </row>
    <row r="374" spans="1:6" ht="15.75" customHeight="1">
      <c r="A374" s="24"/>
      <c r="D374" s="37"/>
      <c r="F374" s="33"/>
    </row>
    <row r="375" spans="1:6" ht="15.75" customHeight="1">
      <c r="A375" s="24"/>
      <c r="D375" s="37"/>
      <c r="F375" s="33"/>
    </row>
    <row r="376" spans="1:6" ht="15.75" customHeight="1">
      <c r="A376" s="24"/>
      <c r="D376" s="37"/>
      <c r="F376" s="33"/>
    </row>
    <row r="377" spans="1:6" ht="15.75" customHeight="1">
      <c r="A377" s="24"/>
      <c r="D377" s="37"/>
      <c r="F377" s="33"/>
    </row>
    <row r="378" spans="1:6" ht="15.75" customHeight="1">
      <c r="A378" s="24"/>
      <c r="D378" s="37"/>
      <c r="F378" s="33"/>
    </row>
    <row r="379" spans="1:6" ht="15.75" customHeight="1">
      <c r="A379" s="24"/>
      <c r="D379" s="37"/>
      <c r="F379" s="33"/>
    </row>
    <row r="380" spans="1:6" ht="15.75" customHeight="1">
      <c r="A380" s="24"/>
      <c r="D380" s="37"/>
      <c r="F380" s="33"/>
    </row>
    <row r="381" spans="1:6" ht="15.75" customHeight="1">
      <c r="A381" s="24"/>
      <c r="D381" s="37"/>
      <c r="F381" s="33"/>
    </row>
    <row r="382" spans="1:6" ht="15.75" customHeight="1">
      <c r="A382" s="24"/>
      <c r="D382" s="37"/>
      <c r="F382" s="33"/>
    </row>
    <row r="383" spans="1:6" ht="15.75" customHeight="1">
      <c r="A383" s="24"/>
      <c r="D383" s="37"/>
      <c r="F383" s="33"/>
    </row>
    <row r="384" spans="1:6" ht="15.75" customHeight="1">
      <c r="A384" s="24"/>
      <c r="D384" s="37"/>
      <c r="F384" s="33"/>
    </row>
    <row r="385" spans="1:6" ht="15.75" customHeight="1">
      <c r="A385" s="24"/>
      <c r="D385" s="37"/>
      <c r="F385" s="33"/>
    </row>
    <row r="386" spans="1:6" ht="15.75" customHeight="1">
      <c r="A386" s="24"/>
      <c r="D386" s="37"/>
      <c r="F386" s="33"/>
    </row>
    <row r="387" spans="1:6" ht="15.75" customHeight="1">
      <c r="A387" s="24"/>
      <c r="D387" s="37"/>
      <c r="F387" s="33"/>
    </row>
    <row r="388" spans="1:6" ht="15.75" customHeight="1">
      <c r="A388" s="24"/>
      <c r="D388" s="37"/>
      <c r="F388" s="33"/>
    </row>
    <row r="389" spans="1:6" ht="15.75" customHeight="1">
      <c r="A389" s="24"/>
      <c r="D389" s="37"/>
      <c r="F389" s="33"/>
    </row>
    <row r="390" spans="1:6" ht="15.75" customHeight="1">
      <c r="A390" s="24"/>
      <c r="D390" s="37"/>
      <c r="F390" s="33"/>
    </row>
    <row r="391" spans="1:6" ht="15.75" customHeight="1">
      <c r="A391" s="24"/>
      <c r="D391" s="37"/>
      <c r="F391" s="33"/>
    </row>
    <row r="392" spans="1:6" ht="15.75" customHeight="1">
      <c r="A392" s="24"/>
      <c r="D392" s="37"/>
      <c r="F392" s="33"/>
    </row>
    <row r="393" spans="1:6" ht="15.75" customHeight="1">
      <c r="A393" s="24"/>
      <c r="D393" s="37"/>
      <c r="F393" s="33"/>
    </row>
    <row r="394" spans="1:6" ht="15.75" customHeight="1">
      <c r="A394" s="24"/>
      <c r="D394" s="37"/>
      <c r="F394" s="33"/>
    </row>
    <row r="395" spans="1:6" ht="15.75" customHeight="1">
      <c r="A395" s="24"/>
      <c r="D395" s="37"/>
      <c r="F395" s="33"/>
    </row>
    <row r="396" spans="1:6" ht="15.75" customHeight="1">
      <c r="A396" s="24"/>
      <c r="D396" s="37"/>
      <c r="F396" s="33"/>
    </row>
    <row r="397" spans="1:6" ht="15.75" customHeight="1">
      <c r="A397" s="24"/>
      <c r="D397" s="37"/>
      <c r="F397" s="33"/>
    </row>
    <row r="398" spans="1:6" ht="15.75" customHeight="1">
      <c r="A398" s="24"/>
      <c r="D398" s="37"/>
      <c r="F398" s="33"/>
    </row>
    <row r="399" spans="1:6" ht="15.75" customHeight="1">
      <c r="A399" s="24"/>
      <c r="D399" s="37"/>
      <c r="F399" s="33"/>
    </row>
    <row r="400" spans="1:6" ht="15.75" customHeight="1">
      <c r="A400" s="24"/>
      <c r="D400" s="37"/>
      <c r="F400" s="33"/>
    </row>
    <row r="401" spans="1:6" ht="15.75" customHeight="1">
      <c r="A401" s="24"/>
      <c r="D401" s="37"/>
      <c r="F401" s="33"/>
    </row>
    <row r="402" spans="1:6" ht="15.75" customHeight="1">
      <c r="A402" s="24"/>
      <c r="D402" s="37"/>
      <c r="F402" s="33"/>
    </row>
    <row r="403" spans="1:6" ht="15.75" customHeight="1">
      <c r="A403" s="24"/>
      <c r="D403" s="37"/>
      <c r="F403" s="33"/>
    </row>
    <row r="404" spans="1:6" ht="15.75" customHeight="1">
      <c r="A404" s="24"/>
      <c r="D404" s="37"/>
      <c r="F404" s="33"/>
    </row>
    <row r="405" spans="1:6" ht="15.75" customHeight="1">
      <c r="A405" s="24"/>
      <c r="D405" s="37"/>
      <c r="F405" s="33"/>
    </row>
    <row r="406" spans="1:6" ht="15.75" customHeight="1">
      <c r="A406" s="24"/>
      <c r="D406" s="37"/>
      <c r="F406" s="33"/>
    </row>
    <row r="407" spans="1:6" ht="15.75" customHeight="1">
      <c r="A407" s="24"/>
      <c r="D407" s="37"/>
      <c r="F407" s="33"/>
    </row>
    <row r="408" spans="1:6" ht="15.75" customHeight="1">
      <c r="A408" s="24"/>
      <c r="D408" s="37"/>
      <c r="F408" s="33"/>
    </row>
    <row r="409" spans="1:6" ht="15.75" customHeight="1">
      <c r="A409" s="24"/>
      <c r="D409" s="37"/>
      <c r="F409" s="33"/>
    </row>
    <row r="410" spans="1:6" ht="15.75" customHeight="1">
      <c r="A410" s="24"/>
      <c r="D410" s="37"/>
      <c r="F410" s="33"/>
    </row>
    <row r="411" spans="1:6" ht="15.75" customHeight="1">
      <c r="A411" s="24"/>
      <c r="D411" s="37"/>
      <c r="F411" s="33"/>
    </row>
    <row r="412" spans="1:6" ht="15.75" customHeight="1">
      <c r="A412" s="24"/>
      <c r="D412" s="37"/>
      <c r="F412" s="33"/>
    </row>
    <row r="413" spans="1:6" ht="15.75" customHeight="1">
      <c r="A413" s="24"/>
      <c r="D413" s="37"/>
      <c r="F413" s="33"/>
    </row>
    <row r="414" spans="1:6" ht="15.75" customHeight="1">
      <c r="A414" s="24"/>
      <c r="D414" s="37"/>
      <c r="F414" s="33"/>
    </row>
    <row r="415" spans="1:6" ht="15.75" customHeight="1">
      <c r="A415" s="24"/>
      <c r="D415" s="37"/>
      <c r="F415" s="33"/>
    </row>
    <row r="416" spans="1:6" ht="15.75" customHeight="1">
      <c r="A416" s="24"/>
      <c r="D416" s="37"/>
      <c r="F416" s="33"/>
    </row>
    <row r="417" spans="1:6" ht="15.75" customHeight="1">
      <c r="A417" s="24"/>
      <c r="D417" s="37"/>
      <c r="F417" s="33"/>
    </row>
    <row r="418" spans="1:6" ht="15.75" customHeight="1">
      <c r="A418" s="24"/>
      <c r="D418" s="37"/>
      <c r="F418" s="33"/>
    </row>
    <row r="419" spans="1:6" ht="15.75" customHeight="1">
      <c r="A419" s="24"/>
      <c r="D419" s="37"/>
      <c r="F419" s="33"/>
    </row>
    <row r="420" spans="1:6" ht="15.75" customHeight="1">
      <c r="A420" s="24"/>
      <c r="D420" s="37"/>
      <c r="F420" s="33"/>
    </row>
    <row r="421" spans="1:6" ht="15.75" customHeight="1">
      <c r="A421" s="24"/>
      <c r="D421" s="37"/>
      <c r="F421" s="33"/>
    </row>
    <row r="422" spans="1:6" ht="15.75" customHeight="1">
      <c r="A422" s="24"/>
      <c r="D422" s="37"/>
      <c r="F422" s="33"/>
    </row>
    <row r="423" spans="1:6" ht="15.75" customHeight="1">
      <c r="A423" s="24"/>
      <c r="D423" s="37"/>
      <c r="F423" s="33"/>
    </row>
    <row r="424" spans="1:6" ht="15.75" customHeight="1">
      <c r="A424" s="24"/>
      <c r="D424" s="37"/>
      <c r="F424" s="33"/>
    </row>
    <row r="425" spans="1:6" ht="15.75" customHeight="1">
      <c r="A425" s="24"/>
      <c r="D425" s="37"/>
      <c r="F425" s="33"/>
    </row>
    <row r="426" spans="1:6" ht="15.75" customHeight="1">
      <c r="A426" s="24"/>
      <c r="D426" s="37"/>
      <c r="F426" s="33"/>
    </row>
    <row r="427" spans="1:6" ht="15.75" customHeight="1">
      <c r="A427" s="24"/>
      <c r="D427" s="37"/>
      <c r="F427" s="33"/>
    </row>
    <row r="428" spans="1:6" ht="15.75" customHeight="1">
      <c r="A428" s="24"/>
      <c r="D428" s="37"/>
      <c r="F428" s="33"/>
    </row>
    <row r="429" spans="1:6" ht="15.75" customHeight="1">
      <c r="A429" s="24"/>
      <c r="D429" s="37"/>
      <c r="F429" s="33"/>
    </row>
    <row r="430" spans="1:6" ht="15.75" customHeight="1">
      <c r="A430" s="24"/>
      <c r="D430" s="37"/>
      <c r="F430" s="33"/>
    </row>
    <row r="431" spans="1:6" ht="15.75" customHeight="1">
      <c r="A431" s="24"/>
      <c r="D431" s="37"/>
      <c r="F431" s="33"/>
    </row>
    <row r="432" spans="1:6" ht="15.75" customHeight="1">
      <c r="A432" s="24"/>
      <c r="D432" s="37"/>
      <c r="F432" s="33"/>
    </row>
    <row r="433" spans="1:6" ht="15.75" customHeight="1">
      <c r="A433" s="24"/>
      <c r="D433" s="37"/>
      <c r="F433" s="33"/>
    </row>
    <row r="434" spans="1:6" ht="15.75" customHeight="1">
      <c r="A434" s="24"/>
      <c r="D434" s="37"/>
      <c r="F434" s="33"/>
    </row>
    <row r="435" spans="1:6" ht="15.75" customHeight="1">
      <c r="A435" s="24"/>
      <c r="D435" s="37"/>
      <c r="F435" s="33"/>
    </row>
    <row r="436" spans="1:6" ht="15.75" customHeight="1">
      <c r="A436" s="24"/>
      <c r="D436" s="37"/>
      <c r="F436" s="33"/>
    </row>
    <row r="437" spans="1:6" ht="15.75" customHeight="1">
      <c r="A437" s="24"/>
      <c r="D437" s="37"/>
      <c r="F437" s="33"/>
    </row>
    <row r="438" spans="1:6" ht="15.75" customHeight="1">
      <c r="A438" s="24"/>
      <c r="D438" s="37"/>
      <c r="F438" s="33"/>
    </row>
    <row r="439" spans="1:6" ht="15.75" customHeight="1">
      <c r="A439" s="24"/>
      <c r="D439" s="37"/>
      <c r="F439" s="33"/>
    </row>
    <row r="440" spans="1:6" ht="15.75" customHeight="1">
      <c r="A440" s="24"/>
      <c r="D440" s="37"/>
      <c r="F440" s="33"/>
    </row>
    <row r="441" spans="1:6" ht="15.75" customHeight="1">
      <c r="A441" s="24"/>
      <c r="D441" s="37"/>
      <c r="F441" s="33"/>
    </row>
    <row r="442" spans="1:6" ht="15.75" customHeight="1">
      <c r="A442" s="24"/>
      <c r="D442" s="37"/>
      <c r="F442" s="33"/>
    </row>
    <row r="443" spans="1:6" ht="15.75" customHeight="1">
      <c r="A443" s="24"/>
      <c r="D443" s="37"/>
      <c r="F443" s="33"/>
    </row>
    <row r="444" spans="1:6" ht="15.75" customHeight="1">
      <c r="A444" s="24"/>
      <c r="D444" s="37"/>
      <c r="F444" s="33"/>
    </row>
    <row r="445" spans="1:6" ht="15.75" customHeight="1">
      <c r="A445" s="24"/>
      <c r="D445" s="37"/>
      <c r="F445" s="33"/>
    </row>
    <row r="446" spans="1:6" ht="15.75" customHeight="1">
      <c r="A446" s="24"/>
      <c r="D446" s="37"/>
      <c r="F446" s="33"/>
    </row>
    <row r="447" spans="1:6" ht="15.75" customHeight="1">
      <c r="A447" s="24"/>
      <c r="D447" s="37"/>
      <c r="F447" s="33"/>
    </row>
    <row r="448" spans="1:6" ht="15.75" customHeight="1">
      <c r="A448" s="24"/>
      <c r="D448" s="37"/>
      <c r="F448" s="33"/>
    </row>
    <row r="449" spans="1:6" ht="15.75" customHeight="1">
      <c r="A449" s="24"/>
      <c r="D449" s="37"/>
      <c r="F449" s="33"/>
    </row>
    <row r="450" spans="1:6" ht="15.75" customHeight="1">
      <c r="A450" s="24"/>
      <c r="D450" s="37"/>
      <c r="F450" s="33"/>
    </row>
    <row r="451" spans="1:6" ht="15.75" customHeight="1">
      <c r="A451" s="24"/>
      <c r="D451" s="37"/>
      <c r="F451" s="33"/>
    </row>
    <row r="452" spans="1:6" ht="15.75" customHeight="1">
      <c r="A452" s="24"/>
      <c r="D452" s="37"/>
      <c r="F452" s="33"/>
    </row>
    <row r="453" spans="1:6" ht="15.75" customHeight="1">
      <c r="A453" s="24"/>
      <c r="D453" s="37"/>
      <c r="F453" s="33"/>
    </row>
    <row r="454" spans="1:6" ht="15.75" customHeight="1">
      <c r="A454" s="24"/>
      <c r="D454" s="37"/>
      <c r="F454" s="33"/>
    </row>
    <row r="455" spans="1:6" ht="15.75" customHeight="1">
      <c r="A455" s="24"/>
      <c r="D455" s="37"/>
      <c r="F455" s="33"/>
    </row>
    <row r="456" spans="1:6" ht="15.75" customHeight="1">
      <c r="A456" s="24"/>
      <c r="D456" s="37"/>
      <c r="F456" s="33"/>
    </row>
    <row r="457" spans="1:6" ht="15.75" customHeight="1">
      <c r="A457" s="24"/>
      <c r="D457" s="37"/>
      <c r="F457" s="33"/>
    </row>
    <row r="458" spans="1:6" ht="15.75" customHeight="1">
      <c r="A458" s="24"/>
      <c r="D458" s="37"/>
      <c r="F458" s="33"/>
    </row>
    <row r="459" spans="1:6" ht="15.75" customHeight="1">
      <c r="A459" s="24"/>
      <c r="D459" s="37"/>
      <c r="F459" s="33"/>
    </row>
    <row r="460" spans="1:6" ht="15.75" customHeight="1">
      <c r="A460" s="24"/>
      <c r="D460" s="37"/>
      <c r="F460" s="33"/>
    </row>
    <row r="461" spans="1:6" ht="15.75" customHeight="1">
      <c r="A461" s="24"/>
      <c r="D461" s="37"/>
      <c r="F461" s="33"/>
    </row>
    <row r="462" spans="1:6" ht="15.75" customHeight="1">
      <c r="A462" s="24"/>
      <c r="D462" s="37"/>
      <c r="F462" s="33"/>
    </row>
    <row r="463" spans="1:6" ht="15.75" customHeight="1">
      <c r="A463" s="24"/>
      <c r="D463" s="37"/>
      <c r="F463" s="33"/>
    </row>
    <row r="464" spans="1:6" ht="15.75" customHeight="1">
      <c r="A464" s="24"/>
      <c r="D464" s="37"/>
      <c r="F464" s="33"/>
    </row>
    <row r="465" spans="1:6" ht="15.75" customHeight="1">
      <c r="A465" s="24"/>
      <c r="D465" s="37"/>
      <c r="F465" s="33"/>
    </row>
    <row r="466" spans="1:6" ht="15.75" customHeight="1">
      <c r="A466" s="24"/>
      <c r="D466" s="37"/>
      <c r="F466" s="33"/>
    </row>
    <row r="467" spans="1:6" ht="15.75" customHeight="1">
      <c r="A467" s="24"/>
      <c r="D467" s="37"/>
      <c r="F467" s="33"/>
    </row>
    <row r="468" spans="1:6" ht="15.75" customHeight="1">
      <c r="A468" s="24"/>
      <c r="D468" s="37"/>
      <c r="F468" s="33"/>
    </row>
    <row r="469" spans="1:6" ht="15.75" customHeight="1">
      <c r="A469" s="24"/>
      <c r="D469" s="37"/>
      <c r="F469" s="33"/>
    </row>
    <row r="470" spans="1:6" ht="15.75" customHeight="1">
      <c r="A470" s="24"/>
      <c r="D470" s="37"/>
      <c r="F470" s="33"/>
    </row>
    <row r="471" spans="1:6" ht="15.75" customHeight="1">
      <c r="A471" s="24"/>
      <c r="D471" s="37"/>
      <c r="F471" s="33"/>
    </row>
    <row r="472" spans="1:6" ht="15.75" customHeight="1">
      <c r="A472" s="24"/>
      <c r="D472" s="37"/>
      <c r="F472" s="33"/>
    </row>
    <row r="473" spans="1:6" ht="15.75" customHeight="1">
      <c r="A473" s="24"/>
      <c r="D473" s="37"/>
      <c r="F473" s="33"/>
    </row>
    <row r="474" spans="1:6" ht="15.75" customHeight="1">
      <c r="A474" s="24"/>
      <c r="D474" s="37"/>
      <c r="F474" s="33"/>
    </row>
    <row r="475" spans="1:6" ht="15.75" customHeight="1">
      <c r="A475" s="24"/>
      <c r="D475" s="37"/>
      <c r="F475" s="33"/>
    </row>
    <row r="476" spans="1:6" ht="15.75" customHeight="1">
      <c r="A476" s="24"/>
      <c r="D476" s="37"/>
      <c r="F476" s="33"/>
    </row>
    <row r="477" spans="1:6" ht="15.75" customHeight="1">
      <c r="A477" s="24"/>
      <c r="D477" s="37"/>
      <c r="F477" s="33"/>
    </row>
    <row r="478" spans="1:6" ht="15.75" customHeight="1">
      <c r="A478" s="24"/>
      <c r="D478" s="37"/>
      <c r="F478" s="33"/>
    </row>
    <row r="479" spans="1:6" ht="15.75" customHeight="1">
      <c r="A479" s="24"/>
      <c r="D479" s="37"/>
      <c r="F479" s="33"/>
    </row>
    <row r="480" spans="1:6" ht="15.75" customHeight="1">
      <c r="A480" s="24"/>
      <c r="D480" s="37"/>
      <c r="F480" s="33"/>
    </row>
    <row r="481" spans="1:6" ht="15.75" customHeight="1">
      <c r="A481" s="24"/>
      <c r="D481" s="37"/>
      <c r="F481" s="33"/>
    </row>
    <row r="482" spans="1:6" ht="15.75" customHeight="1">
      <c r="A482" s="24"/>
      <c r="D482" s="37"/>
      <c r="F482" s="33"/>
    </row>
    <row r="483" spans="1:6" ht="15.75" customHeight="1">
      <c r="A483" s="24"/>
      <c r="D483" s="37"/>
      <c r="F483" s="33"/>
    </row>
    <row r="484" spans="1:6" ht="15.75" customHeight="1">
      <c r="A484" s="24"/>
      <c r="D484" s="37"/>
      <c r="F484" s="33"/>
    </row>
    <row r="485" spans="1:6" ht="15.75" customHeight="1">
      <c r="A485" s="24"/>
      <c r="D485" s="37"/>
      <c r="F485" s="33"/>
    </row>
    <row r="486" spans="1:6" ht="15.75" customHeight="1">
      <c r="A486" s="24"/>
      <c r="D486" s="37"/>
      <c r="F486" s="33"/>
    </row>
    <row r="487" spans="1:6" ht="15.75" customHeight="1">
      <c r="A487" s="24"/>
      <c r="D487" s="37"/>
      <c r="F487" s="33"/>
    </row>
    <row r="488" spans="1:6" ht="15.75" customHeight="1">
      <c r="A488" s="24"/>
      <c r="D488" s="37"/>
      <c r="F488" s="33"/>
    </row>
    <row r="489" spans="1:6" ht="15.75" customHeight="1">
      <c r="A489" s="24"/>
      <c r="D489" s="37"/>
      <c r="F489" s="33"/>
    </row>
    <row r="490" spans="1:6" ht="15.75" customHeight="1">
      <c r="A490" s="24"/>
      <c r="D490" s="37"/>
      <c r="F490" s="33"/>
    </row>
    <row r="491" spans="1:6" ht="15.75" customHeight="1">
      <c r="A491" s="24"/>
      <c r="D491" s="37"/>
      <c r="F491" s="33"/>
    </row>
    <row r="492" spans="1:6" ht="15.75" customHeight="1">
      <c r="A492" s="24"/>
      <c r="D492" s="37"/>
      <c r="F492" s="33"/>
    </row>
    <row r="493" spans="1:6" ht="15.75" customHeight="1">
      <c r="A493" s="24"/>
      <c r="D493" s="37"/>
      <c r="F493" s="33"/>
    </row>
    <row r="494" spans="1:6" ht="15.75" customHeight="1">
      <c r="A494" s="24"/>
      <c r="D494" s="37"/>
      <c r="F494" s="33"/>
    </row>
    <row r="495" spans="1:6" ht="15.75" customHeight="1">
      <c r="A495" s="24"/>
      <c r="D495" s="37"/>
      <c r="F495" s="33"/>
    </row>
    <row r="496" spans="1:6" ht="15.75" customHeight="1">
      <c r="A496" s="24"/>
      <c r="D496" s="37"/>
      <c r="F496" s="33"/>
    </row>
    <row r="497" spans="1:6" ht="15.75" customHeight="1">
      <c r="A497" s="24"/>
      <c r="D497" s="37"/>
      <c r="F497" s="33"/>
    </row>
    <row r="498" spans="1:6" ht="15.75" customHeight="1">
      <c r="A498" s="24"/>
      <c r="D498" s="37"/>
      <c r="F498" s="33"/>
    </row>
    <row r="499" spans="1:6" ht="15.75" customHeight="1">
      <c r="A499" s="24"/>
      <c r="D499" s="37"/>
      <c r="F499" s="33"/>
    </row>
    <row r="500" spans="1:6" ht="15.75" customHeight="1">
      <c r="A500" s="24"/>
      <c r="D500" s="37"/>
      <c r="F500" s="33"/>
    </row>
    <row r="501" spans="1:6" ht="15.75" customHeight="1">
      <c r="A501" s="24"/>
      <c r="D501" s="37"/>
      <c r="F501" s="33"/>
    </row>
    <row r="502" spans="1:6" ht="15.75" customHeight="1">
      <c r="A502" s="24"/>
      <c r="D502" s="37"/>
      <c r="F502" s="33"/>
    </row>
    <row r="503" spans="1:6" ht="15.75" customHeight="1">
      <c r="A503" s="24"/>
      <c r="D503" s="37"/>
      <c r="F503" s="33"/>
    </row>
    <row r="504" spans="1:6" ht="15.75" customHeight="1">
      <c r="A504" s="24"/>
      <c r="D504" s="37"/>
      <c r="F504" s="33"/>
    </row>
    <row r="505" spans="1:6" ht="15.75" customHeight="1">
      <c r="A505" s="24"/>
      <c r="D505" s="37"/>
      <c r="F505" s="33"/>
    </row>
    <row r="506" spans="1:6" ht="15.75" customHeight="1">
      <c r="A506" s="24"/>
      <c r="D506" s="37"/>
      <c r="F506" s="33"/>
    </row>
    <row r="507" spans="1:6" ht="15.75" customHeight="1">
      <c r="A507" s="24"/>
      <c r="D507" s="37"/>
      <c r="F507" s="33"/>
    </row>
    <row r="508" spans="1:6" ht="15.75" customHeight="1">
      <c r="A508" s="24"/>
      <c r="D508" s="37"/>
      <c r="F508" s="33"/>
    </row>
    <row r="509" spans="1:6" ht="15.75" customHeight="1">
      <c r="A509" s="24"/>
      <c r="D509" s="37"/>
      <c r="F509" s="33"/>
    </row>
    <row r="510" spans="1:6" ht="15.75" customHeight="1">
      <c r="A510" s="24"/>
      <c r="D510" s="37"/>
      <c r="F510" s="33"/>
    </row>
    <row r="511" spans="1:6" ht="15.75" customHeight="1">
      <c r="A511" s="24"/>
      <c r="D511" s="37"/>
      <c r="F511" s="33"/>
    </row>
    <row r="512" spans="1:6" ht="15.75" customHeight="1">
      <c r="A512" s="24"/>
      <c r="D512" s="37"/>
      <c r="F512" s="33"/>
    </row>
    <row r="513" spans="1:6" ht="15.75" customHeight="1">
      <c r="A513" s="24"/>
      <c r="D513" s="37"/>
      <c r="F513" s="33"/>
    </row>
    <row r="514" spans="1:6" ht="15.75" customHeight="1">
      <c r="A514" s="24"/>
      <c r="D514" s="37"/>
      <c r="F514" s="33"/>
    </row>
    <row r="515" spans="1:6" ht="15.75" customHeight="1">
      <c r="A515" s="24"/>
      <c r="D515" s="37"/>
      <c r="F515" s="33"/>
    </row>
    <row r="516" spans="1:6" ht="15.75" customHeight="1">
      <c r="A516" s="24"/>
      <c r="D516" s="37"/>
      <c r="F516" s="33"/>
    </row>
    <row r="517" spans="1:6" ht="15.75" customHeight="1">
      <c r="A517" s="24"/>
      <c r="D517" s="37"/>
      <c r="F517" s="33"/>
    </row>
    <row r="518" spans="1:6" ht="15.75" customHeight="1">
      <c r="A518" s="24"/>
      <c r="D518" s="37"/>
      <c r="F518" s="33"/>
    </row>
    <row r="519" spans="1:6" ht="15.75" customHeight="1">
      <c r="A519" s="24"/>
      <c r="D519" s="37"/>
      <c r="F519" s="33"/>
    </row>
    <row r="520" spans="1:6" ht="15.75" customHeight="1">
      <c r="A520" s="24"/>
      <c r="D520" s="37"/>
      <c r="F520" s="33"/>
    </row>
    <row r="521" spans="1:6" ht="15.75" customHeight="1">
      <c r="A521" s="24"/>
      <c r="D521" s="37"/>
      <c r="F521" s="33"/>
    </row>
    <row r="522" spans="1:6" ht="15.75" customHeight="1">
      <c r="A522" s="24"/>
      <c r="D522" s="37"/>
      <c r="F522" s="33"/>
    </row>
    <row r="523" spans="1:6" ht="15.75" customHeight="1">
      <c r="A523" s="24"/>
      <c r="D523" s="37"/>
      <c r="F523" s="33"/>
    </row>
    <row r="524" spans="1:6" ht="15.75" customHeight="1">
      <c r="A524" s="24"/>
      <c r="D524" s="37"/>
      <c r="F524" s="33"/>
    </row>
    <row r="525" spans="1:6" ht="15.75" customHeight="1">
      <c r="A525" s="24"/>
      <c r="D525" s="37"/>
      <c r="F525" s="33"/>
    </row>
    <row r="526" spans="1:6" ht="15.75" customHeight="1">
      <c r="A526" s="24"/>
      <c r="D526" s="37"/>
      <c r="F526" s="33"/>
    </row>
    <row r="527" spans="1:6" ht="15.75" customHeight="1">
      <c r="A527" s="24"/>
      <c r="D527" s="37"/>
      <c r="F527" s="33"/>
    </row>
    <row r="528" spans="1:6" ht="15.75" customHeight="1">
      <c r="A528" s="24"/>
      <c r="D528" s="37"/>
      <c r="F528" s="33"/>
    </row>
    <row r="529" spans="1:6" ht="15.75" customHeight="1">
      <c r="A529" s="24"/>
      <c r="D529" s="37"/>
      <c r="F529" s="33"/>
    </row>
    <row r="530" spans="1:6" ht="15.75" customHeight="1">
      <c r="A530" s="24"/>
      <c r="D530" s="37"/>
      <c r="F530" s="33"/>
    </row>
    <row r="531" spans="1:6" ht="15.75" customHeight="1">
      <c r="A531" s="24"/>
      <c r="D531" s="37"/>
      <c r="F531" s="33"/>
    </row>
    <row r="532" spans="1:6" ht="15.75" customHeight="1">
      <c r="A532" s="24"/>
      <c r="D532" s="37"/>
      <c r="F532" s="33"/>
    </row>
    <row r="533" spans="1:6" ht="15.75" customHeight="1">
      <c r="A533" s="24"/>
      <c r="D533" s="37"/>
      <c r="F533" s="33"/>
    </row>
    <row r="534" spans="1:6" ht="15.75" customHeight="1">
      <c r="A534" s="24"/>
      <c r="D534" s="37"/>
      <c r="F534" s="33"/>
    </row>
    <row r="535" spans="1:6" ht="15.75" customHeight="1">
      <c r="A535" s="24"/>
      <c r="D535" s="37"/>
      <c r="F535" s="33"/>
    </row>
    <row r="536" spans="1:6" ht="15.75" customHeight="1">
      <c r="A536" s="24"/>
      <c r="D536" s="37"/>
      <c r="F536" s="33"/>
    </row>
    <row r="537" spans="1:6" ht="15.75" customHeight="1">
      <c r="A537" s="24"/>
      <c r="D537" s="37"/>
      <c r="F537" s="33"/>
    </row>
    <row r="538" spans="1:6" ht="15.75" customHeight="1">
      <c r="A538" s="24"/>
      <c r="D538" s="37"/>
      <c r="F538" s="33"/>
    </row>
    <row r="539" spans="1:6" ht="15.75" customHeight="1">
      <c r="A539" s="24"/>
      <c r="D539" s="37"/>
      <c r="F539" s="33"/>
    </row>
    <row r="540" spans="1:6" ht="15.75" customHeight="1">
      <c r="A540" s="24"/>
      <c r="D540" s="37"/>
      <c r="F540" s="33"/>
    </row>
    <row r="541" spans="1:6" ht="15.75" customHeight="1">
      <c r="A541" s="24"/>
      <c r="D541" s="37"/>
      <c r="F541" s="33"/>
    </row>
    <row r="542" spans="1:6" ht="15.75" customHeight="1">
      <c r="A542" s="24"/>
      <c r="D542" s="37"/>
      <c r="F542" s="33"/>
    </row>
    <row r="543" spans="1:6" ht="15.75" customHeight="1">
      <c r="A543" s="24"/>
      <c r="D543" s="37"/>
      <c r="F543" s="33"/>
    </row>
    <row r="544" spans="1:6" ht="15.75" customHeight="1">
      <c r="A544" s="24"/>
      <c r="D544" s="37"/>
      <c r="F544" s="33"/>
    </row>
    <row r="545" spans="1:6" ht="15.75" customHeight="1">
      <c r="A545" s="24"/>
      <c r="D545" s="37"/>
      <c r="F545" s="33"/>
    </row>
    <row r="546" spans="1:6" ht="15.75" customHeight="1">
      <c r="A546" s="24"/>
      <c r="D546" s="37"/>
      <c r="F546" s="33"/>
    </row>
    <row r="547" spans="1:6" ht="15.75" customHeight="1">
      <c r="A547" s="24"/>
      <c r="D547" s="37"/>
      <c r="F547" s="33"/>
    </row>
    <row r="548" spans="1:6" ht="15.75" customHeight="1">
      <c r="A548" s="24"/>
      <c r="D548" s="37"/>
      <c r="F548" s="33"/>
    </row>
    <row r="549" spans="1:6" ht="15.75" customHeight="1">
      <c r="A549" s="24"/>
      <c r="D549" s="37"/>
      <c r="F549" s="33"/>
    </row>
    <row r="550" spans="1:6" ht="15.75" customHeight="1">
      <c r="A550" s="24"/>
      <c r="D550" s="37"/>
      <c r="F550" s="33"/>
    </row>
    <row r="551" spans="1:6" ht="15.75" customHeight="1">
      <c r="A551" s="24"/>
      <c r="D551" s="37"/>
      <c r="F551" s="33"/>
    </row>
    <row r="552" spans="1:6" ht="15.75" customHeight="1">
      <c r="A552" s="24"/>
      <c r="D552" s="37"/>
      <c r="F552" s="33"/>
    </row>
    <row r="553" spans="1:6" ht="15.75" customHeight="1">
      <c r="A553" s="24"/>
      <c r="D553" s="37"/>
      <c r="F553" s="33"/>
    </row>
    <row r="554" spans="1:6" ht="15.75" customHeight="1">
      <c r="A554" s="24"/>
      <c r="D554" s="37"/>
      <c r="F554" s="33"/>
    </row>
    <row r="555" spans="1:6" ht="15.75" customHeight="1">
      <c r="A555" s="24"/>
      <c r="D555" s="37"/>
      <c r="F555" s="33"/>
    </row>
    <row r="556" spans="1:6" ht="15.75" customHeight="1">
      <c r="A556" s="24"/>
      <c r="D556" s="37"/>
      <c r="F556" s="33"/>
    </row>
    <row r="557" spans="1:6" ht="15.75" customHeight="1">
      <c r="A557" s="24"/>
      <c r="D557" s="37"/>
      <c r="F557" s="33"/>
    </row>
    <row r="558" spans="1:6" ht="15.75" customHeight="1">
      <c r="A558" s="24"/>
    </row>
    <row r="559" spans="1:6" ht="15.75" customHeight="1">
      <c r="A559" s="24"/>
    </row>
    <row r="560" spans="1:6" ht="15.75" customHeight="1">
      <c r="A560" s="24"/>
    </row>
    <row r="561" spans="1:1" ht="15.75" customHeight="1">
      <c r="A561" s="24"/>
    </row>
    <row r="562" spans="1:1" ht="15.75" customHeight="1">
      <c r="A562" s="24"/>
    </row>
    <row r="563" spans="1:1" ht="15.75" customHeight="1">
      <c r="A563" s="24"/>
    </row>
    <row r="564" spans="1:1" ht="15.75" customHeight="1">
      <c r="A564" s="24"/>
    </row>
    <row r="565" spans="1:1" ht="15.75" customHeight="1">
      <c r="A565" s="24"/>
    </row>
    <row r="566" spans="1:1" ht="15.75" customHeight="1">
      <c r="A566" s="24"/>
    </row>
    <row r="567" spans="1:1" ht="15.75" customHeight="1">
      <c r="A567" s="24"/>
    </row>
    <row r="568" spans="1:1" ht="15.75" customHeight="1">
      <c r="A568" s="24"/>
    </row>
    <row r="569" spans="1:1" ht="15.75" customHeight="1">
      <c r="A569" s="24"/>
    </row>
    <row r="570" spans="1:1" ht="15.75" customHeight="1">
      <c r="A570" s="24"/>
    </row>
    <row r="571" spans="1:1" ht="15.75" customHeight="1">
      <c r="A571" s="24"/>
    </row>
    <row r="572" spans="1:1" ht="15.75" customHeight="1">
      <c r="A572" s="24"/>
    </row>
    <row r="573" spans="1:1" ht="15.75" customHeight="1">
      <c r="A573" s="24"/>
    </row>
    <row r="574" spans="1:1" ht="15.75" customHeight="1">
      <c r="A574" s="24"/>
    </row>
    <row r="575" spans="1:1" ht="15.75" customHeight="1">
      <c r="A575" s="24"/>
    </row>
    <row r="576" spans="1:1" ht="15.75" customHeight="1">
      <c r="A576" s="24"/>
    </row>
    <row r="577" spans="1:1" ht="15.75" customHeight="1">
      <c r="A577" s="24"/>
    </row>
    <row r="578" spans="1:1" ht="15.75" customHeight="1">
      <c r="A578" s="24"/>
    </row>
    <row r="579" spans="1:1" ht="15.75" customHeight="1">
      <c r="A579" s="24"/>
    </row>
    <row r="580" spans="1:1" ht="15.75" customHeight="1">
      <c r="A580" s="24"/>
    </row>
    <row r="581" spans="1:1" ht="15.75" customHeight="1">
      <c r="A581" s="24"/>
    </row>
    <row r="582" spans="1:1" ht="15.75" customHeight="1">
      <c r="A582" s="24"/>
    </row>
    <row r="583" spans="1:1" ht="15.75" customHeight="1">
      <c r="A583" s="24"/>
    </row>
    <row r="584" spans="1:1" ht="15.75" customHeight="1">
      <c r="A584" s="24"/>
    </row>
    <row r="585" spans="1:1" ht="15.75" customHeight="1">
      <c r="A585" s="24"/>
    </row>
    <row r="586" spans="1:1" ht="15.75" customHeight="1">
      <c r="A586" s="24"/>
    </row>
    <row r="587" spans="1:1" ht="15.75" customHeight="1">
      <c r="A587" s="24"/>
    </row>
    <row r="588" spans="1:1" ht="15.75" customHeight="1">
      <c r="A588" s="24"/>
    </row>
    <row r="589" spans="1:1" ht="15.75" customHeight="1">
      <c r="A589" s="24"/>
    </row>
    <row r="590" spans="1:1" ht="15.75" customHeight="1">
      <c r="A590" s="24"/>
    </row>
    <row r="591" spans="1:1" ht="15.75" customHeight="1">
      <c r="A591" s="24"/>
    </row>
    <row r="592" spans="1:1" ht="15.75" customHeight="1">
      <c r="A592" s="24"/>
    </row>
    <row r="593" spans="1:1" ht="15.75" customHeight="1">
      <c r="A593" s="24"/>
    </row>
    <row r="594" spans="1:1" ht="15.75" customHeight="1">
      <c r="A594" s="24"/>
    </row>
    <row r="595" spans="1:1" ht="15.75" customHeight="1">
      <c r="A595" s="24"/>
    </row>
    <row r="596" spans="1:1" ht="15.75" customHeight="1">
      <c r="A596" s="24"/>
    </row>
    <row r="597" spans="1:1" ht="15.75" customHeight="1">
      <c r="A597" s="24"/>
    </row>
    <row r="598" spans="1:1" ht="15.75" customHeight="1">
      <c r="A598" s="24"/>
    </row>
    <row r="599" spans="1:1" ht="15.75" customHeight="1">
      <c r="A599" s="24"/>
    </row>
    <row r="600" spans="1:1" ht="15.75" customHeight="1">
      <c r="A600" s="24"/>
    </row>
    <row r="601" spans="1:1" ht="15.75" customHeight="1">
      <c r="A601" s="24"/>
    </row>
    <row r="602" spans="1:1" ht="15.75" customHeight="1">
      <c r="A602" s="24"/>
    </row>
    <row r="603" spans="1:1" ht="15.75" customHeight="1">
      <c r="A603" s="24"/>
    </row>
    <row r="604" spans="1:1" ht="15.75" customHeight="1">
      <c r="A604" s="24"/>
    </row>
    <row r="605" spans="1:1" ht="15.75" customHeight="1">
      <c r="A605" s="24"/>
    </row>
    <row r="606" spans="1:1" ht="15.75" customHeight="1">
      <c r="A606" s="24"/>
    </row>
    <row r="607" spans="1:1" ht="15.75" customHeight="1">
      <c r="A607" s="24"/>
    </row>
    <row r="608" spans="1:1" ht="15.75" customHeight="1">
      <c r="A608" s="24"/>
    </row>
    <row r="609" spans="1:1" ht="15.75" customHeight="1">
      <c r="A609" s="24"/>
    </row>
    <row r="610" spans="1:1" ht="15.75" customHeight="1">
      <c r="A610" s="24"/>
    </row>
    <row r="611" spans="1:1" ht="15.75" customHeight="1">
      <c r="A611" s="24"/>
    </row>
    <row r="612" spans="1:1" ht="15.75" customHeight="1">
      <c r="A612" s="24"/>
    </row>
    <row r="613" spans="1:1" ht="15.75" customHeight="1">
      <c r="A613" s="24"/>
    </row>
    <row r="614" spans="1:1" ht="15.75" customHeight="1">
      <c r="A614" s="24"/>
    </row>
    <row r="615" spans="1:1" ht="15.75" customHeight="1">
      <c r="A615" s="24"/>
    </row>
    <row r="616" spans="1:1" ht="15.75" customHeight="1">
      <c r="A616" s="24"/>
    </row>
    <row r="617" spans="1:1" ht="15.75" customHeight="1">
      <c r="A617" s="24"/>
    </row>
    <row r="618" spans="1:1" ht="15.75" customHeight="1">
      <c r="A618" s="24"/>
    </row>
    <row r="619" spans="1:1" ht="15.75" customHeight="1">
      <c r="A619" s="24"/>
    </row>
    <row r="620" spans="1:1" ht="15.75" customHeight="1">
      <c r="A620" s="24"/>
    </row>
    <row r="621" spans="1:1" ht="15.75" customHeight="1">
      <c r="A621" s="24"/>
    </row>
    <row r="622" spans="1:1" ht="15.75" customHeight="1">
      <c r="A622" s="24"/>
    </row>
    <row r="623" spans="1:1" ht="15.75" customHeight="1">
      <c r="A623" s="24"/>
    </row>
    <row r="624" spans="1:1" ht="15.75" customHeight="1">
      <c r="A624" s="24"/>
    </row>
    <row r="625" spans="1:1" ht="15.75" customHeight="1">
      <c r="A625" s="24"/>
    </row>
    <row r="626" spans="1:1" ht="15.75" customHeight="1">
      <c r="A626" s="24"/>
    </row>
    <row r="627" spans="1:1" ht="15.75" customHeight="1">
      <c r="A627" s="24"/>
    </row>
    <row r="628" spans="1:1" ht="15.75" customHeight="1">
      <c r="A628" s="24"/>
    </row>
    <row r="629" spans="1:1" ht="15.75" customHeight="1">
      <c r="A629" s="24"/>
    </row>
    <row r="630" spans="1:1" ht="15.75" customHeight="1">
      <c r="A630" s="24"/>
    </row>
    <row r="631" spans="1:1" ht="15.75" customHeight="1">
      <c r="A631" s="24"/>
    </row>
    <row r="632" spans="1:1" ht="15.75" customHeight="1">
      <c r="A632" s="24"/>
    </row>
    <row r="633" spans="1:1" ht="15.75" customHeight="1">
      <c r="A633" s="24"/>
    </row>
    <row r="634" spans="1:1" ht="15.75" customHeight="1">
      <c r="A634" s="24"/>
    </row>
    <row r="635" spans="1:1" ht="15.75" customHeight="1">
      <c r="A635" s="24"/>
    </row>
    <row r="636" spans="1:1" ht="15.75" customHeight="1">
      <c r="A636" s="24"/>
    </row>
    <row r="637" spans="1:1" ht="15.75" customHeight="1">
      <c r="A637" s="24"/>
    </row>
    <row r="638" spans="1:1" ht="15.75" customHeight="1">
      <c r="A638" s="24"/>
    </row>
    <row r="639" spans="1:1" ht="15.75" customHeight="1">
      <c r="A639" s="24"/>
    </row>
    <row r="640" spans="1:1" ht="15.75" customHeight="1">
      <c r="A640" s="24"/>
    </row>
    <row r="641" spans="1:1" ht="15.75" customHeight="1">
      <c r="A641" s="24"/>
    </row>
    <row r="642" spans="1:1" ht="15.75" customHeight="1">
      <c r="A642" s="24"/>
    </row>
    <row r="643" spans="1:1" ht="15.75" customHeight="1">
      <c r="A643" s="24"/>
    </row>
    <row r="644" spans="1:1" ht="15.75" customHeight="1">
      <c r="A644" s="24"/>
    </row>
    <row r="645" spans="1:1" ht="15.75" customHeight="1">
      <c r="A645" s="24"/>
    </row>
    <row r="646" spans="1:1" ht="15.75" customHeight="1">
      <c r="A646" s="24"/>
    </row>
    <row r="647" spans="1:1" ht="15.75" customHeight="1">
      <c r="A647" s="24"/>
    </row>
    <row r="648" spans="1:1" ht="15.75" customHeight="1">
      <c r="A648" s="24"/>
    </row>
    <row r="649" spans="1:1" ht="15.75" customHeight="1">
      <c r="A649" s="24"/>
    </row>
    <row r="650" spans="1:1" ht="15.75" customHeight="1">
      <c r="A650" s="24"/>
    </row>
    <row r="651" spans="1:1" ht="15.75" customHeight="1">
      <c r="A651" s="24"/>
    </row>
    <row r="652" spans="1:1" ht="15.75" customHeight="1">
      <c r="A652" s="24"/>
    </row>
    <row r="653" spans="1:1" ht="15.75" customHeight="1">
      <c r="A653" s="24"/>
    </row>
    <row r="654" spans="1:1" ht="15.75" customHeight="1">
      <c r="A654" s="24"/>
    </row>
    <row r="655" spans="1:1" ht="15.75" customHeight="1">
      <c r="A655" s="24"/>
    </row>
    <row r="656" spans="1:1" ht="15.75" customHeight="1">
      <c r="A656" s="24"/>
    </row>
    <row r="657" spans="1:1" ht="15.75" customHeight="1">
      <c r="A657" s="24"/>
    </row>
    <row r="658" spans="1:1" ht="15.75" customHeight="1">
      <c r="A658" s="24"/>
    </row>
    <row r="659" spans="1:1" ht="15.75" customHeight="1">
      <c r="A659" s="24"/>
    </row>
    <row r="660" spans="1:1" ht="15.75" customHeight="1">
      <c r="A660" s="24"/>
    </row>
    <row r="661" spans="1:1" ht="15.75" customHeight="1">
      <c r="A661" s="24"/>
    </row>
    <row r="662" spans="1:1" ht="15.75" customHeight="1">
      <c r="A662" s="24"/>
    </row>
    <row r="663" spans="1:1" ht="15.75" customHeight="1">
      <c r="A663" s="24"/>
    </row>
    <row r="664" spans="1:1" ht="15.75" customHeight="1">
      <c r="A664" s="24"/>
    </row>
    <row r="665" spans="1:1" ht="15.75" customHeight="1">
      <c r="A665" s="24"/>
    </row>
    <row r="666" spans="1:1" ht="15.75" customHeight="1">
      <c r="A666" s="24"/>
    </row>
    <row r="667" spans="1:1" ht="15.75" customHeight="1">
      <c r="A667" s="24"/>
    </row>
    <row r="668" spans="1:1" ht="15.75" customHeight="1">
      <c r="A668" s="24"/>
    </row>
    <row r="669" spans="1:1" ht="15.75" customHeight="1">
      <c r="A669" s="24"/>
    </row>
    <row r="670" spans="1:1" ht="15.75" customHeight="1">
      <c r="A670" s="24"/>
    </row>
    <row r="671" spans="1:1" ht="15.75" customHeight="1">
      <c r="A671" s="24"/>
    </row>
    <row r="672" spans="1:1" ht="15.75" customHeight="1">
      <c r="A672" s="24"/>
    </row>
    <row r="673" spans="1:1" ht="15.75" customHeight="1">
      <c r="A673" s="24"/>
    </row>
    <row r="674" spans="1:1" ht="15.75" customHeight="1">
      <c r="A674" s="24"/>
    </row>
    <row r="675" spans="1:1" ht="15.75" customHeight="1">
      <c r="A675" s="24"/>
    </row>
    <row r="676" spans="1:1" ht="15.75" customHeight="1">
      <c r="A676" s="24"/>
    </row>
    <row r="677" spans="1:1" ht="15.75" customHeight="1">
      <c r="A677" s="24"/>
    </row>
    <row r="678" spans="1:1" ht="15.75" customHeight="1">
      <c r="A678" s="24"/>
    </row>
    <row r="679" spans="1:1" ht="15.75" customHeight="1">
      <c r="A679" s="24"/>
    </row>
    <row r="680" spans="1:1" ht="15.75" customHeight="1">
      <c r="A680" s="24"/>
    </row>
    <row r="681" spans="1:1" ht="15.75" customHeight="1">
      <c r="A681" s="24"/>
    </row>
    <row r="682" spans="1:1" ht="15.75" customHeight="1">
      <c r="A682" s="24"/>
    </row>
    <row r="683" spans="1:1" ht="15.75" customHeight="1">
      <c r="A683" s="24"/>
    </row>
    <row r="684" spans="1:1" ht="15.75" customHeight="1">
      <c r="A684" s="24"/>
    </row>
    <row r="685" spans="1:1" ht="15.75" customHeight="1">
      <c r="A685" s="24"/>
    </row>
    <row r="686" spans="1:1" ht="15.75" customHeight="1">
      <c r="A686" s="24"/>
    </row>
    <row r="687" spans="1:1" ht="15.75" customHeight="1">
      <c r="A687" s="24"/>
    </row>
    <row r="688" spans="1:1" ht="15.75" customHeight="1">
      <c r="A688" s="24"/>
    </row>
    <row r="689" spans="1:1" ht="15.75" customHeight="1">
      <c r="A689" s="24"/>
    </row>
    <row r="690" spans="1:1" ht="15.75" customHeight="1">
      <c r="A690" s="24"/>
    </row>
    <row r="691" spans="1:1" ht="15.75" customHeight="1">
      <c r="A691" s="24"/>
    </row>
    <row r="692" spans="1:1" ht="15.75" customHeight="1">
      <c r="A692" s="24"/>
    </row>
    <row r="693" spans="1:1" ht="15.75" customHeight="1">
      <c r="A693" s="24"/>
    </row>
    <row r="694" spans="1:1" ht="15.75" customHeight="1">
      <c r="A694" s="24"/>
    </row>
    <row r="695" spans="1:1" ht="15.75" customHeight="1">
      <c r="A695" s="24"/>
    </row>
    <row r="696" spans="1:1" ht="15.75" customHeight="1">
      <c r="A696" s="24"/>
    </row>
    <row r="697" spans="1:1" ht="15.75" customHeight="1">
      <c r="A697" s="24"/>
    </row>
    <row r="698" spans="1:1" ht="15.75" customHeight="1">
      <c r="A698" s="24"/>
    </row>
    <row r="699" spans="1:1" ht="15.75" customHeight="1">
      <c r="A699" s="24"/>
    </row>
    <row r="700" spans="1:1" ht="15.75" customHeight="1">
      <c r="A700" s="24"/>
    </row>
    <row r="701" spans="1:1" ht="15.75" customHeight="1">
      <c r="A701" s="24"/>
    </row>
    <row r="702" spans="1:1" ht="15.75" customHeight="1">
      <c r="A702" s="24"/>
    </row>
    <row r="703" spans="1:1" ht="15.75" customHeight="1">
      <c r="A703" s="24"/>
    </row>
    <row r="704" spans="1:1" ht="15.75" customHeight="1">
      <c r="A704" s="24"/>
    </row>
    <row r="705" spans="1:1" ht="15.75" customHeight="1">
      <c r="A705" s="24"/>
    </row>
    <row r="706" spans="1:1" ht="15.75" customHeight="1">
      <c r="A706" s="24"/>
    </row>
    <row r="707" spans="1:1" ht="15.75" customHeight="1">
      <c r="A707" s="24"/>
    </row>
    <row r="708" spans="1:1" ht="15.75" customHeight="1">
      <c r="A708" s="24"/>
    </row>
    <row r="709" spans="1:1" ht="15.75" customHeight="1">
      <c r="A709" s="24"/>
    </row>
    <row r="710" spans="1:1" ht="15.75" customHeight="1">
      <c r="A710" s="24"/>
    </row>
    <row r="711" spans="1:1" ht="15.75" customHeight="1">
      <c r="A711" s="24"/>
    </row>
    <row r="712" spans="1:1" ht="15.75" customHeight="1">
      <c r="A712" s="24"/>
    </row>
    <row r="713" spans="1:1" ht="15.75" customHeight="1">
      <c r="A713" s="24"/>
    </row>
    <row r="714" spans="1:1" ht="15.75" customHeight="1">
      <c r="A714" s="24"/>
    </row>
    <row r="715" spans="1:1" ht="15.75" customHeight="1">
      <c r="A715" s="24"/>
    </row>
    <row r="716" spans="1:1" ht="15.75" customHeight="1">
      <c r="A716" s="24"/>
    </row>
    <row r="717" spans="1:1" ht="15.75" customHeight="1">
      <c r="A717" s="24"/>
    </row>
    <row r="718" spans="1:1" ht="15.75" customHeight="1">
      <c r="A718" s="24"/>
    </row>
    <row r="719" spans="1:1" ht="15.75" customHeight="1">
      <c r="A719" s="24"/>
    </row>
    <row r="720" spans="1:1" ht="15.75" customHeight="1">
      <c r="A720" s="24"/>
    </row>
    <row r="721" spans="1:1" ht="15.75" customHeight="1">
      <c r="A721" s="24"/>
    </row>
    <row r="722" spans="1:1" ht="15.75" customHeight="1">
      <c r="A722" s="24"/>
    </row>
    <row r="723" spans="1:1" ht="15.75" customHeight="1">
      <c r="A723" s="24"/>
    </row>
    <row r="724" spans="1:1" ht="15.75" customHeight="1">
      <c r="A724" s="24"/>
    </row>
    <row r="725" spans="1:1" ht="15.75" customHeight="1">
      <c r="A725" s="24"/>
    </row>
    <row r="726" spans="1:1" ht="15.75" customHeight="1">
      <c r="A726" s="24"/>
    </row>
    <row r="727" spans="1:1" ht="15.75" customHeight="1">
      <c r="A727" s="24"/>
    </row>
    <row r="728" spans="1:1" ht="15.75" customHeight="1">
      <c r="A728" s="24"/>
    </row>
    <row r="729" spans="1:1" ht="15.75" customHeight="1">
      <c r="A729" s="24"/>
    </row>
    <row r="730" spans="1:1" ht="15.75" customHeight="1">
      <c r="A730" s="24"/>
    </row>
    <row r="731" spans="1:1" ht="15.75" customHeight="1">
      <c r="A731" s="24"/>
    </row>
    <row r="732" spans="1:1" ht="15.75" customHeight="1">
      <c r="A732" s="24"/>
    </row>
    <row r="733" spans="1:1" ht="15.75" customHeight="1">
      <c r="A733" s="24"/>
    </row>
    <row r="734" spans="1:1" ht="15.75" customHeight="1">
      <c r="A734" s="24"/>
    </row>
    <row r="735" spans="1:1" ht="15.75" customHeight="1">
      <c r="A735" s="24"/>
    </row>
    <row r="736" spans="1:1" ht="15.75" customHeight="1">
      <c r="A736" s="24"/>
    </row>
    <row r="737" spans="1:1" ht="15.75" customHeight="1">
      <c r="A737" s="24"/>
    </row>
    <row r="738" spans="1:1" ht="15.75" customHeight="1">
      <c r="A738" s="24"/>
    </row>
    <row r="739" spans="1:1" ht="15.75" customHeight="1">
      <c r="A739" s="24"/>
    </row>
    <row r="740" spans="1:1" ht="15.75" customHeight="1">
      <c r="A740" s="24"/>
    </row>
    <row r="741" spans="1:1" ht="15.75" customHeight="1">
      <c r="A741" s="24"/>
    </row>
    <row r="742" spans="1:1" ht="15.75" customHeight="1">
      <c r="A742" s="24"/>
    </row>
    <row r="743" spans="1:1" ht="15.75" customHeight="1">
      <c r="A743" s="24"/>
    </row>
    <row r="744" spans="1:1" ht="15.75" customHeight="1">
      <c r="A744" s="24"/>
    </row>
    <row r="745" spans="1:1" ht="15.75" customHeight="1">
      <c r="A745" s="24"/>
    </row>
    <row r="746" spans="1:1" ht="15.75" customHeight="1">
      <c r="A746" s="24"/>
    </row>
    <row r="747" spans="1:1" ht="15.75" customHeight="1">
      <c r="A747" s="24"/>
    </row>
    <row r="748" spans="1:1" ht="15.75" customHeight="1">
      <c r="A748" s="24"/>
    </row>
    <row r="749" spans="1:1" ht="15.75" customHeight="1">
      <c r="A749" s="24"/>
    </row>
    <row r="750" spans="1:1" ht="15.75" customHeight="1">
      <c r="A750" s="24"/>
    </row>
    <row r="751" spans="1:1" ht="15.75" customHeight="1">
      <c r="A751" s="24"/>
    </row>
    <row r="752" spans="1:1" ht="15.75" customHeight="1">
      <c r="A752" s="24"/>
    </row>
    <row r="753" spans="1:1" ht="15.75" customHeight="1">
      <c r="A753" s="24"/>
    </row>
    <row r="754" spans="1:1" ht="15.75" customHeight="1">
      <c r="A754" s="24"/>
    </row>
    <row r="755" spans="1:1" ht="15.75" customHeight="1">
      <c r="A755" s="24"/>
    </row>
    <row r="756" spans="1:1" ht="15.75" customHeight="1">
      <c r="A756" s="24"/>
    </row>
    <row r="757" spans="1:1" ht="15.75" customHeight="1">
      <c r="A757" s="24"/>
    </row>
    <row r="758" spans="1:1" ht="15.75" customHeight="1">
      <c r="A758" s="24"/>
    </row>
    <row r="759" spans="1:1" ht="15.75" customHeight="1">
      <c r="A759" s="24"/>
    </row>
    <row r="760" spans="1:1" ht="15.75" customHeight="1">
      <c r="A760" s="24"/>
    </row>
    <row r="761" spans="1:1" ht="15.75" customHeight="1">
      <c r="A761" s="24"/>
    </row>
    <row r="762" spans="1:1" ht="15.75" customHeight="1">
      <c r="A762" s="24"/>
    </row>
    <row r="763" spans="1:1" ht="15.75" customHeight="1">
      <c r="A763" s="24"/>
    </row>
    <row r="764" spans="1:1" ht="15.75" customHeight="1">
      <c r="A764" s="24"/>
    </row>
    <row r="765" spans="1:1" ht="15.75" customHeight="1">
      <c r="A765" s="24"/>
    </row>
    <row r="766" spans="1:1" ht="15.75" customHeight="1">
      <c r="A766" s="24"/>
    </row>
    <row r="767" spans="1:1" ht="15.75" customHeight="1">
      <c r="A767" s="24"/>
    </row>
    <row r="768" spans="1:1" ht="15.75" customHeight="1">
      <c r="A768" s="24"/>
    </row>
    <row r="769" spans="1:1" ht="15.75" customHeight="1">
      <c r="A769" s="24"/>
    </row>
    <row r="770" spans="1:1" ht="15.75" customHeight="1">
      <c r="A770" s="24"/>
    </row>
    <row r="771" spans="1:1" ht="15.75" customHeight="1">
      <c r="A771" s="24"/>
    </row>
    <row r="772" spans="1:1" ht="15.75" customHeight="1">
      <c r="A772" s="24"/>
    </row>
    <row r="773" spans="1:1" ht="15.75" customHeight="1">
      <c r="A773" s="24"/>
    </row>
    <row r="774" spans="1:1" ht="15.75" customHeight="1">
      <c r="A774" s="24"/>
    </row>
    <row r="775" spans="1:1" ht="15.75" customHeight="1">
      <c r="A775" s="24"/>
    </row>
    <row r="776" spans="1:1" ht="15.75" customHeight="1">
      <c r="A776" s="24"/>
    </row>
    <row r="777" spans="1:1" ht="15.75" customHeight="1">
      <c r="A777" s="24"/>
    </row>
    <row r="778" spans="1:1" ht="15.75" customHeight="1">
      <c r="A778" s="24"/>
    </row>
    <row r="779" spans="1:1" ht="15.75" customHeight="1">
      <c r="A779" s="24"/>
    </row>
    <row r="780" spans="1:1" ht="15.75" customHeight="1">
      <c r="A780" s="24"/>
    </row>
    <row r="781" spans="1:1" ht="15.75" customHeight="1">
      <c r="A781" s="24"/>
    </row>
    <row r="782" spans="1:1" ht="15.75" customHeight="1">
      <c r="A782" s="24"/>
    </row>
    <row r="783" spans="1:1" ht="15.75" customHeight="1">
      <c r="A783" s="24"/>
    </row>
    <row r="784" spans="1:1" ht="15.75" customHeight="1">
      <c r="A784" s="24"/>
    </row>
    <row r="785" spans="1:1" ht="15.75" customHeight="1">
      <c r="A785" s="24"/>
    </row>
    <row r="786" spans="1:1" ht="15.75" customHeight="1">
      <c r="A786" s="24"/>
    </row>
    <row r="787" spans="1:1" ht="15.75" customHeight="1">
      <c r="A787" s="24"/>
    </row>
    <row r="788" spans="1:1" ht="15.75" customHeight="1">
      <c r="A788" s="24"/>
    </row>
    <row r="789" spans="1:1" ht="15.75" customHeight="1">
      <c r="A789" s="24"/>
    </row>
    <row r="790" spans="1:1" ht="15.75" customHeight="1">
      <c r="A790" s="24"/>
    </row>
    <row r="791" spans="1:1" ht="15.75" customHeight="1">
      <c r="A791" s="24"/>
    </row>
    <row r="792" spans="1:1" ht="15.75" customHeight="1">
      <c r="A792" s="24"/>
    </row>
    <row r="793" spans="1:1" ht="15.75" customHeight="1">
      <c r="A793" s="24"/>
    </row>
    <row r="794" spans="1:1" ht="15.75" customHeight="1">
      <c r="A794" s="24"/>
    </row>
    <row r="795" spans="1:1" ht="15.75" customHeight="1">
      <c r="A795" s="24"/>
    </row>
    <row r="796" spans="1:1" ht="15.75" customHeight="1">
      <c r="A796" s="24"/>
    </row>
    <row r="797" spans="1:1" ht="15.75" customHeight="1">
      <c r="A797" s="24"/>
    </row>
    <row r="798" spans="1:1" ht="15.75" customHeight="1">
      <c r="A798" s="24"/>
    </row>
    <row r="799" spans="1:1" ht="15.75" customHeight="1">
      <c r="A799" s="24"/>
    </row>
    <row r="800" spans="1:1" ht="15.75" customHeight="1">
      <c r="A800" s="24"/>
    </row>
    <row r="801" spans="1:1" ht="15.75" customHeight="1">
      <c r="A801" s="24"/>
    </row>
    <row r="802" spans="1:1" ht="15.75" customHeight="1">
      <c r="A802" s="24"/>
    </row>
    <row r="803" spans="1:1" ht="15.75" customHeight="1">
      <c r="A803" s="24"/>
    </row>
    <row r="804" spans="1:1" ht="15.75" customHeight="1">
      <c r="A804" s="24"/>
    </row>
    <row r="805" spans="1:1" ht="15.75" customHeight="1">
      <c r="A805" s="24"/>
    </row>
    <row r="806" spans="1:1" ht="15.75" customHeight="1">
      <c r="A806" s="24"/>
    </row>
    <row r="807" spans="1:1" ht="15.75" customHeight="1">
      <c r="A807" s="24"/>
    </row>
    <row r="808" spans="1:1" ht="15.75" customHeight="1">
      <c r="A808" s="24"/>
    </row>
    <row r="809" spans="1:1" ht="15.75" customHeight="1">
      <c r="A809" s="24"/>
    </row>
    <row r="810" spans="1:1" ht="15.75" customHeight="1">
      <c r="A810" s="24"/>
    </row>
    <row r="811" spans="1:1" ht="15.75" customHeight="1">
      <c r="A811" s="24"/>
    </row>
    <row r="812" spans="1:1" ht="15.75" customHeight="1">
      <c r="A812" s="24"/>
    </row>
    <row r="813" spans="1:1" ht="15.75" customHeight="1">
      <c r="A813" s="24"/>
    </row>
    <row r="814" spans="1:1" ht="15.75" customHeight="1">
      <c r="A814" s="24"/>
    </row>
    <row r="815" spans="1:1" ht="15.75" customHeight="1">
      <c r="A815" s="24"/>
    </row>
    <row r="816" spans="1:1" ht="15.75" customHeight="1">
      <c r="A816" s="24"/>
    </row>
    <row r="817" spans="1:1" ht="15.75" customHeight="1">
      <c r="A817" s="24"/>
    </row>
    <row r="818" spans="1:1" ht="15.75" customHeight="1">
      <c r="A818" s="24"/>
    </row>
    <row r="819" spans="1:1" ht="15.75" customHeight="1">
      <c r="A819" s="24"/>
    </row>
    <row r="820" spans="1:1" ht="15.75" customHeight="1">
      <c r="A820" s="24"/>
    </row>
    <row r="821" spans="1:1" ht="15.75" customHeight="1">
      <c r="A821" s="24"/>
    </row>
    <row r="822" spans="1:1" ht="15.75" customHeight="1">
      <c r="A822" s="24"/>
    </row>
    <row r="823" spans="1:1" ht="15.75" customHeight="1">
      <c r="A823" s="24"/>
    </row>
    <row r="824" spans="1:1" ht="15.75" customHeight="1">
      <c r="A824" s="24"/>
    </row>
    <row r="825" spans="1:1" ht="15.75" customHeight="1">
      <c r="A825" s="24"/>
    </row>
    <row r="826" spans="1:1" ht="15.75" customHeight="1">
      <c r="A826" s="24"/>
    </row>
    <row r="827" spans="1:1" ht="15.75" customHeight="1">
      <c r="A827" s="24"/>
    </row>
    <row r="828" spans="1:1" ht="15.75" customHeight="1">
      <c r="A828" s="24"/>
    </row>
    <row r="829" spans="1:1" ht="15.75" customHeight="1">
      <c r="A829" s="24"/>
    </row>
    <row r="830" spans="1:1" ht="15.75" customHeight="1">
      <c r="A830" s="24"/>
    </row>
    <row r="831" spans="1:1" ht="15.75" customHeight="1">
      <c r="A831" s="24"/>
    </row>
    <row r="832" spans="1:1" ht="15.75" customHeight="1">
      <c r="A832" s="24"/>
    </row>
    <row r="833" spans="1:1" ht="15.75" customHeight="1">
      <c r="A833" s="24"/>
    </row>
    <row r="834" spans="1:1" ht="15.75" customHeight="1">
      <c r="A834" s="24"/>
    </row>
    <row r="835" spans="1:1" ht="15.75" customHeight="1">
      <c r="A835" s="24"/>
    </row>
    <row r="836" spans="1:1" ht="15.75" customHeight="1">
      <c r="A836" s="24"/>
    </row>
    <row r="837" spans="1:1" ht="15.75" customHeight="1">
      <c r="A837" s="24"/>
    </row>
    <row r="838" spans="1:1" ht="15.75" customHeight="1">
      <c r="A838" s="24"/>
    </row>
    <row r="839" spans="1:1" ht="15.75" customHeight="1">
      <c r="A839" s="24"/>
    </row>
    <row r="840" spans="1:1" ht="15.75" customHeight="1">
      <c r="A840" s="24"/>
    </row>
    <row r="841" spans="1:1" ht="15.75" customHeight="1">
      <c r="A841" s="24"/>
    </row>
    <row r="842" spans="1:1" ht="15.75" customHeight="1">
      <c r="A842" s="24"/>
    </row>
    <row r="843" spans="1:1" ht="15.75" customHeight="1">
      <c r="A843" s="24"/>
    </row>
    <row r="844" spans="1:1" ht="15.75" customHeight="1">
      <c r="A844" s="24"/>
    </row>
    <row r="845" spans="1:1" ht="15.75" customHeight="1">
      <c r="A845" s="24"/>
    </row>
    <row r="846" spans="1:1" ht="15.75" customHeight="1">
      <c r="A846" s="24"/>
    </row>
    <row r="847" spans="1:1" ht="15.75" customHeight="1">
      <c r="A847" s="24"/>
    </row>
    <row r="848" spans="1:1" ht="15.75" customHeight="1">
      <c r="A848" s="24"/>
    </row>
    <row r="849" spans="1:1" ht="15.75" customHeight="1">
      <c r="A849" s="24"/>
    </row>
    <row r="850" spans="1:1" ht="15.75" customHeight="1">
      <c r="A850" s="24"/>
    </row>
    <row r="851" spans="1:1" ht="15.75" customHeight="1">
      <c r="A851" s="24"/>
    </row>
    <row r="852" spans="1:1" ht="15.75" customHeight="1">
      <c r="A852" s="24"/>
    </row>
    <row r="853" spans="1:1" ht="15.75" customHeight="1">
      <c r="A853" s="24"/>
    </row>
    <row r="854" spans="1:1" ht="15.75" customHeight="1">
      <c r="A854" s="24"/>
    </row>
    <row r="855" spans="1:1" ht="15.75" customHeight="1">
      <c r="A855" s="24"/>
    </row>
    <row r="856" spans="1:1" ht="15.75" customHeight="1">
      <c r="A856" s="24"/>
    </row>
    <row r="857" spans="1:1" ht="15.75" customHeight="1">
      <c r="A857" s="24"/>
    </row>
    <row r="858" spans="1:1" ht="15.75" customHeight="1">
      <c r="A858" s="24"/>
    </row>
    <row r="859" spans="1:1" ht="15.75" customHeight="1">
      <c r="A859" s="24"/>
    </row>
    <row r="860" spans="1:1" ht="15.75" customHeight="1">
      <c r="A860" s="24"/>
    </row>
    <row r="861" spans="1:1" ht="15.75" customHeight="1">
      <c r="A861" s="24"/>
    </row>
    <row r="862" spans="1:1" ht="15.75" customHeight="1">
      <c r="A862" s="24"/>
    </row>
    <row r="863" spans="1:1" ht="15.75" customHeight="1">
      <c r="A863" s="24"/>
    </row>
    <row r="864" spans="1:1" ht="15.75" customHeight="1">
      <c r="A864" s="24"/>
    </row>
    <row r="865" spans="1:1" ht="15.75" customHeight="1">
      <c r="A865" s="24"/>
    </row>
    <row r="866" spans="1:1" ht="15.75" customHeight="1">
      <c r="A866" s="24"/>
    </row>
    <row r="867" spans="1:1" ht="15.75" customHeight="1">
      <c r="A867" s="24"/>
    </row>
    <row r="868" spans="1:1" ht="15.75" customHeight="1">
      <c r="A868" s="24"/>
    </row>
    <row r="869" spans="1:1" ht="15.75" customHeight="1">
      <c r="A869" s="24"/>
    </row>
    <row r="870" spans="1:1" ht="15.75" customHeight="1">
      <c r="A870" s="24"/>
    </row>
    <row r="871" spans="1:1" ht="15.75" customHeight="1">
      <c r="A871" s="24"/>
    </row>
    <row r="872" spans="1:1" ht="15.75" customHeight="1">
      <c r="A872" s="24"/>
    </row>
    <row r="873" spans="1:1" ht="15.75" customHeight="1">
      <c r="A873" s="24"/>
    </row>
    <row r="874" spans="1:1" ht="15.75" customHeight="1">
      <c r="A874" s="24"/>
    </row>
    <row r="875" spans="1:1" ht="15.75" customHeight="1">
      <c r="A875" s="24"/>
    </row>
    <row r="876" spans="1:1" ht="15.75" customHeight="1">
      <c r="A876" s="24"/>
    </row>
    <row r="877" spans="1:1" ht="15.75" customHeight="1">
      <c r="A877" s="24"/>
    </row>
    <row r="878" spans="1:1" ht="15.75" customHeight="1">
      <c r="A878" s="24"/>
    </row>
    <row r="879" spans="1:1" ht="15.75" customHeight="1">
      <c r="A879" s="24"/>
    </row>
    <row r="880" spans="1:1" ht="15.75" customHeight="1">
      <c r="A880" s="24"/>
    </row>
    <row r="881" spans="1:1" ht="15.75" customHeight="1">
      <c r="A881" s="24"/>
    </row>
    <row r="882" spans="1:1" ht="15.75" customHeight="1">
      <c r="A882" s="24"/>
    </row>
    <row r="883" spans="1:1" ht="15.75" customHeight="1">
      <c r="A883" s="24"/>
    </row>
    <row r="884" spans="1:1" ht="15.75" customHeight="1">
      <c r="A884" s="24"/>
    </row>
    <row r="885" spans="1:1" ht="15.75" customHeight="1">
      <c r="A885" s="24"/>
    </row>
    <row r="886" spans="1:1" ht="15.75" customHeight="1">
      <c r="A886" s="24"/>
    </row>
    <row r="887" spans="1:1" ht="15.75" customHeight="1">
      <c r="A887" s="24"/>
    </row>
    <row r="888" spans="1:1" ht="15.75" customHeight="1">
      <c r="A888" s="24"/>
    </row>
    <row r="889" spans="1:1" ht="15.75" customHeight="1">
      <c r="A889" s="24"/>
    </row>
    <row r="890" spans="1:1" ht="15.75" customHeight="1">
      <c r="A890" s="24"/>
    </row>
    <row r="891" spans="1:1" ht="15.75" customHeight="1">
      <c r="A891" s="24"/>
    </row>
    <row r="892" spans="1:1" ht="15.75" customHeight="1">
      <c r="A892" s="24"/>
    </row>
    <row r="893" spans="1:1" ht="15.75" customHeight="1">
      <c r="A893" s="24"/>
    </row>
    <row r="894" spans="1:1" ht="15.75" customHeight="1">
      <c r="A894" s="24"/>
    </row>
    <row r="895" spans="1:1" ht="15.75" customHeight="1">
      <c r="A895" s="24"/>
    </row>
    <row r="896" spans="1:1" ht="15.75" customHeight="1">
      <c r="A896" s="24"/>
    </row>
    <row r="897" spans="1:1" ht="15.75" customHeight="1">
      <c r="A897" s="24"/>
    </row>
    <row r="898" spans="1:1" ht="15.75" customHeight="1">
      <c r="A898" s="24"/>
    </row>
    <row r="899" spans="1:1" ht="15.75" customHeight="1">
      <c r="A899" s="24"/>
    </row>
    <row r="900" spans="1:1" ht="15.75" customHeight="1">
      <c r="A900" s="24"/>
    </row>
    <row r="901" spans="1:1" ht="15.75" customHeight="1">
      <c r="A901" s="24"/>
    </row>
    <row r="902" spans="1:1" ht="15.75" customHeight="1">
      <c r="A902" s="24"/>
    </row>
    <row r="903" spans="1:1" ht="15.75" customHeight="1">
      <c r="A903" s="24"/>
    </row>
    <row r="904" spans="1:1" ht="15.75" customHeight="1">
      <c r="A904" s="24"/>
    </row>
    <row r="905" spans="1:1" ht="15.75" customHeight="1">
      <c r="A905" s="24"/>
    </row>
    <row r="906" spans="1:1" ht="15.75" customHeight="1">
      <c r="A906" s="24"/>
    </row>
    <row r="907" spans="1:1" ht="15.75" customHeight="1">
      <c r="A907" s="24"/>
    </row>
    <row r="908" spans="1:1" ht="15.75" customHeight="1">
      <c r="A908" s="24"/>
    </row>
    <row r="909" spans="1:1" ht="15.75" customHeight="1">
      <c r="A909" s="24"/>
    </row>
    <row r="910" spans="1:1" ht="15.75" customHeight="1">
      <c r="A910" s="24"/>
    </row>
    <row r="911" spans="1:1" ht="15.75" customHeight="1">
      <c r="A911" s="24"/>
    </row>
    <row r="912" spans="1:1" ht="15.75" customHeight="1">
      <c r="A912" s="24"/>
    </row>
    <row r="913" spans="1:1" ht="15.75" customHeight="1">
      <c r="A913" s="24"/>
    </row>
    <row r="914" spans="1:1" ht="15.75" customHeight="1">
      <c r="A914" s="24"/>
    </row>
    <row r="915" spans="1:1" ht="15.75" customHeight="1">
      <c r="A915" s="24"/>
    </row>
    <row r="916" spans="1:1" ht="15.75" customHeight="1">
      <c r="A916" s="24"/>
    </row>
    <row r="917" spans="1:1" ht="15.75" customHeight="1">
      <c r="A917" s="24"/>
    </row>
    <row r="918" spans="1:1" ht="15.75" customHeight="1">
      <c r="A918" s="24"/>
    </row>
    <row r="919" spans="1:1" ht="15.75" customHeight="1">
      <c r="A919" s="24"/>
    </row>
    <row r="920" spans="1:1" ht="15.75" customHeight="1">
      <c r="A920" s="24"/>
    </row>
    <row r="921" spans="1:1" ht="15.75" customHeight="1">
      <c r="A921" s="24"/>
    </row>
    <row r="922" spans="1:1" ht="15.75" customHeight="1">
      <c r="A922" s="24"/>
    </row>
    <row r="923" spans="1:1" ht="15.75" customHeight="1">
      <c r="A923" s="24"/>
    </row>
    <row r="924" spans="1:1" ht="15.75" customHeight="1">
      <c r="A924" s="24"/>
    </row>
    <row r="925" spans="1:1" ht="15.75" customHeight="1">
      <c r="A925" s="24"/>
    </row>
    <row r="926" spans="1:1" ht="15.75" customHeight="1">
      <c r="A926" s="24"/>
    </row>
    <row r="927" spans="1:1" ht="15.75" customHeight="1">
      <c r="A927" s="24"/>
    </row>
    <row r="928" spans="1:1" ht="15.75" customHeight="1">
      <c r="A928" s="24"/>
    </row>
    <row r="929" spans="1:1" ht="15.75" customHeight="1">
      <c r="A929" s="24"/>
    </row>
    <row r="930" spans="1:1" ht="15.75" customHeight="1">
      <c r="A930" s="24"/>
    </row>
    <row r="931" spans="1:1" ht="15.75" customHeight="1">
      <c r="A931" s="24"/>
    </row>
    <row r="932" spans="1:1" ht="15.75" customHeight="1">
      <c r="A932" s="24"/>
    </row>
    <row r="933" spans="1:1" ht="15.75" customHeight="1">
      <c r="A933" s="24"/>
    </row>
    <row r="934" spans="1:1" ht="15.75" customHeight="1">
      <c r="A934" s="24"/>
    </row>
    <row r="935" spans="1:1" ht="15.75" customHeight="1">
      <c r="A935" s="24"/>
    </row>
    <row r="936" spans="1:1" ht="15.75" customHeight="1">
      <c r="A936" s="24"/>
    </row>
    <row r="937" spans="1:1" ht="15.75" customHeight="1">
      <c r="A937" s="24"/>
    </row>
    <row r="938" spans="1:1" ht="15.75" customHeight="1">
      <c r="A938" s="24"/>
    </row>
    <row r="939" spans="1:1" ht="15.75" customHeight="1">
      <c r="A939" s="24"/>
    </row>
    <row r="940" spans="1:1" ht="15.75" customHeight="1">
      <c r="A940" s="24"/>
    </row>
    <row r="941" spans="1:1" ht="15.75" customHeight="1">
      <c r="A941" s="24"/>
    </row>
    <row r="942" spans="1:1" ht="15.75" customHeight="1">
      <c r="A942" s="24"/>
    </row>
    <row r="943" spans="1:1" ht="15.75" customHeight="1">
      <c r="A943" s="24"/>
    </row>
    <row r="944" spans="1:1" ht="15.75" customHeight="1">
      <c r="A944" s="24"/>
    </row>
    <row r="945" spans="1:1" ht="15.75" customHeight="1">
      <c r="A945" s="24"/>
    </row>
    <row r="946" spans="1:1" ht="15.75" customHeight="1">
      <c r="A946" s="24"/>
    </row>
    <row r="947" spans="1:1" ht="15.75" customHeight="1">
      <c r="A947" s="24"/>
    </row>
    <row r="948" spans="1:1" ht="15.75" customHeight="1">
      <c r="A948" s="24"/>
    </row>
    <row r="949" spans="1:1" ht="15.75" customHeight="1">
      <c r="A949" s="24"/>
    </row>
    <row r="950" spans="1:1" ht="15.75" customHeight="1">
      <c r="A950" s="24"/>
    </row>
    <row r="951" spans="1:1" ht="15.75" customHeight="1">
      <c r="A951" s="24"/>
    </row>
    <row r="952" spans="1:1" ht="15.75" customHeight="1">
      <c r="A952" s="24"/>
    </row>
    <row r="953" spans="1:1" ht="15.75" customHeight="1">
      <c r="A953" s="24"/>
    </row>
    <row r="954" spans="1:1" ht="15.75" customHeight="1">
      <c r="A954" s="24"/>
    </row>
    <row r="955" spans="1:1" ht="15.75" customHeight="1">
      <c r="A955" s="24"/>
    </row>
    <row r="956" spans="1:1" ht="15.75" customHeight="1">
      <c r="A956" s="24"/>
    </row>
    <row r="957" spans="1:1" ht="15.75" customHeight="1">
      <c r="A957" s="24"/>
    </row>
    <row r="958" spans="1:1" ht="15.75" customHeight="1">
      <c r="A958" s="24"/>
    </row>
    <row r="959" spans="1:1" ht="15.75" customHeight="1">
      <c r="A959" s="24"/>
    </row>
    <row r="960" spans="1:1" ht="15.75" customHeight="1">
      <c r="A960" s="24"/>
    </row>
    <row r="961" spans="1:1" ht="15.75" customHeight="1">
      <c r="A961" s="24"/>
    </row>
    <row r="962" spans="1:1" ht="15.75" customHeight="1">
      <c r="A962" s="24"/>
    </row>
    <row r="963" spans="1:1" ht="15.75" customHeight="1">
      <c r="A963" s="24"/>
    </row>
    <row r="964" spans="1:1" ht="15.75" customHeight="1">
      <c r="A964" s="24"/>
    </row>
    <row r="965" spans="1:1" ht="15.75" customHeight="1">
      <c r="A965" s="24"/>
    </row>
    <row r="966" spans="1:1" ht="15.75" customHeight="1">
      <c r="A966" s="24"/>
    </row>
    <row r="967" spans="1:1" ht="15.75" customHeight="1">
      <c r="A967" s="24"/>
    </row>
    <row r="968" spans="1:1" ht="15.75" customHeight="1">
      <c r="A968" s="24"/>
    </row>
    <row r="969" spans="1:1" ht="15.75" customHeight="1">
      <c r="A969" s="24"/>
    </row>
    <row r="970" spans="1:1" ht="15.75" customHeight="1">
      <c r="A970" s="24"/>
    </row>
    <row r="971" spans="1:1" ht="15.75" customHeight="1">
      <c r="A971" s="24"/>
    </row>
    <row r="972" spans="1:1" ht="15.75" customHeight="1">
      <c r="A972" s="24"/>
    </row>
    <row r="973" spans="1:1" ht="15.75" customHeight="1">
      <c r="A973" s="24"/>
    </row>
    <row r="974" spans="1:1" ht="15.75" customHeight="1">
      <c r="A974" s="24"/>
    </row>
    <row r="975" spans="1:1" ht="15.75" customHeight="1">
      <c r="A975" s="24"/>
    </row>
    <row r="976" spans="1:1" ht="15.75" customHeight="1">
      <c r="A976" s="24"/>
    </row>
    <row r="977" spans="1:1" ht="15.75" customHeight="1">
      <c r="A977" s="24"/>
    </row>
    <row r="978" spans="1:1" ht="15.75" customHeight="1">
      <c r="A978" s="24"/>
    </row>
    <row r="979" spans="1:1" ht="15.75" customHeight="1">
      <c r="A979" s="24"/>
    </row>
    <row r="980" spans="1:1" ht="15.75" customHeight="1">
      <c r="A980" s="24"/>
    </row>
    <row r="981" spans="1:1" ht="15.75" customHeight="1">
      <c r="A981" s="24"/>
    </row>
    <row r="982" spans="1:1" ht="15.75" customHeight="1">
      <c r="A982" s="24"/>
    </row>
    <row r="983" spans="1:1" ht="15.75" customHeight="1">
      <c r="A983" s="24"/>
    </row>
    <row r="984" spans="1:1" ht="15.75" customHeight="1">
      <c r="A984" s="24"/>
    </row>
    <row r="985" spans="1:1" ht="15.75" customHeight="1">
      <c r="A985" s="24"/>
    </row>
    <row r="986" spans="1:1" ht="15.75" customHeight="1">
      <c r="A986" s="24"/>
    </row>
    <row r="987" spans="1:1" ht="15.75" customHeight="1">
      <c r="A987" s="24"/>
    </row>
    <row r="988" spans="1:1" ht="15.75" customHeight="1">
      <c r="A988" s="24"/>
    </row>
    <row r="989" spans="1:1" ht="15.75" customHeight="1">
      <c r="A989" s="24"/>
    </row>
    <row r="990" spans="1:1" ht="15.75" customHeight="1">
      <c r="A990" s="24"/>
    </row>
    <row r="991" spans="1:1" ht="15.75" customHeight="1">
      <c r="A991" s="24"/>
    </row>
    <row r="992" spans="1:1" ht="15.75" customHeight="1">
      <c r="A992" s="24"/>
    </row>
    <row r="993" spans="1:1" ht="15.75" customHeight="1">
      <c r="A993" s="24"/>
    </row>
    <row r="994" spans="1:1" ht="15.75" customHeight="1">
      <c r="A994" s="24"/>
    </row>
    <row r="995" spans="1:1" ht="15.75" customHeight="1">
      <c r="A995" s="24"/>
    </row>
    <row r="996" spans="1:1" ht="15.75" customHeight="1">
      <c r="A996" s="24"/>
    </row>
    <row r="997" spans="1:1" ht="15.75" customHeight="1">
      <c r="A997" s="24"/>
    </row>
    <row r="998" spans="1:1" ht="15.75" customHeight="1">
      <c r="A998" s="24"/>
    </row>
    <row r="999" spans="1:1" ht="15.75" customHeight="1">
      <c r="A999" s="24"/>
    </row>
    <row r="1000" spans="1:1" ht="15.75" customHeight="1">
      <c r="A1000" s="24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8C71-4289-4EB3-949B-75365B67DA0C}">
  <sheetPr>
    <tabColor rgb="FFC00000"/>
  </sheetPr>
  <dimension ref="A1:AN1000"/>
  <sheetViews>
    <sheetView topLeftCell="F1" workbookViewId="0">
      <selection activeCell="S1" sqref="S1:S12"/>
    </sheetView>
  </sheetViews>
  <sheetFormatPr baseColWidth="10" defaultColWidth="12.59765625" defaultRowHeight="15" customHeight="1"/>
  <cols>
    <col min="4" max="4" width="14.09765625" customWidth="1"/>
    <col min="5" max="6" width="21" customWidth="1"/>
    <col min="7" max="7" width="14.19921875" customWidth="1"/>
    <col min="8" max="13" width="11" customWidth="1"/>
    <col min="14" max="15" width="14.69921875" customWidth="1"/>
    <col min="16" max="34" width="11" customWidth="1"/>
  </cols>
  <sheetData>
    <row r="1" spans="1:40" ht="45" customHeight="1">
      <c r="A1" s="1" t="s">
        <v>0</v>
      </c>
      <c r="B1" s="2" t="s">
        <v>1</v>
      </c>
      <c r="C1" s="2" t="s">
        <v>2</v>
      </c>
      <c r="D1" s="2" t="s">
        <v>3</v>
      </c>
      <c r="E1" s="87" t="s">
        <v>494</v>
      </c>
      <c r="F1" s="88" t="s">
        <v>6</v>
      </c>
      <c r="G1" s="76" t="s">
        <v>492</v>
      </c>
      <c r="H1" s="77" t="s">
        <v>493</v>
      </c>
      <c r="I1" s="76" t="s">
        <v>496</v>
      </c>
      <c r="J1" s="77" t="s">
        <v>495</v>
      </c>
      <c r="K1" s="80" t="s">
        <v>497</v>
      </c>
      <c r="M1" s="2" t="s">
        <v>463</v>
      </c>
      <c r="N1" s="2" t="s">
        <v>7</v>
      </c>
      <c r="O1" s="2" t="s">
        <v>488</v>
      </c>
      <c r="P1" s="2" t="s">
        <v>489</v>
      </c>
      <c r="Q1" s="73" t="s">
        <v>7</v>
      </c>
      <c r="R1" s="81" t="s">
        <v>490</v>
      </c>
      <c r="S1" s="81" t="s">
        <v>491</v>
      </c>
      <c r="T1" s="49" t="s">
        <v>506</v>
      </c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</row>
    <row r="2" spans="1:40" ht="14.25" customHeight="1">
      <c r="A2" s="7">
        <v>10101</v>
      </c>
      <c r="B2" s="8" t="s">
        <v>11</v>
      </c>
      <c r="C2" s="8" t="s">
        <v>12</v>
      </c>
      <c r="D2" s="8" t="s">
        <v>13</v>
      </c>
      <c r="E2" s="89">
        <v>223</v>
      </c>
      <c r="F2" s="90">
        <v>5095</v>
      </c>
      <c r="G2" s="75">
        <f t="shared" ref="G2:G30" si="0">E2/$R$2</f>
        <v>0.39399293286219084</v>
      </c>
      <c r="H2" s="78">
        <f>$S$17*G2</f>
        <v>11.774084805653711</v>
      </c>
      <c r="I2" s="75">
        <f t="shared" ref="I2:I30" si="1">F2/$S$2</f>
        <v>0.44059149083362159</v>
      </c>
      <c r="J2" s="79">
        <f>I2*$U$17</f>
        <v>424.73019716361119</v>
      </c>
      <c r="K2" s="79">
        <f>1000*H2/J2</f>
        <v>27.721327290317884</v>
      </c>
      <c r="M2" s="50">
        <v>1</v>
      </c>
      <c r="N2" s="8" t="s">
        <v>11</v>
      </c>
      <c r="O2" s="9">
        <v>48.945001729505364</v>
      </c>
      <c r="P2" s="9">
        <v>15.751550019549795</v>
      </c>
      <c r="Q2" s="33" t="s">
        <v>11</v>
      </c>
      <c r="R2" s="82">
        <v>566</v>
      </c>
      <c r="S2" s="82">
        <v>11564</v>
      </c>
      <c r="T2" s="8">
        <v>31</v>
      </c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</row>
    <row r="3" spans="1:40" ht="14.25" customHeight="1">
      <c r="A3" s="7">
        <v>10102</v>
      </c>
      <c r="B3" s="8" t="s">
        <v>11</v>
      </c>
      <c r="C3" s="8" t="s">
        <v>12</v>
      </c>
      <c r="D3" s="8" t="s">
        <v>14</v>
      </c>
      <c r="E3" s="89">
        <v>10</v>
      </c>
      <c r="F3" s="90">
        <v>169</v>
      </c>
      <c r="G3" s="75">
        <f t="shared" si="0"/>
        <v>1.7667844522968199E-2</v>
      </c>
      <c r="H3" s="78">
        <f t="shared" ref="H3:H30" si="2">$S$17*G3</f>
        <v>0.52798586572438166</v>
      </c>
      <c r="I3" s="75">
        <f t="shared" si="1"/>
        <v>1.4614320304392943E-2</v>
      </c>
      <c r="J3" s="79">
        <f t="shared" ref="J3:J30" si="3">I3*$U$17</f>
        <v>14.088204773434798</v>
      </c>
      <c r="K3" s="79">
        <f t="shared" ref="K3:K30" si="4">1000*H3/J3</f>
        <v>37.477157254270608</v>
      </c>
      <c r="M3" s="50">
        <v>2</v>
      </c>
      <c r="N3" s="8" t="s">
        <v>15</v>
      </c>
      <c r="O3" s="9">
        <v>67.582012532252108</v>
      </c>
      <c r="P3" s="9">
        <v>22.452671890784359</v>
      </c>
      <c r="Q3" s="33" t="s">
        <v>15</v>
      </c>
      <c r="R3" s="82">
        <v>3667</v>
      </c>
      <c r="S3" s="82">
        <v>54260</v>
      </c>
      <c r="T3" s="8">
        <v>70</v>
      </c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</row>
    <row r="4" spans="1:40" ht="14.25" customHeight="1">
      <c r="A4" s="7">
        <v>10103</v>
      </c>
      <c r="B4" s="8" t="s">
        <v>11</v>
      </c>
      <c r="C4" s="8" t="s">
        <v>12</v>
      </c>
      <c r="D4" s="8" t="s">
        <v>16</v>
      </c>
      <c r="E4" s="89">
        <v>32</v>
      </c>
      <c r="F4" s="90">
        <v>392</v>
      </c>
      <c r="G4" s="75">
        <f t="shared" si="0"/>
        <v>5.6537102473498232E-2</v>
      </c>
      <c r="H4" s="78">
        <f t="shared" si="2"/>
        <v>1.6895547703180211</v>
      </c>
      <c r="I4" s="75">
        <f t="shared" si="1"/>
        <v>3.3898305084745763E-2</v>
      </c>
      <c r="J4" s="79">
        <f t="shared" si="3"/>
        <v>32.677966101694913</v>
      </c>
      <c r="K4" s="79">
        <f t="shared" si="4"/>
        <v>51.703180212014139</v>
      </c>
      <c r="M4" s="50">
        <v>3</v>
      </c>
      <c r="N4" s="8" t="s">
        <v>17</v>
      </c>
      <c r="O4" s="9">
        <v>59.293557348855671</v>
      </c>
      <c r="P4" s="9">
        <v>17.49382159566035</v>
      </c>
      <c r="Q4" s="33" t="s">
        <v>17</v>
      </c>
      <c r="R4" s="82">
        <v>2241</v>
      </c>
      <c r="S4" s="82">
        <v>37795</v>
      </c>
      <c r="T4" s="8">
        <v>75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</row>
    <row r="5" spans="1:40" ht="14.25" customHeight="1">
      <c r="A5" s="7">
        <v>10201</v>
      </c>
      <c r="B5" s="8" t="s">
        <v>11</v>
      </c>
      <c r="C5" s="8" t="s">
        <v>18</v>
      </c>
      <c r="D5" s="8" t="s">
        <v>19</v>
      </c>
      <c r="E5" s="89">
        <v>12</v>
      </c>
      <c r="F5" s="90">
        <v>229</v>
      </c>
      <c r="G5" s="75">
        <f t="shared" si="0"/>
        <v>2.1201413427561839E-2</v>
      </c>
      <c r="H5" s="78">
        <f t="shared" si="2"/>
        <v>0.63358303886925804</v>
      </c>
      <c r="I5" s="75">
        <f t="shared" si="1"/>
        <v>1.9802836388792804E-2</v>
      </c>
      <c r="J5" s="79">
        <f t="shared" si="3"/>
        <v>19.089934278796264</v>
      </c>
      <c r="K5" s="79">
        <f t="shared" si="4"/>
        <v>33.189377690681567</v>
      </c>
      <c r="M5" s="50">
        <v>4</v>
      </c>
      <c r="N5" s="8" t="s">
        <v>20</v>
      </c>
      <c r="O5" s="9">
        <v>51.330420969023038</v>
      </c>
      <c r="P5" s="9">
        <v>20.871402466879854</v>
      </c>
      <c r="Q5" s="33" t="s">
        <v>20</v>
      </c>
      <c r="R5" s="82">
        <v>517</v>
      </c>
      <c r="S5" s="82">
        <v>10072</v>
      </c>
      <c r="T5" s="8">
        <v>62</v>
      </c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</row>
    <row r="6" spans="1:40" ht="14.25" customHeight="1">
      <c r="A6" s="7">
        <v>10202</v>
      </c>
      <c r="B6" s="8" t="s">
        <v>11</v>
      </c>
      <c r="C6" s="8" t="s">
        <v>18</v>
      </c>
      <c r="D6" s="8" t="s">
        <v>21</v>
      </c>
      <c r="E6" s="89">
        <v>24</v>
      </c>
      <c r="F6" s="90">
        <v>278</v>
      </c>
      <c r="G6" s="75">
        <f t="shared" si="0"/>
        <v>4.2402826855123678E-2</v>
      </c>
      <c r="H6" s="78">
        <f t="shared" si="2"/>
        <v>1.2671660777385161</v>
      </c>
      <c r="I6" s="75">
        <f t="shared" si="1"/>
        <v>2.4040124524386027E-2</v>
      </c>
      <c r="J6" s="79">
        <f t="shared" si="3"/>
        <v>23.174680041508129</v>
      </c>
      <c r="K6" s="79">
        <f t="shared" si="4"/>
        <v>54.678902814144458</v>
      </c>
      <c r="M6" s="50">
        <v>5</v>
      </c>
      <c r="N6" s="8" t="s">
        <v>263</v>
      </c>
      <c r="O6" s="9">
        <v>85.059450153332975</v>
      </c>
      <c r="P6" s="9">
        <v>28.89656502603847</v>
      </c>
      <c r="Q6" s="33" t="s">
        <v>22</v>
      </c>
      <c r="R6" s="82">
        <v>1581</v>
      </c>
      <c r="S6" s="82">
        <v>18587</v>
      </c>
      <c r="T6" s="8">
        <v>110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</row>
    <row r="7" spans="1:40" ht="14.25" customHeight="1">
      <c r="A7" s="7">
        <v>10301</v>
      </c>
      <c r="B7" s="8" t="s">
        <v>11</v>
      </c>
      <c r="C7" s="8" t="s">
        <v>23</v>
      </c>
      <c r="D7" s="8" t="s">
        <v>24</v>
      </c>
      <c r="E7" s="89">
        <v>13</v>
      </c>
      <c r="F7" s="90">
        <v>221</v>
      </c>
      <c r="G7" s="75">
        <f t="shared" si="0"/>
        <v>2.2968197879858657E-2</v>
      </c>
      <c r="H7" s="78">
        <f t="shared" si="2"/>
        <v>0.68638162544169612</v>
      </c>
      <c r="I7" s="75">
        <f t="shared" si="1"/>
        <v>1.9111034244206158E-2</v>
      </c>
      <c r="J7" s="79">
        <f t="shared" si="3"/>
        <v>18.423037011414735</v>
      </c>
      <c r="K7" s="79">
        <f t="shared" si="4"/>
        <v>37.256703388069006</v>
      </c>
      <c r="M7" s="50">
        <v>6</v>
      </c>
      <c r="N7" s="8" t="s">
        <v>25</v>
      </c>
      <c r="O7" s="9">
        <v>28.451792999785269</v>
      </c>
      <c r="P7" s="9">
        <v>11.348147208926363</v>
      </c>
      <c r="Q7" s="33" t="s">
        <v>25</v>
      </c>
      <c r="R7" s="82">
        <v>265</v>
      </c>
      <c r="S7" s="82">
        <v>9314</v>
      </c>
      <c r="T7" s="8">
        <v>40</v>
      </c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</row>
    <row r="8" spans="1:40" ht="14.25" customHeight="1">
      <c r="A8" s="7">
        <v>10302</v>
      </c>
      <c r="B8" s="8" t="s">
        <v>11</v>
      </c>
      <c r="C8" s="8" t="s">
        <v>23</v>
      </c>
      <c r="D8" s="8" t="s">
        <v>26</v>
      </c>
      <c r="E8" s="89">
        <v>34</v>
      </c>
      <c r="F8" s="90">
        <v>275</v>
      </c>
      <c r="G8" s="75">
        <f t="shared" si="0"/>
        <v>6.0070671378091869E-2</v>
      </c>
      <c r="H8" s="78">
        <f t="shared" si="2"/>
        <v>1.7951519434628975</v>
      </c>
      <c r="I8" s="75">
        <f t="shared" si="1"/>
        <v>2.3780698720166034E-2</v>
      </c>
      <c r="J8" s="79">
        <f t="shared" si="3"/>
        <v>22.924593566240056</v>
      </c>
      <c r="K8" s="79">
        <f t="shared" si="4"/>
        <v>78.306816575650501</v>
      </c>
      <c r="M8" s="50">
        <v>7</v>
      </c>
      <c r="N8" s="8" t="s">
        <v>27</v>
      </c>
      <c r="O8" s="9">
        <v>35.373800276056883</v>
      </c>
      <c r="P8" s="9">
        <v>13.329091323507066</v>
      </c>
      <c r="Q8" s="33" t="s">
        <v>27</v>
      </c>
      <c r="R8" s="82">
        <v>2204</v>
      </c>
      <c r="S8" s="82">
        <v>62306</v>
      </c>
      <c r="T8" s="8">
        <v>31</v>
      </c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</row>
    <row r="9" spans="1:40" ht="14.25" customHeight="1">
      <c r="A9" s="7">
        <v>10303</v>
      </c>
      <c r="B9" s="8" t="s">
        <v>11</v>
      </c>
      <c r="C9" s="8" t="s">
        <v>23</v>
      </c>
      <c r="D9" s="8" t="s">
        <v>28</v>
      </c>
      <c r="E9" s="89">
        <v>13</v>
      </c>
      <c r="F9" s="90">
        <v>132</v>
      </c>
      <c r="G9" s="75">
        <f t="shared" si="0"/>
        <v>2.2968197879858657E-2</v>
      </c>
      <c r="H9" s="78">
        <f t="shared" si="2"/>
        <v>0.68638162544169612</v>
      </c>
      <c r="I9" s="75">
        <f t="shared" si="1"/>
        <v>1.1414735385679695E-2</v>
      </c>
      <c r="J9" s="79">
        <f t="shared" si="3"/>
        <v>11.003804911795227</v>
      </c>
      <c r="K9" s="79">
        <f t="shared" si="4"/>
        <v>62.376753399721593</v>
      </c>
      <c r="M9" s="50">
        <v>8</v>
      </c>
      <c r="N9" s="8" t="s">
        <v>29</v>
      </c>
      <c r="O9" s="9">
        <v>61.034425411608183</v>
      </c>
      <c r="P9" s="9">
        <v>17.873421917732532</v>
      </c>
      <c r="Q9" s="33" t="s">
        <v>29</v>
      </c>
      <c r="R9" s="82">
        <v>734</v>
      </c>
      <c r="S9" s="82">
        <v>12026</v>
      </c>
      <c r="T9" s="8">
        <v>50</v>
      </c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</row>
    <row r="10" spans="1:40" ht="14.25" customHeight="1">
      <c r="A10" s="7">
        <v>10304</v>
      </c>
      <c r="B10" s="8" t="s">
        <v>11</v>
      </c>
      <c r="C10" s="8" t="s">
        <v>23</v>
      </c>
      <c r="D10" s="8" t="s">
        <v>30</v>
      </c>
      <c r="E10" s="89">
        <v>4</v>
      </c>
      <c r="F10" s="90">
        <v>139</v>
      </c>
      <c r="G10" s="75">
        <f t="shared" si="0"/>
        <v>7.0671378091872791E-3</v>
      </c>
      <c r="H10" s="78">
        <f t="shared" si="2"/>
        <v>0.21119434628975264</v>
      </c>
      <c r="I10" s="75">
        <f t="shared" si="1"/>
        <v>1.2020062262193014E-2</v>
      </c>
      <c r="J10" s="79">
        <f t="shared" si="3"/>
        <v>11.587340020754064</v>
      </c>
      <c r="K10" s="79">
        <f t="shared" si="4"/>
        <v>18.226300938048148</v>
      </c>
      <c r="M10" s="50">
        <v>9</v>
      </c>
      <c r="N10" s="8" t="s">
        <v>31</v>
      </c>
      <c r="O10" s="9">
        <v>26.733254994124557</v>
      </c>
      <c r="P10" s="9">
        <v>13.772077375946175</v>
      </c>
      <c r="Q10" s="33" t="s">
        <v>31</v>
      </c>
      <c r="R10" s="82">
        <v>91</v>
      </c>
      <c r="S10" s="82">
        <v>3404</v>
      </c>
      <c r="T10" s="8">
        <f>59</f>
        <v>59</v>
      </c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</row>
    <row r="11" spans="1:40" ht="14.25" customHeight="1">
      <c r="A11" s="7">
        <v>10401</v>
      </c>
      <c r="B11" s="8" t="s">
        <v>11</v>
      </c>
      <c r="C11" s="8" t="s">
        <v>32</v>
      </c>
      <c r="D11" s="8" t="s">
        <v>33</v>
      </c>
      <c r="E11" s="89">
        <v>8</v>
      </c>
      <c r="F11" s="90">
        <v>186</v>
      </c>
      <c r="G11" s="75">
        <f t="shared" si="0"/>
        <v>1.4134275618374558E-2</v>
      </c>
      <c r="H11" s="78">
        <f t="shared" si="2"/>
        <v>0.42238869257950529</v>
      </c>
      <c r="I11" s="75">
        <f t="shared" si="1"/>
        <v>1.6084399861639571E-2</v>
      </c>
      <c r="J11" s="79">
        <f t="shared" si="3"/>
        <v>15.505361466620547</v>
      </c>
      <c r="K11" s="79">
        <f t="shared" si="4"/>
        <v>27.241460541813897</v>
      </c>
      <c r="M11" s="50">
        <v>10</v>
      </c>
      <c r="N11" s="8" t="s">
        <v>323</v>
      </c>
      <c r="O11" s="9">
        <v>37.220026350461133</v>
      </c>
      <c r="P11" s="9">
        <v>13.069997095556202</v>
      </c>
      <c r="Q11" s="33" t="s">
        <v>323</v>
      </c>
      <c r="R11" s="82">
        <v>113</v>
      </c>
      <c r="S11" s="82">
        <v>3036</v>
      </c>
      <c r="T11" s="78">
        <f>SUM(H246:H248)/SUM(J246:J248)*1000</f>
        <v>52.327143460859631</v>
      </c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</row>
    <row r="12" spans="1:40" ht="14.25" customHeight="1">
      <c r="A12" s="7">
        <v>10402</v>
      </c>
      <c r="B12" s="8" t="s">
        <v>11</v>
      </c>
      <c r="C12" s="8" t="s">
        <v>32</v>
      </c>
      <c r="D12" s="8" t="s">
        <v>32</v>
      </c>
      <c r="E12" s="89">
        <v>10</v>
      </c>
      <c r="F12" s="90">
        <v>198</v>
      </c>
      <c r="G12" s="75">
        <f t="shared" si="0"/>
        <v>1.7667844522968199E-2</v>
      </c>
      <c r="H12" s="78">
        <f t="shared" si="2"/>
        <v>0.52798586572438166</v>
      </c>
      <c r="I12" s="75">
        <f t="shared" si="1"/>
        <v>1.7122103078519545E-2</v>
      </c>
      <c r="J12" s="79">
        <f t="shared" si="3"/>
        <v>16.505707367692843</v>
      </c>
      <c r="K12" s="79">
        <f t="shared" si="4"/>
        <v>31.988078666523897</v>
      </c>
      <c r="M12" s="50">
        <v>11</v>
      </c>
      <c r="N12" s="8" t="s">
        <v>34</v>
      </c>
      <c r="O12" s="9">
        <v>54.10161949226729</v>
      </c>
      <c r="P12" s="9">
        <v>18.16430840552642</v>
      </c>
      <c r="Q12" s="33" t="s">
        <v>34</v>
      </c>
      <c r="R12" s="82">
        <v>11866</v>
      </c>
      <c r="S12" s="82">
        <v>219328</v>
      </c>
      <c r="T12" s="66">
        <v>63</v>
      </c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</row>
    <row r="13" spans="1:40" ht="14.25" customHeight="1">
      <c r="A13" s="7">
        <v>10403</v>
      </c>
      <c r="B13" s="8" t="s">
        <v>11</v>
      </c>
      <c r="C13" s="8" t="s">
        <v>32</v>
      </c>
      <c r="D13" s="8" t="s">
        <v>35</v>
      </c>
      <c r="E13" s="89">
        <v>2</v>
      </c>
      <c r="F13" s="90">
        <v>129</v>
      </c>
      <c r="G13" s="75">
        <f t="shared" si="0"/>
        <v>3.5335689045936395E-3</v>
      </c>
      <c r="H13" s="78">
        <f t="shared" si="2"/>
        <v>0.10559717314487632</v>
      </c>
      <c r="I13" s="75">
        <f t="shared" si="1"/>
        <v>1.1155309581459702E-2</v>
      </c>
      <c r="J13" s="79">
        <f t="shared" si="3"/>
        <v>10.753718436527153</v>
      </c>
      <c r="K13" s="79">
        <f t="shared" si="4"/>
        <v>9.8195962418166385</v>
      </c>
      <c r="M13" s="33"/>
      <c r="N13" s="33"/>
      <c r="O13" s="33"/>
      <c r="P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</row>
    <row r="14" spans="1:40" ht="14.25" customHeight="1">
      <c r="A14" s="7">
        <v>10404</v>
      </c>
      <c r="B14" s="8" t="s">
        <v>11</v>
      </c>
      <c r="C14" s="8" t="s">
        <v>32</v>
      </c>
      <c r="D14" s="8" t="s">
        <v>36</v>
      </c>
      <c r="E14" s="89">
        <v>1</v>
      </c>
      <c r="F14" s="90">
        <v>64</v>
      </c>
      <c r="G14" s="75">
        <f t="shared" si="0"/>
        <v>1.7667844522968198E-3</v>
      </c>
      <c r="H14" s="78">
        <f t="shared" si="2"/>
        <v>5.2798586572438161E-2</v>
      </c>
      <c r="I14" s="75">
        <f t="shared" si="1"/>
        <v>5.534417156693186E-3</v>
      </c>
      <c r="J14" s="79">
        <f t="shared" si="3"/>
        <v>5.335178139052231</v>
      </c>
      <c r="K14" s="79">
        <f t="shared" si="4"/>
        <v>9.8963118374558299</v>
      </c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</row>
    <row r="15" spans="1:40" ht="14.25" customHeight="1">
      <c r="A15" s="7">
        <v>10405</v>
      </c>
      <c r="B15" s="8" t="s">
        <v>11</v>
      </c>
      <c r="C15" s="8" t="s">
        <v>32</v>
      </c>
      <c r="D15" s="8" t="s">
        <v>37</v>
      </c>
      <c r="E15" s="89">
        <v>7</v>
      </c>
      <c r="F15" s="90">
        <v>69</v>
      </c>
      <c r="G15" s="75">
        <f t="shared" si="0"/>
        <v>1.2367491166077738E-2</v>
      </c>
      <c r="H15" s="78">
        <f t="shared" si="2"/>
        <v>0.3695901060070671</v>
      </c>
      <c r="I15" s="75">
        <f t="shared" si="1"/>
        <v>5.966793497059841E-3</v>
      </c>
      <c r="J15" s="79">
        <f t="shared" si="3"/>
        <v>5.7519889311656867</v>
      </c>
      <c r="K15" s="79">
        <f t="shared" si="4"/>
        <v>64.254314538843644</v>
      </c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</row>
    <row r="16" spans="1:40" ht="14.25" customHeight="1">
      <c r="A16" s="7">
        <v>10501</v>
      </c>
      <c r="B16" s="8" t="s">
        <v>11</v>
      </c>
      <c r="C16" s="8" t="s">
        <v>38</v>
      </c>
      <c r="D16" s="8" t="s">
        <v>39</v>
      </c>
      <c r="E16" s="89">
        <v>21</v>
      </c>
      <c r="F16" s="90">
        <v>475</v>
      </c>
      <c r="G16" s="75">
        <f t="shared" si="0"/>
        <v>3.7102473498233215E-2</v>
      </c>
      <c r="H16" s="78">
        <f t="shared" si="2"/>
        <v>1.1087703180212014</v>
      </c>
      <c r="I16" s="75">
        <f t="shared" si="1"/>
        <v>4.1075752334832238E-2</v>
      </c>
      <c r="J16" s="79">
        <f t="shared" si="3"/>
        <v>39.59702525077828</v>
      </c>
      <c r="K16" s="79">
        <f t="shared" si="4"/>
        <v>28.001353914822388</v>
      </c>
      <c r="M16" s="49" t="s">
        <v>464</v>
      </c>
      <c r="N16" s="49" t="s">
        <v>7</v>
      </c>
      <c r="O16" s="49" t="s">
        <v>465</v>
      </c>
      <c r="P16" s="49" t="s">
        <v>466</v>
      </c>
      <c r="Q16" s="45" t="s">
        <v>467</v>
      </c>
      <c r="R16" s="45" t="s">
        <v>468</v>
      </c>
      <c r="S16" s="83" t="s">
        <v>487</v>
      </c>
      <c r="T16" s="63" t="s">
        <v>483</v>
      </c>
      <c r="U16" s="85" t="s">
        <v>484</v>
      </c>
      <c r="V16" s="63" t="s">
        <v>485</v>
      </c>
      <c r="W16" s="63" t="s">
        <v>486</v>
      </c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</row>
    <row r="17" spans="1:40" ht="14.25" customHeight="1">
      <c r="A17" s="7">
        <v>10502</v>
      </c>
      <c r="B17" s="8" t="s">
        <v>11</v>
      </c>
      <c r="C17" s="8" t="s">
        <v>38</v>
      </c>
      <c r="D17" s="8" t="s">
        <v>40</v>
      </c>
      <c r="E17" s="89">
        <v>4</v>
      </c>
      <c r="F17" s="90">
        <v>166</v>
      </c>
      <c r="G17" s="75">
        <f t="shared" si="0"/>
        <v>7.0671378091872791E-3</v>
      </c>
      <c r="H17" s="78">
        <f t="shared" si="2"/>
        <v>0.21119434628975264</v>
      </c>
      <c r="I17" s="75">
        <f t="shared" si="1"/>
        <v>1.435489450017295E-2</v>
      </c>
      <c r="J17" s="79">
        <f t="shared" si="3"/>
        <v>13.838118298166723</v>
      </c>
      <c r="K17" s="79">
        <f t="shared" si="4"/>
        <v>15.261782110775258</v>
      </c>
      <c r="M17" s="8">
        <v>1</v>
      </c>
      <c r="N17" s="8" t="s">
        <v>11</v>
      </c>
      <c r="O17" s="8">
        <v>31</v>
      </c>
      <c r="P17" s="8">
        <v>8</v>
      </c>
      <c r="Q17" s="51">
        <f t="shared" ref="Q17:Q25" si="5">O2-O17</f>
        <v>17.945001729505364</v>
      </c>
      <c r="R17" s="51">
        <f t="shared" ref="R17:R25" si="6">P2-P17</f>
        <v>7.7515500195497946</v>
      </c>
      <c r="S17" s="84">
        <f>O17*U17/1000</f>
        <v>29.884</v>
      </c>
      <c r="T17" s="64">
        <v>1536</v>
      </c>
      <c r="U17" s="84">
        <v>964</v>
      </c>
      <c r="V17" s="65">
        <v>571</v>
      </c>
      <c r="W17" s="65">
        <v>370</v>
      </c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</row>
    <row r="18" spans="1:40" ht="14.25" customHeight="1">
      <c r="A18" s="7">
        <v>10601</v>
      </c>
      <c r="B18" s="8" t="s">
        <v>11</v>
      </c>
      <c r="C18" s="8" t="s">
        <v>41</v>
      </c>
      <c r="D18" s="8" t="s">
        <v>42</v>
      </c>
      <c r="E18" s="89">
        <v>23</v>
      </c>
      <c r="F18" s="90">
        <v>309</v>
      </c>
      <c r="G18" s="75">
        <f t="shared" si="0"/>
        <v>4.0636042402826852E-2</v>
      </c>
      <c r="H18" s="78">
        <f t="shared" si="2"/>
        <v>1.2143674911660776</v>
      </c>
      <c r="I18" s="75">
        <f t="shared" si="1"/>
        <v>2.6720857834659287E-2</v>
      </c>
      <c r="J18" s="79">
        <f t="shared" si="3"/>
        <v>25.758906952611554</v>
      </c>
      <c r="K18" s="79">
        <f t="shared" si="4"/>
        <v>47.143595549304145</v>
      </c>
      <c r="M18" s="8">
        <v>2</v>
      </c>
      <c r="N18" s="8" t="s">
        <v>15</v>
      </c>
      <c r="O18" s="8">
        <v>70</v>
      </c>
      <c r="P18" s="8">
        <v>17</v>
      </c>
      <c r="Q18" s="51">
        <f t="shared" si="5"/>
        <v>-2.4179874677478921</v>
      </c>
      <c r="R18" s="51">
        <f t="shared" si="6"/>
        <v>5.4526718907843588</v>
      </c>
      <c r="S18" s="84">
        <f t="shared" ref="S18:S28" si="7">O18*U18/1000</f>
        <v>359.03</v>
      </c>
      <c r="T18" s="64">
        <v>3325</v>
      </c>
      <c r="U18" s="84">
        <v>5129</v>
      </c>
      <c r="V18" s="65">
        <v>1226</v>
      </c>
      <c r="W18" s="65">
        <v>1738</v>
      </c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</row>
    <row r="19" spans="1:40" ht="14.25" customHeight="1">
      <c r="A19" s="7">
        <v>10602</v>
      </c>
      <c r="B19" s="8" t="s">
        <v>11</v>
      </c>
      <c r="C19" s="8" t="s">
        <v>41</v>
      </c>
      <c r="D19" s="8" t="s">
        <v>41</v>
      </c>
      <c r="E19" s="89">
        <v>6</v>
      </c>
      <c r="F19" s="90">
        <v>152</v>
      </c>
      <c r="G19" s="75">
        <f t="shared" si="0"/>
        <v>1.0600706713780919E-2</v>
      </c>
      <c r="H19" s="78">
        <f t="shared" si="2"/>
        <v>0.31679151943462902</v>
      </c>
      <c r="I19" s="75">
        <f t="shared" si="1"/>
        <v>1.3144240747146317E-2</v>
      </c>
      <c r="J19" s="79">
        <f t="shared" si="3"/>
        <v>12.671048080249049</v>
      </c>
      <c r="K19" s="79">
        <f t="shared" si="4"/>
        <v>25.001208852519998</v>
      </c>
      <c r="M19" s="8">
        <v>3</v>
      </c>
      <c r="N19" s="8" t="s">
        <v>17</v>
      </c>
      <c r="O19" s="8">
        <v>75</v>
      </c>
      <c r="P19" s="8">
        <v>11</v>
      </c>
      <c r="Q19" s="51">
        <f t="shared" si="5"/>
        <v>-15.706442651144329</v>
      </c>
      <c r="R19" s="51">
        <f t="shared" si="6"/>
        <v>6.49382159566035</v>
      </c>
      <c r="S19" s="84">
        <f t="shared" si="7"/>
        <v>231.07499999999999</v>
      </c>
      <c r="T19" s="64">
        <v>2276</v>
      </c>
      <c r="U19" s="84">
        <v>3081</v>
      </c>
      <c r="V19" s="65">
        <v>974</v>
      </c>
      <c r="W19" s="65">
        <v>1257</v>
      </c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</row>
    <row r="20" spans="1:40" ht="14.25" customHeight="1">
      <c r="A20" s="7">
        <v>10701</v>
      </c>
      <c r="B20" s="8" t="s">
        <v>11</v>
      </c>
      <c r="C20" s="8" t="s">
        <v>43</v>
      </c>
      <c r="D20" s="8" t="s">
        <v>44</v>
      </c>
      <c r="E20" s="89">
        <v>9</v>
      </c>
      <c r="F20" s="90">
        <v>287</v>
      </c>
      <c r="G20" s="75">
        <f t="shared" si="0"/>
        <v>1.5901060070671377E-2</v>
      </c>
      <c r="H20" s="78">
        <f t="shared" si="2"/>
        <v>0.47518727915194342</v>
      </c>
      <c r="I20" s="75">
        <f t="shared" si="1"/>
        <v>2.4818401937046004E-2</v>
      </c>
      <c r="J20" s="79">
        <f t="shared" si="3"/>
        <v>23.924939467312349</v>
      </c>
      <c r="K20" s="79">
        <f t="shared" si="4"/>
        <v>19.861587520468841</v>
      </c>
      <c r="M20" s="8">
        <v>4</v>
      </c>
      <c r="N20" s="8" t="s">
        <v>20</v>
      </c>
      <c r="O20" s="8">
        <v>62</v>
      </c>
      <c r="P20" s="8">
        <v>31</v>
      </c>
      <c r="Q20" s="51">
        <f t="shared" si="5"/>
        <v>-10.669579030976962</v>
      </c>
      <c r="R20" s="51">
        <f t="shared" si="6"/>
        <v>-10.128597533120146</v>
      </c>
      <c r="S20" s="84">
        <f t="shared" si="7"/>
        <v>58.094000000000001</v>
      </c>
      <c r="T20" s="64">
        <v>1565</v>
      </c>
      <c r="U20" s="84">
        <v>937</v>
      </c>
      <c r="V20" s="65">
        <v>628</v>
      </c>
      <c r="W20" s="65">
        <v>291</v>
      </c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</row>
    <row r="21" spans="1:40" ht="14.25" customHeight="1">
      <c r="A21" s="7">
        <v>10702</v>
      </c>
      <c r="B21" s="8" t="s">
        <v>11</v>
      </c>
      <c r="C21" s="8" t="s">
        <v>43</v>
      </c>
      <c r="D21" s="8" t="s">
        <v>45</v>
      </c>
      <c r="E21" s="89">
        <v>42</v>
      </c>
      <c r="F21" s="90">
        <v>697</v>
      </c>
      <c r="G21" s="75">
        <f t="shared" si="0"/>
        <v>7.4204946996466431E-2</v>
      </c>
      <c r="H21" s="78">
        <f t="shared" si="2"/>
        <v>2.2175406360424028</v>
      </c>
      <c r="I21" s="75">
        <f t="shared" si="1"/>
        <v>6.0273261847111723E-2</v>
      </c>
      <c r="J21" s="79">
        <f t="shared" si="3"/>
        <v>58.103424420615703</v>
      </c>
      <c r="K21" s="79">
        <f t="shared" si="4"/>
        <v>38.165403470704838</v>
      </c>
      <c r="M21" s="8">
        <v>5</v>
      </c>
      <c r="N21" s="8" t="s">
        <v>263</v>
      </c>
      <c r="O21" s="8">
        <v>110</v>
      </c>
      <c r="P21" s="8">
        <v>42</v>
      </c>
      <c r="Q21" s="51">
        <f t="shared" si="5"/>
        <v>-24.940549846667025</v>
      </c>
      <c r="R21" s="51">
        <f t="shared" si="6"/>
        <v>-13.10343497396153</v>
      </c>
      <c r="S21" s="84">
        <f t="shared" si="7"/>
        <v>179.74</v>
      </c>
      <c r="T21" s="64">
        <v>1779</v>
      </c>
      <c r="U21" s="84">
        <v>1634</v>
      </c>
      <c r="V21" s="65">
        <v>727</v>
      </c>
      <c r="W21" s="65">
        <v>509</v>
      </c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</row>
    <row r="22" spans="1:40" ht="14.25" customHeight="1">
      <c r="A22" s="7">
        <v>10703</v>
      </c>
      <c r="B22" s="8" t="s">
        <v>11</v>
      </c>
      <c r="C22" s="8" t="s">
        <v>43</v>
      </c>
      <c r="D22" s="8" t="s">
        <v>46</v>
      </c>
      <c r="E22" s="89">
        <v>15</v>
      </c>
      <c r="F22" s="90">
        <v>340</v>
      </c>
      <c r="G22" s="75">
        <f t="shared" si="0"/>
        <v>2.6501766784452298E-2</v>
      </c>
      <c r="H22" s="78">
        <f t="shared" si="2"/>
        <v>0.7919787985865725</v>
      </c>
      <c r="I22" s="75">
        <f t="shared" si="1"/>
        <v>2.940159114493255E-2</v>
      </c>
      <c r="J22" s="79">
        <f t="shared" si="3"/>
        <v>28.343133863714979</v>
      </c>
      <c r="K22" s="79">
        <f t="shared" si="4"/>
        <v>27.942527541051756</v>
      </c>
      <c r="M22" s="8">
        <v>6</v>
      </c>
      <c r="N22" s="8" t="s">
        <v>25</v>
      </c>
      <c r="O22" s="8">
        <v>40</v>
      </c>
      <c r="P22" s="8">
        <v>25</v>
      </c>
      <c r="Q22" s="51">
        <f t="shared" si="5"/>
        <v>-11.548207000214731</v>
      </c>
      <c r="R22" s="51">
        <f t="shared" si="6"/>
        <v>-13.651852791073637</v>
      </c>
      <c r="S22" s="84">
        <f t="shared" si="7"/>
        <v>33.24</v>
      </c>
      <c r="T22" s="64">
        <v>1717</v>
      </c>
      <c r="U22" s="84">
        <v>831</v>
      </c>
      <c r="V22" s="65">
        <v>527</v>
      </c>
      <c r="W22" s="65">
        <v>355</v>
      </c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</row>
    <row r="23" spans="1:40" ht="14.25" customHeight="1">
      <c r="A23" s="7">
        <v>10704</v>
      </c>
      <c r="B23" s="8" t="s">
        <v>11</v>
      </c>
      <c r="C23" s="8" t="s">
        <v>43</v>
      </c>
      <c r="D23" s="8" t="s">
        <v>47</v>
      </c>
      <c r="E23" s="89">
        <v>24</v>
      </c>
      <c r="F23" s="90">
        <v>409</v>
      </c>
      <c r="G23" s="75">
        <f t="shared" si="0"/>
        <v>4.2402826855123678E-2</v>
      </c>
      <c r="H23" s="78">
        <f t="shared" si="2"/>
        <v>1.2671660777385161</v>
      </c>
      <c r="I23" s="75">
        <f t="shared" si="1"/>
        <v>3.5368384641992393E-2</v>
      </c>
      <c r="J23" s="79">
        <f t="shared" si="3"/>
        <v>34.095122794880666</v>
      </c>
      <c r="K23" s="79">
        <f t="shared" si="4"/>
        <v>37.16561120374611</v>
      </c>
      <c r="M23" s="8">
        <v>7</v>
      </c>
      <c r="N23" s="8" t="s">
        <v>27</v>
      </c>
      <c r="O23" s="8">
        <v>31</v>
      </c>
      <c r="P23" s="8">
        <v>8</v>
      </c>
      <c r="Q23" s="51">
        <f t="shared" si="5"/>
        <v>4.3738002760568833</v>
      </c>
      <c r="R23" s="51">
        <f t="shared" si="6"/>
        <v>5.3290913235070665</v>
      </c>
      <c r="S23" s="84">
        <f t="shared" si="7"/>
        <v>115.227</v>
      </c>
      <c r="T23" s="64">
        <v>2933</v>
      </c>
      <c r="U23" s="84">
        <v>3717</v>
      </c>
      <c r="V23" s="65">
        <v>1112</v>
      </c>
      <c r="W23" s="65">
        <v>2087</v>
      </c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</row>
    <row r="24" spans="1:40" ht="14.25" customHeight="1">
      <c r="A24" s="7">
        <v>10801</v>
      </c>
      <c r="B24" s="8" t="s">
        <v>11</v>
      </c>
      <c r="C24" s="8" t="s">
        <v>48</v>
      </c>
      <c r="D24" s="8" t="s">
        <v>49</v>
      </c>
      <c r="E24" s="89">
        <v>6</v>
      </c>
      <c r="F24" s="90">
        <v>200</v>
      </c>
      <c r="G24" s="75">
        <f t="shared" si="0"/>
        <v>1.0600706713780919E-2</v>
      </c>
      <c r="H24" s="78">
        <f t="shared" si="2"/>
        <v>0.31679151943462902</v>
      </c>
      <c r="I24" s="75">
        <f t="shared" si="1"/>
        <v>1.7295053614666205E-2</v>
      </c>
      <c r="J24" s="79">
        <f t="shared" si="3"/>
        <v>16.672431684538221</v>
      </c>
      <c r="K24" s="79">
        <f t="shared" si="4"/>
        <v>19.000918727915199</v>
      </c>
      <c r="M24" s="8">
        <v>8</v>
      </c>
      <c r="N24" s="8" t="s">
        <v>29</v>
      </c>
      <c r="O24" s="8">
        <v>50</v>
      </c>
      <c r="P24" s="8">
        <v>24</v>
      </c>
      <c r="Q24" s="51">
        <f t="shared" si="5"/>
        <v>11.034425411608183</v>
      </c>
      <c r="R24" s="51">
        <f t="shared" si="6"/>
        <v>-6.1265780822674678</v>
      </c>
      <c r="S24" s="84">
        <f t="shared" si="7"/>
        <v>71.55</v>
      </c>
      <c r="T24" s="64">
        <v>545</v>
      </c>
      <c r="U24" s="84">
        <v>1431</v>
      </c>
      <c r="V24" s="65">
        <v>639</v>
      </c>
      <c r="W24" s="65">
        <v>331</v>
      </c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</row>
    <row r="25" spans="1:40" ht="14.25" customHeight="1">
      <c r="A25" s="7">
        <v>10901</v>
      </c>
      <c r="B25" s="8" t="s">
        <v>11</v>
      </c>
      <c r="C25" s="8" t="s">
        <v>50</v>
      </c>
      <c r="D25" s="8" t="s">
        <v>51</v>
      </c>
      <c r="E25" s="89">
        <v>1</v>
      </c>
      <c r="F25" s="90">
        <v>66</v>
      </c>
      <c r="G25" s="75">
        <f t="shared" si="0"/>
        <v>1.7667844522968198E-3</v>
      </c>
      <c r="H25" s="78">
        <f t="shared" si="2"/>
        <v>5.2798586572438161E-2</v>
      </c>
      <c r="I25" s="75">
        <f t="shared" si="1"/>
        <v>5.7073676928398476E-3</v>
      </c>
      <c r="J25" s="79">
        <f t="shared" si="3"/>
        <v>5.5019024558976133</v>
      </c>
      <c r="K25" s="79">
        <f t="shared" si="4"/>
        <v>9.5964235999571681</v>
      </c>
      <c r="M25" s="8">
        <v>9</v>
      </c>
      <c r="N25" s="8" t="s">
        <v>31</v>
      </c>
      <c r="O25" s="8">
        <f>59</f>
        <v>59</v>
      </c>
      <c r="P25" s="8">
        <v>10</v>
      </c>
      <c r="Q25" s="51">
        <f t="shared" si="5"/>
        <v>-32.266745005875443</v>
      </c>
      <c r="R25" s="51">
        <f t="shared" si="6"/>
        <v>3.772077375946175</v>
      </c>
      <c r="S25" s="84">
        <f t="shared" si="7"/>
        <v>5.8410000000000002</v>
      </c>
      <c r="T25" s="64">
        <v>749</v>
      </c>
      <c r="U25" s="84">
        <v>99</v>
      </c>
      <c r="V25" s="65">
        <v>657</v>
      </c>
      <c r="W25" s="65">
        <v>106</v>
      </c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</row>
    <row r="26" spans="1:40" ht="14.25" customHeight="1">
      <c r="A26" s="7">
        <v>10902</v>
      </c>
      <c r="B26" s="8" t="s">
        <v>11</v>
      </c>
      <c r="C26" s="8" t="s">
        <v>50</v>
      </c>
      <c r="D26" s="8" t="s">
        <v>52</v>
      </c>
      <c r="E26" s="89">
        <v>11</v>
      </c>
      <c r="F26" s="90">
        <v>410</v>
      </c>
      <c r="G26" s="75">
        <f t="shared" si="0"/>
        <v>1.9434628975265017E-2</v>
      </c>
      <c r="H26" s="78">
        <f t="shared" si="2"/>
        <v>0.58078445229681974</v>
      </c>
      <c r="I26" s="75">
        <f t="shared" si="1"/>
        <v>3.5454859910065722E-2</v>
      </c>
      <c r="J26" s="79">
        <f t="shared" si="3"/>
        <v>34.178484953303354</v>
      </c>
      <c r="K26" s="79">
        <f t="shared" si="4"/>
        <v>16.992691545290011</v>
      </c>
      <c r="M26" s="8">
        <v>11</v>
      </c>
      <c r="N26" s="66" t="s">
        <v>34</v>
      </c>
      <c r="O26" s="66">
        <v>63</v>
      </c>
      <c r="P26" s="66">
        <v>16</v>
      </c>
      <c r="Q26" s="67">
        <f>O12-O26</f>
        <v>-8.8983805077327105</v>
      </c>
      <c r="R26" s="67">
        <f>P12-P26</f>
        <v>2.1643084055264197</v>
      </c>
      <c r="S26" s="84">
        <f t="shared" si="7"/>
        <v>1067.1569999999999</v>
      </c>
      <c r="T26" s="64">
        <v>16939</v>
      </c>
      <c r="U26" s="84">
        <v>16939</v>
      </c>
      <c r="V26" s="65">
        <v>7061</v>
      </c>
      <c r="W26" s="65">
        <v>7043</v>
      </c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</row>
    <row r="27" spans="1:40" ht="14.25" customHeight="1">
      <c r="A27" s="7">
        <v>10903</v>
      </c>
      <c r="B27" s="8" t="s">
        <v>11</v>
      </c>
      <c r="C27" s="8" t="s">
        <v>50</v>
      </c>
      <c r="D27" s="8" t="s">
        <v>53</v>
      </c>
      <c r="E27" s="89">
        <v>1</v>
      </c>
      <c r="F27" s="90">
        <v>69</v>
      </c>
      <c r="G27" s="75">
        <f t="shared" si="0"/>
        <v>1.7667844522968198E-3</v>
      </c>
      <c r="H27" s="78">
        <f t="shared" si="2"/>
        <v>5.2798586572438161E-2</v>
      </c>
      <c r="I27" s="75">
        <f t="shared" si="1"/>
        <v>5.966793497059841E-3</v>
      </c>
      <c r="J27" s="79">
        <f t="shared" si="3"/>
        <v>5.7519889311656867</v>
      </c>
      <c r="K27" s="79">
        <f t="shared" si="4"/>
        <v>9.179187791263379</v>
      </c>
      <c r="M27" s="52" t="s">
        <v>469</v>
      </c>
      <c r="N27" s="68" t="s">
        <v>481</v>
      </c>
      <c r="O27" s="68">
        <v>43</v>
      </c>
      <c r="P27" s="68">
        <v>12</v>
      </c>
      <c r="Q27" s="68"/>
      <c r="R27" s="68"/>
      <c r="S27" s="84">
        <f t="shared" si="7"/>
        <v>480.86900000000003</v>
      </c>
      <c r="T27" s="64">
        <v>10905</v>
      </c>
      <c r="U27" s="84">
        <v>11183</v>
      </c>
      <c r="V27" s="65">
        <v>4821</v>
      </c>
      <c r="W27" s="65">
        <v>4905</v>
      </c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</row>
    <row r="28" spans="1:40" ht="14.25" customHeight="1">
      <c r="A28" s="7">
        <v>11001</v>
      </c>
      <c r="B28" s="8" t="s">
        <v>11</v>
      </c>
      <c r="C28" s="8" t="s">
        <v>54</v>
      </c>
      <c r="D28" s="8" t="s">
        <v>55</v>
      </c>
      <c r="E28" s="89">
        <v>7</v>
      </c>
      <c r="F28" s="90">
        <v>206</v>
      </c>
      <c r="G28" s="75">
        <f t="shared" si="0"/>
        <v>1.2367491166077738E-2</v>
      </c>
      <c r="H28" s="78">
        <f t="shared" si="2"/>
        <v>0.3695901060070671</v>
      </c>
      <c r="I28" s="75">
        <f t="shared" si="1"/>
        <v>1.7813905223106191E-2</v>
      </c>
      <c r="J28" s="79">
        <f t="shared" si="3"/>
        <v>17.172604635074368</v>
      </c>
      <c r="K28" s="79">
        <f t="shared" si="4"/>
        <v>21.522076229030155</v>
      </c>
      <c r="M28" s="33"/>
      <c r="N28" s="68" t="s">
        <v>482</v>
      </c>
      <c r="O28" s="68">
        <v>87</v>
      </c>
      <c r="P28" s="68">
        <v>25</v>
      </c>
      <c r="Q28" s="68"/>
      <c r="R28" s="68"/>
      <c r="S28" s="84">
        <f t="shared" si="7"/>
        <v>500.77199999999999</v>
      </c>
      <c r="T28" s="64">
        <v>6034</v>
      </c>
      <c r="U28" s="84">
        <v>5756</v>
      </c>
      <c r="V28" s="65">
        <v>2240</v>
      </c>
      <c r="W28" s="65">
        <v>2137</v>
      </c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</row>
    <row r="29" spans="1:40" ht="14.25" customHeight="1">
      <c r="A29" s="7">
        <v>11002</v>
      </c>
      <c r="B29" s="8" t="s">
        <v>11</v>
      </c>
      <c r="C29" s="8" t="s">
        <v>54</v>
      </c>
      <c r="D29" s="8" t="s">
        <v>56</v>
      </c>
      <c r="E29" s="89">
        <v>1</v>
      </c>
      <c r="F29" s="90">
        <v>59</v>
      </c>
      <c r="G29" s="75">
        <f t="shared" si="0"/>
        <v>1.7667844522968198E-3</v>
      </c>
      <c r="H29" s="78">
        <f t="shared" si="2"/>
        <v>5.2798586572438161E-2</v>
      </c>
      <c r="I29" s="75">
        <f t="shared" si="1"/>
        <v>5.1020408163265302E-3</v>
      </c>
      <c r="J29" s="79">
        <f t="shared" si="3"/>
        <v>4.9183673469387754</v>
      </c>
      <c r="K29" s="79">
        <f t="shared" si="4"/>
        <v>10.734982332155477</v>
      </c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</row>
    <row r="30" spans="1:40" ht="14.25" customHeight="1">
      <c r="A30" s="7">
        <v>11003</v>
      </c>
      <c r="B30" s="8" t="s">
        <v>11</v>
      </c>
      <c r="C30" s="8" t="s">
        <v>54</v>
      </c>
      <c r="D30" s="8" t="s">
        <v>57</v>
      </c>
      <c r="E30" s="89">
        <v>2</v>
      </c>
      <c r="F30" s="90">
        <v>143</v>
      </c>
      <c r="G30" s="75">
        <f t="shared" si="0"/>
        <v>3.5335689045936395E-3</v>
      </c>
      <c r="H30" s="78">
        <f t="shared" si="2"/>
        <v>0.10559717314487632</v>
      </c>
      <c r="I30" s="75">
        <f t="shared" si="1"/>
        <v>1.2365963334486337E-2</v>
      </c>
      <c r="J30" s="79">
        <f t="shared" si="3"/>
        <v>11.920788654444829</v>
      </c>
      <c r="K30" s="79">
        <f t="shared" si="4"/>
        <v>8.8582371691912325</v>
      </c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</row>
    <row r="31" spans="1:40" ht="14.25" customHeight="1">
      <c r="A31" s="7">
        <v>20101</v>
      </c>
      <c r="B31" s="8" t="s">
        <v>15</v>
      </c>
      <c r="C31" s="8" t="s">
        <v>58</v>
      </c>
      <c r="D31" s="8" t="s">
        <v>59</v>
      </c>
      <c r="E31" s="89">
        <v>598</v>
      </c>
      <c r="F31" s="90">
        <v>12733</v>
      </c>
      <c r="G31" s="75">
        <f>E31/$R$3</f>
        <v>0.16307608399236434</v>
      </c>
      <c r="H31" s="78">
        <f>$S$18*G31</f>
        <v>58.549206435778565</v>
      </c>
      <c r="I31" s="75">
        <f>F31/$S$3</f>
        <v>0.23466642093623294</v>
      </c>
      <c r="J31" s="79">
        <f>I31*$U$18</f>
        <v>1203.6040729819388</v>
      </c>
      <c r="K31" s="79">
        <f t="shared" ref="K31" si="8">1000*H31/J31</f>
        <v>48.644905538349029</v>
      </c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</row>
    <row r="32" spans="1:40" ht="14.25" customHeight="1">
      <c r="A32" s="7">
        <v>20102</v>
      </c>
      <c r="B32" s="8" t="s">
        <v>15</v>
      </c>
      <c r="C32" s="8" t="s">
        <v>58</v>
      </c>
      <c r="D32" s="8" t="s">
        <v>60</v>
      </c>
      <c r="E32" s="89">
        <v>46</v>
      </c>
      <c r="F32" s="90">
        <v>376</v>
      </c>
      <c r="G32" s="75">
        <f t="shared" ref="G32:G56" si="9">E32/$R$3</f>
        <v>1.2544314153258795E-2</v>
      </c>
      <c r="H32" s="78">
        <f t="shared" ref="H32:H97" si="10">$S$18*G32</f>
        <v>4.5037851104445048</v>
      </c>
      <c r="I32" s="75">
        <f t="shared" ref="I32:I56" si="11">F32/$S$3</f>
        <v>6.9295982307408773E-3</v>
      </c>
      <c r="J32" s="79">
        <f t="shared" ref="J32:J97" si="12">I32*$U$18</f>
        <v>35.541909325469959</v>
      </c>
      <c r="K32" s="79">
        <f t="shared" ref="K32:K57" si="13">1000*H32/J32</f>
        <v>126.71759047049879</v>
      </c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</row>
    <row r="33" spans="1:40" ht="14.25" customHeight="1">
      <c r="A33" s="7">
        <v>20103</v>
      </c>
      <c r="B33" s="8" t="s">
        <v>15</v>
      </c>
      <c r="C33" s="8" t="s">
        <v>58</v>
      </c>
      <c r="D33" s="8" t="s">
        <v>61</v>
      </c>
      <c r="E33" s="89">
        <v>24</v>
      </c>
      <c r="F33" s="90">
        <v>293</v>
      </c>
      <c r="G33" s="75">
        <f t="shared" si="9"/>
        <v>6.54485955822198E-3</v>
      </c>
      <c r="H33" s="78">
        <f t="shared" si="10"/>
        <v>2.3498009271884372</v>
      </c>
      <c r="I33" s="75">
        <f t="shared" si="11"/>
        <v>5.3999262808698857E-3</v>
      </c>
      <c r="J33" s="79">
        <f t="shared" si="12"/>
        <v>27.696221894581644</v>
      </c>
      <c r="K33" s="79">
        <f t="shared" si="13"/>
        <v>84.841930286821565</v>
      </c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</row>
    <row r="34" spans="1:40" ht="14.25" customHeight="1">
      <c r="A34" s="7">
        <v>20104</v>
      </c>
      <c r="B34" s="8" t="s">
        <v>15</v>
      </c>
      <c r="C34" s="8" t="s">
        <v>58</v>
      </c>
      <c r="D34" s="8" t="s">
        <v>62</v>
      </c>
      <c r="E34" s="89">
        <v>62</v>
      </c>
      <c r="F34" s="90">
        <v>467</v>
      </c>
      <c r="G34" s="75">
        <f t="shared" si="9"/>
        <v>1.6907553858740116E-2</v>
      </c>
      <c r="H34" s="78">
        <f t="shared" si="10"/>
        <v>6.0703190619034633</v>
      </c>
      <c r="I34" s="75">
        <f t="shared" si="11"/>
        <v>8.6067084408403983E-3</v>
      </c>
      <c r="J34" s="79">
        <f t="shared" si="12"/>
        <v>44.143807593070406</v>
      </c>
      <c r="K34" s="79">
        <f t="shared" si="13"/>
        <v>137.51235774361177</v>
      </c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</row>
    <row r="35" spans="1:40" ht="14.25" customHeight="1">
      <c r="A35" s="7">
        <v>20105</v>
      </c>
      <c r="B35" s="8" t="s">
        <v>15</v>
      </c>
      <c r="C35" s="8" t="s">
        <v>58</v>
      </c>
      <c r="D35" s="8" t="s">
        <v>63</v>
      </c>
      <c r="E35" s="89">
        <v>1168</v>
      </c>
      <c r="F35" s="90">
        <v>19194</v>
      </c>
      <c r="G35" s="75">
        <f t="shared" si="9"/>
        <v>0.31851649850013636</v>
      </c>
      <c r="H35" s="78">
        <f t="shared" si="10"/>
        <v>114.35697845650395</v>
      </c>
      <c r="I35" s="75">
        <f t="shared" si="11"/>
        <v>0.35374124585329891</v>
      </c>
      <c r="J35" s="79">
        <f t="shared" si="12"/>
        <v>1814.3388499815701</v>
      </c>
      <c r="K35" s="79">
        <f t="shared" si="13"/>
        <v>63.029559477087531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</row>
    <row r="36" spans="1:40" ht="14.25" customHeight="1">
      <c r="A36" s="7">
        <v>20201</v>
      </c>
      <c r="B36" s="8" t="s">
        <v>15</v>
      </c>
      <c r="C36" s="8" t="s">
        <v>64</v>
      </c>
      <c r="D36" s="8" t="s">
        <v>65</v>
      </c>
      <c r="E36" s="89">
        <v>73</v>
      </c>
      <c r="F36" s="90">
        <v>792</v>
      </c>
      <c r="G36" s="75">
        <f t="shared" si="9"/>
        <v>1.9907281156258522E-2</v>
      </c>
      <c r="H36" s="78">
        <f t="shared" si="10"/>
        <v>7.147311153531497</v>
      </c>
      <c r="I36" s="75">
        <f t="shared" si="11"/>
        <v>1.4596387762624402E-2</v>
      </c>
      <c r="J36" s="79">
        <f t="shared" si="12"/>
        <v>74.864872834500559</v>
      </c>
      <c r="K36" s="79">
        <f t="shared" si="13"/>
        <v>95.469488999622627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</row>
    <row r="37" spans="1:40" ht="14.25" customHeight="1">
      <c r="A37" s="7">
        <v>20202</v>
      </c>
      <c r="B37" s="8" t="s">
        <v>15</v>
      </c>
      <c r="C37" s="8" t="s">
        <v>64</v>
      </c>
      <c r="D37" s="8" t="s">
        <v>66</v>
      </c>
      <c r="E37" s="89">
        <v>41</v>
      </c>
      <c r="F37" s="90">
        <v>218</v>
      </c>
      <c r="G37" s="75">
        <f t="shared" si="9"/>
        <v>1.1180801745295883E-2</v>
      </c>
      <c r="H37" s="78">
        <f t="shared" si="10"/>
        <v>4.0142432506135801</v>
      </c>
      <c r="I37" s="75">
        <f t="shared" si="11"/>
        <v>4.0176925912274236E-3</v>
      </c>
      <c r="J37" s="79">
        <f t="shared" si="12"/>
        <v>20.606745300405457</v>
      </c>
      <c r="K37" s="79">
        <f t="shared" si="13"/>
        <v>194.80239077515051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</row>
    <row r="38" spans="1:40" ht="14.25" customHeight="1">
      <c r="A38" s="7">
        <v>20203</v>
      </c>
      <c r="B38" s="8" t="s">
        <v>15</v>
      </c>
      <c r="C38" s="8" t="s">
        <v>64</v>
      </c>
      <c r="D38" s="8" t="s">
        <v>67</v>
      </c>
      <c r="E38" s="89">
        <v>12</v>
      </c>
      <c r="F38" s="90">
        <v>99</v>
      </c>
      <c r="G38" s="75">
        <f t="shared" si="9"/>
        <v>3.27242977911099E-3</v>
      </c>
      <c r="H38" s="78">
        <f t="shared" si="10"/>
        <v>1.1749004635942186</v>
      </c>
      <c r="I38" s="75">
        <f t="shared" si="11"/>
        <v>1.8245484703280502E-3</v>
      </c>
      <c r="J38" s="79">
        <f t="shared" si="12"/>
        <v>9.3581091043125699</v>
      </c>
      <c r="K38" s="79">
        <f t="shared" si="13"/>
        <v>125.54891704059959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</row>
    <row r="39" spans="1:40" ht="14.25" customHeight="1">
      <c r="A39" s="7">
        <v>20204</v>
      </c>
      <c r="B39" s="8" t="s">
        <v>15</v>
      </c>
      <c r="C39" s="8" t="s">
        <v>64</v>
      </c>
      <c r="D39" s="8" t="s">
        <v>68</v>
      </c>
      <c r="E39" s="89">
        <v>8</v>
      </c>
      <c r="F39" s="90">
        <v>110</v>
      </c>
      <c r="G39" s="75">
        <f t="shared" si="9"/>
        <v>2.1816198527406599E-3</v>
      </c>
      <c r="H39" s="78">
        <f t="shared" si="10"/>
        <v>0.78326697572947901</v>
      </c>
      <c r="I39" s="75">
        <f t="shared" si="11"/>
        <v>2.027276078142278E-3</v>
      </c>
      <c r="J39" s="79">
        <f t="shared" si="12"/>
        <v>10.397899004791745</v>
      </c>
      <c r="K39" s="79">
        <f t="shared" si="13"/>
        <v>75.329350224359743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</row>
    <row r="40" spans="1:40" ht="14.25" customHeight="1">
      <c r="A40" s="7">
        <v>20205</v>
      </c>
      <c r="B40" s="8" t="s">
        <v>15</v>
      </c>
      <c r="C40" s="8" t="s">
        <v>64</v>
      </c>
      <c r="D40" s="8" t="s">
        <v>69</v>
      </c>
      <c r="E40" s="89">
        <v>14</v>
      </c>
      <c r="F40" s="90">
        <v>58</v>
      </c>
      <c r="G40" s="75">
        <f t="shared" si="9"/>
        <v>3.8178347422961551E-3</v>
      </c>
      <c r="H40" s="78">
        <f t="shared" si="10"/>
        <v>1.3707172075265885</v>
      </c>
      <c r="I40" s="75">
        <f t="shared" si="11"/>
        <v>1.0689273866568375E-3</v>
      </c>
      <c r="J40" s="79">
        <f t="shared" si="12"/>
        <v>5.4825285661629195</v>
      </c>
      <c r="K40" s="79">
        <f t="shared" si="13"/>
        <v>250.01551583084921</v>
      </c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</row>
    <row r="41" spans="1:40" ht="14.25" customHeight="1">
      <c r="A41" s="7">
        <v>20206</v>
      </c>
      <c r="B41" s="8" t="s">
        <v>15</v>
      </c>
      <c r="C41" s="8" t="s">
        <v>64</v>
      </c>
      <c r="D41" s="8" t="s">
        <v>70</v>
      </c>
      <c r="E41" s="89">
        <v>6</v>
      </c>
      <c r="F41" s="90">
        <v>74</v>
      </c>
      <c r="G41" s="75">
        <f t="shared" si="9"/>
        <v>1.636214889555495E-3</v>
      </c>
      <c r="H41" s="78">
        <f t="shared" si="10"/>
        <v>0.58745023179710931</v>
      </c>
      <c r="I41" s="75">
        <f t="shared" si="11"/>
        <v>1.363803907113896E-3</v>
      </c>
      <c r="J41" s="79">
        <f t="shared" si="12"/>
        <v>6.9949502395871725</v>
      </c>
      <c r="K41" s="79">
        <f t="shared" si="13"/>
        <v>83.982045858238919</v>
      </c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</row>
    <row r="42" spans="1:40" ht="14.25" customHeight="1">
      <c r="A42" s="7">
        <v>20301</v>
      </c>
      <c r="B42" s="8" t="s">
        <v>15</v>
      </c>
      <c r="C42" s="8" t="s">
        <v>71</v>
      </c>
      <c r="D42" s="8" t="s">
        <v>72</v>
      </c>
      <c r="E42" s="89">
        <v>10</v>
      </c>
      <c r="F42" s="90">
        <v>179</v>
      </c>
      <c r="G42" s="75">
        <f t="shared" si="9"/>
        <v>2.7270248159258249E-3</v>
      </c>
      <c r="H42" s="78">
        <f t="shared" si="10"/>
        <v>0.97908371966184882</v>
      </c>
      <c r="I42" s="75">
        <f t="shared" si="11"/>
        <v>3.298931072613343E-3</v>
      </c>
      <c r="J42" s="79">
        <f t="shared" si="12"/>
        <v>16.920217471433837</v>
      </c>
      <c r="K42" s="79">
        <f t="shared" si="13"/>
        <v>57.864724334354563</v>
      </c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</row>
    <row r="43" spans="1:40" ht="14.25" customHeight="1">
      <c r="A43" s="7">
        <v>20302</v>
      </c>
      <c r="B43" s="8" t="s">
        <v>15</v>
      </c>
      <c r="C43" s="8" t="s">
        <v>71</v>
      </c>
      <c r="D43" s="8" t="s">
        <v>73</v>
      </c>
      <c r="E43" s="89">
        <v>13</v>
      </c>
      <c r="F43" s="90">
        <v>250</v>
      </c>
      <c r="G43" s="75">
        <f t="shared" si="9"/>
        <v>3.5451322607035723E-3</v>
      </c>
      <c r="H43" s="78">
        <f t="shared" si="10"/>
        <v>1.2728088355604035</v>
      </c>
      <c r="I43" s="75">
        <f t="shared" si="11"/>
        <v>4.6074456321415404E-3</v>
      </c>
      <c r="J43" s="79">
        <f t="shared" si="12"/>
        <v>23.63158864725396</v>
      </c>
      <c r="K43" s="79">
        <f t="shared" si="13"/>
        <v>53.860485410417233</v>
      </c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</row>
    <row r="44" spans="1:40" ht="14.25" customHeight="1">
      <c r="A44" s="7">
        <v>20303</v>
      </c>
      <c r="B44" s="8" t="s">
        <v>15</v>
      </c>
      <c r="C44" s="8" t="s">
        <v>71</v>
      </c>
      <c r="D44" s="8" t="s">
        <v>74</v>
      </c>
      <c r="E44" s="89">
        <v>8</v>
      </c>
      <c r="F44" s="90">
        <v>173</v>
      </c>
      <c r="G44" s="75">
        <f t="shared" si="9"/>
        <v>2.1816198527406599E-3</v>
      </c>
      <c r="H44" s="78">
        <f t="shared" si="10"/>
        <v>0.78326697572947901</v>
      </c>
      <c r="I44" s="75">
        <f t="shared" si="11"/>
        <v>3.1883523774419464E-3</v>
      </c>
      <c r="J44" s="79">
        <f t="shared" si="12"/>
        <v>16.353059343899744</v>
      </c>
      <c r="K44" s="79">
        <f t="shared" si="13"/>
        <v>47.897274709130471</v>
      </c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</row>
    <row r="45" spans="1:40" ht="14.25" customHeight="1">
      <c r="A45" s="7">
        <v>20304</v>
      </c>
      <c r="B45" s="8" t="s">
        <v>15</v>
      </c>
      <c r="C45" s="8" t="s">
        <v>71</v>
      </c>
      <c r="D45" s="8" t="s">
        <v>75</v>
      </c>
      <c r="E45" s="89">
        <v>3</v>
      </c>
      <c r="F45" s="90">
        <v>68</v>
      </c>
      <c r="G45" s="75">
        <f t="shared" si="9"/>
        <v>8.181074447777475E-4</v>
      </c>
      <c r="H45" s="78">
        <f t="shared" si="10"/>
        <v>0.29372511589855466</v>
      </c>
      <c r="I45" s="75">
        <f t="shared" si="11"/>
        <v>1.2532252119424991E-3</v>
      </c>
      <c r="J45" s="79">
        <f t="shared" si="12"/>
        <v>6.4277921120530781</v>
      </c>
      <c r="K45" s="79">
        <f t="shared" si="13"/>
        <v>45.696113187571171</v>
      </c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</row>
    <row r="46" spans="1:40" ht="14.25" customHeight="1">
      <c r="A46" s="7">
        <v>20305</v>
      </c>
      <c r="B46" s="8" t="s">
        <v>15</v>
      </c>
      <c r="C46" s="8" t="s">
        <v>71</v>
      </c>
      <c r="D46" s="8" t="s">
        <v>76</v>
      </c>
      <c r="E46" s="89">
        <v>4</v>
      </c>
      <c r="F46" s="90">
        <v>62</v>
      </c>
      <c r="G46" s="75">
        <f t="shared" si="9"/>
        <v>1.0908099263703299E-3</v>
      </c>
      <c r="H46" s="78">
        <f t="shared" si="10"/>
        <v>0.3916334878647395</v>
      </c>
      <c r="I46" s="75">
        <f t="shared" si="11"/>
        <v>1.142646516771102E-3</v>
      </c>
      <c r="J46" s="79">
        <f t="shared" si="12"/>
        <v>5.8606339845189819</v>
      </c>
      <c r="K46" s="79">
        <f t="shared" si="13"/>
        <v>66.824423586125604</v>
      </c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</row>
    <row r="47" spans="1:40" ht="14.25" customHeight="1">
      <c r="A47" s="7">
        <v>20306</v>
      </c>
      <c r="B47" s="8" t="s">
        <v>15</v>
      </c>
      <c r="C47" s="8" t="s">
        <v>71</v>
      </c>
      <c r="D47" s="8" t="s">
        <v>77</v>
      </c>
      <c r="E47" s="89">
        <v>7</v>
      </c>
      <c r="F47" s="90">
        <v>103</v>
      </c>
      <c r="G47" s="75">
        <f t="shared" si="9"/>
        <v>1.9089173711480775E-3</v>
      </c>
      <c r="H47" s="78">
        <f t="shared" si="10"/>
        <v>0.68535860376329427</v>
      </c>
      <c r="I47" s="75">
        <f t="shared" si="11"/>
        <v>1.8982676004423147E-3</v>
      </c>
      <c r="J47" s="79">
        <f t="shared" si="12"/>
        <v>9.7362145226686323</v>
      </c>
      <c r="K47" s="79">
        <f t="shared" si="13"/>
        <v>70.392718049462403</v>
      </c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</row>
    <row r="48" spans="1:40" ht="14.25" customHeight="1">
      <c r="A48" s="7">
        <v>20307</v>
      </c>
      <c r="B48" s="8" t="s">
        <v>15</v>
      </c>
      <c r="C48" s="8" t="s">
        <v>71</v>
      </c>
      <c r="D48" s="8" t="s">
        <v>78</v>
      </c>
      <c r="E48" s="89">
        <v>0</v>
      </c>
      <c r="F48" s="90">
        <v>13</v>
      </c>
      <c r="G48" s="75">
        <f t="shared" si="9"/>
        <v>0</v>
      </c>
      <c r="H48" s="78">
        <f t="shared" si="10"/>
        <v>0</v>
      </c>
      <c r="I48" s="75">
        <f t="shared" si="11"/>
        <v>2.3958717287136011E-4</v>
      </c>
      <c r="J48" s="79">
        <f t="shared" si="12"/>
        <v>1.228842609657206</v>
      </c>
      <c r="K48" s="79">
        <f t="shared" si="13"/>
        <v>0</v>
      </c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</row>
    <row r="49" spans="1:40" ht="14.25" customHeight="1">
      <c r="A49" s="7">
        <v>20308</v>
      </c>
      <c r="B49" s="8" t="s">
        <v>15</v>
      </c>
      <c r="C49" s="8" t="s">
        <v>71</v>
      </c>
      <c r="D49" s="8" t="s">
        <v>79</v>
      </c>
      <c r="E49" s="89">
        <v>8</v>
      </c>
      <c r="F49" s="90">
        <v>101</v>
      </c>
      <c r="G49" s="75">
        <f t="shared" si="9"/>
        <v>2.1816198527406599E-3</v>
      </c>
      <c r="H49" s="78">
        <f t="shared" si="10"/>
        <v>0.78326697572947901</v>
      </c>
      <c r="I49" s="75">
        <f t="shared" si="11"/>
        <v>1.8614080353851824E-3</v>
      </c>
      <c r="J49" s="79">
        <f t="shared" si="12"/>
        <v>9.5471618134906002</v>
      </c>
      <c r="K49" s="79">
        <f t="shared" si="13"/>
        <v>82.041866580985882</v>
      </c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</row>
    <row r="50" spans="1:40" ht="14.25" customHeight="1">
      <c r="A50" s="7">
        <v>20401</v>
      </c>
      <c r="B50" s="8" t="s">
        <v>15</v>
      </c>
      <c r="C50" s="8" t="s">
        <v>80</v>
      </c>
      <c r="D50" s="8" t="s">
        <v>81</v>
      </c>
      <c r="E50" s="89">
        <v>16</v>
      </c>
      <c r="F50" s="90">
        <v>157</v>
      </c>
      <c r="G50" s="75">
        <f t="shared" si="9"/>
        <v>4.3632397054813197E-3</v>
      </c>
      <c r="H50" s="78">
        <f t="shared" si="10"/>
        <v>1.566533951458958</v>
      </c>
      <c r="I50" s="75">
        <f t="shared" si="11"/>
        <v>2.8934758569848875E-3</v>
      </c>
      <c r="J50" s="79">
        <f t="shared" si="12"/>
        <v>14.840637670475488</v>
      </c>
      <c r="K50" s="79">
        <f t="shared" si="13"/>
        <v>105.55705126980348</v>
      </c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</row>
    <row r="51" spans="1:40" ht="14.25" customHeight="1">
      <c r="A51" s="7">
        <v>20402</v>
      </c>
      <c r="B51" s="8" t="s">
        <v>15</v>
      </c>
      <c r="C51" s="8" t="s">
        <v>80</v>
      </c>
      <c r="D51" s="8" t="s">
        <v>82</v>
      </c>
      <c r="E51" s="89">
        <v>34</v>
      </c>
      <c r="F51" s="90">
        <v>267</v>
      </c>
      <c r="G51" s="75">
        <f t="shared" si="9"/>
        <v>9.2718843741478041E-3</v>
      </c>
      <c r="H51" s="78">
        <f t="shared" si="10"/>
        <v>3.3288846468502857</v>
      </c>
      <c r="I51" s="75">
        <f t="shared" si="11"/>
        <v>4.9207519351271659E-3</v>
      </c>
      <c r="J51" s="79">
        <f t="shared" si="12"/>
        <v>25.238536675267234</v>
      </c>
      <c r="K51" s="79">
        <f t="shared" si="13"/>
        <v>131.89689599209058</v>
      </c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</row>
    <row r="52" spans="1:40" ht="14.25" customHeight="1">
      <c r="A52" s="7">
        <v>20403</v>
      </c>
      <c r="B52" s="8" t="s">
        <v>15</v>
      </c>
      <c r="C52" s="8" t="s">
        <v>80</v>
      </c>
      <c r="D52" s="8" t="s">
        <v>83</v>
      </c>
      <c r="E52" s="89">
        <v>29</v>
      </c>
      <c r="F52" s="90">
        <v>229</v>
      </c>
      <c r="G52" s="75">
        <f t="shared" si="9"/>
        <v>7.9083719661848916E-3</v>
      </c>
      <c r="H52" s="78">
        <f t="shared" si="10"/>
        <v>2.8393427870193615</v>
      </c>
      <c r="I52" s="75">
        <f t="shared" si="11"/>
        <v>4.2204201990416511E-3</v>
      </c>
      <c r="J52" s="79">
        <f t="shared" si="12"/>
        <v>21.646535200884628</v>
      </c>
      <c r="K52" s="79">
        <f t="shared" si="13"/>
        <v>131.168464637395</v>
      </c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</row>
    <row r="53" spans="1:40" ht="14.25" customHeight="1">
      <c r="A53" s="7">
        <v>20404</v>
      </c>
      <c r="B53" s="8" t="s">
        <v>15</v>
      </c>
      <c r="C53" s="8" t="s">
        <v>80</v>
      </c>
      <c r="D53" s="8" t="s">
        <v>84</v>
      </c>
      <c r="E53" s="89">
        <v>20</v>
      </c>
      <c r="F53" s="90">
        <v>103</v>
      </c>
      <c r="G53" s="75">
        <f t="shared" si="9"/>
        <v>5.4540496318516499E-3</v>
      </c>
      <c r="H53" s="78">
        <f t="shared" si="10"/>
        <v>1.9581674393236976</v>
      </c>
      <c r="I53" s="75">
        <f t="shared" si="11"/>
        <v>1.8982676004423147E-3</v>
      </c>
      <c r="J53" s="79">
        <f t="shared" si="12"/>
        <v>9.7362145226686323</v>
      </c>
      <c r="K53" s="79">
        <f t="shared" si="13"/>
        <v>201.12205156989256</v>
      </c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</row>
    <row r="54" spans="1:40" ht="14.25" customHeight="1">
      <c r="A54" s="7">
        <v>20405</v>
      </c>
      <c r="B54" s="8" t="s">
        <v>15</v>
      </c>
      <c r="C54" s="8" t="s">
        <v>80</v>
      </c>
      <c r="D54" s="8" t="s">
        <v>85</v>
      </c>
      <c r="E54" s="89">
        <v>23</v>
      </c>
      <c r="F54" s="90">
        <v>90</v>
      </c>
      <c r="G54" s="75">
        <f t="shared" si="9"/>
        <v>6.2721570766293977E-3</v>
      </c>
      <c r="H54" s="78">
        <f t="shared" si="10"/>
        <v>2.2518925552222524</v>
      </c>
      <c r="I54" s="75">
        <f t="shared" si="11"/>
        <v>1.6586804275709546E-3</v>
      </c>
      <c r="J54" s="79">
        <f t="shared" si="12"/>
        <v>8.5073719130114256</v>
      </c>
      <c r="K54" s="79">
        <f t="shared" si="13"/>
        <v>264.6989667605975</v>
      </c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</row>
    <row r="55" spans="1:40" ht="14.25" customHeight="1">
      <c r="A55" s="7">
        <v>20501</v>
      </c>
      <c r="B55" s="8" t="s">
        <v>15</v>
      </c>
      <c r="C55" s="8" t="s">
        <v>86</v>
      </c>
      <c r="D55" s="8" t="s">
        <v>87</v>
      </c>
      <c r="E55" s="89">
        <v>33</v>
      </c>
      <c r="F55" s="90">
        <v>233</v>
      </c>
      <c r="G55" s="75">
        <f t="shared" si="9"/>
        <v>8.9991818925552226E-3</v>
      </c>
      <c r="H55" s="78">
        <f t="shared" si="10"/>
        <v>3.2309762748841013</v>
      </c>
      <c r="I55" s="75">
        <f t="shared" si="11"/>
        <v>4.2941393291559158E-3</v>
      </c>
      <c r="J55" s="79">
        <f t="shared" si="12"/>
        <v>22.024640619240692</v>
      </c>
      <c r="K55" s="79">
        <f t="shared" si="13"/>
        <v>146.69825177812552</v>
      </c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</row>
    <row r="56" spans="1:40" ht="14.25" customHeight="1">
      <c r="A56" s="7">
        <v>20502</v>
      </c>
      <c r="B56" s="8" t="s">
        <v>15</v>
      </c>
      <c r="C56" s="8" t="s">
        <v>86</v>
      </c>
      <c r="D56" s="8" t="s">
        <v>88</v>
      </c>
      <c r="E56" s="89">
        <v>22</v>
      </c>
      <c r="F56" s="90">
        <v>209</v>
      </c>
      <c r="G56" s="75">
        <f t="shared" si="9"/>
        <v>5.9994545950368145E-3</v>
      </c>
      <c r="H56" s="78">
        <f t="shared" si="10"/>
        <v>2.1539841832560676</v>
      </c>
      <c r="I56" s="75">
        <f t="shared" si="11"/>
        <v>3.851824548470328E-3</v>
      </c>
      <c r="J56" s="79">
        <f t="shared" si="12"/>
        <v>19.756008109104311</v>
      </c>
      <c r="K56" s="79">
        <f t="shared" si="13"/>
        <v>109.0293226931523</v>
      </c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</row>
    <row r="57" spans="1:40" ht="14.25" customHeight="1">
      <c r="A57" s="7">
        <v>20503</v>
      </c>
      <c r="B57" s="8" t="s">
        <v>15</v>
      </c>
      <c r="C57" s="8" t="s">
        <v>86</v>
      </c>
      <c r="D57" s="8" t="s">
        <v>89</v>
      </c>
      <c r="E57" s="89">
        <v>13</v>
      </c>
      <c r="F57" s="90">
        <v>105</v>
      </c>
      <c r="G57" s="75">
        <f>E57/$R$3</f>
        <v>3.5451322607035723E-3</v>
      </c>
      <c r="H57" s="78">
        <f>$S$18*G57</f>
        <v>1.2728088355604035</v>
      </c>
      <c r="I57" s="75">
        <f>F57/$S$3</f>
        <v>1.9351271654994471E-3</v>
      </c>
      <c r="J57" s="79">
        <f>I57*$U$18</f>
        <v>9.9252672318466644</v>
      </c>
      <c r="K57" s="79">
        <f t="shared" si="13"/>
        <v>128.23925097718387</v>
      </c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</row>
    <row r="58" spans="1:40" ht="14.25" customHeight="1">
      <c r="A58" s="7">
        <v>20601</v>
      </c>
      <c r="B58" s="8" t="s">
        <v>15</v>
      </c>
      <c r="C58" s="8" t="s">
        <v>90</v>
      </c>
      <c r="D58" s="8" t="s">
        <v>91</v>
      </c>
      <c r="E58" s="89">
        <v>37</v>
      </c>
      <c r="F58" s="90">
        <v>460</v>
      </c>
      <c r="G58" s="75">
        <f t="shared" ref="G58:G67" si="14">E58/$R$3</f>
        <v>1.0089991818925552E-2</v>
      </c>
      <c r="H58" s="78">
        <f t="shared" si="10"/>
        <v>3.6226097627488407</v>
      </c>
      <c r="I58" s="75">
        <f t="shared" ref="I58:I67" si="15">F58/$S$3</f>
        <v>8.4776999631404355E-3</v>
      </c>
      <c r="J58" s="79">
        <f t="shared" si="12"/>
        <v>43.482123110947292</v>
      </c>
      <c r="K58" s="79">
        <f t="shared" ref="K58:K117" si="16">1000*H58/J58</f>
        <v>83.312623753571799</v>
      </c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</row>
    <row r="59" spans="1:40" ht="14.25" customHeight="1">
      <c r="A59" s="7">
        <v>20602</v>
      </c>
      <c r="B59" s="8" t="s">
        <v>15</v>
      </c>
      <c r="C59" s="8" t="s">
        <v>90</v>
      </c>
      <c r="D59" s="8" t="s">
        <v>92</v>
      </c>
      <c r="E59" s="89">
        <v>38</v>
      </c>
      <c r="F59" s="90">
        <v>321</v>
      </c>
      <c r="G59" s="75">
        <f t="shared" si="14"/>
        <v>1.0362694300518135E-2</v>
      </c>
      <c r="H59" s="78">
        <f t="shared" si="10"/>
        <v>3.7205181347150256</v>
      </c>
      <c r="I59" s="75">
        <f t="shared" si="15"/>
        <v>5.9159601916697387E-3</v>
      </c>
      <c r="J59" s="79">
        <f t="shared" si="12"/>
        <v>30.342959823074089</v>
      </c>
      <c r="K59" s="79">
        <f t="shared" si="16"/>
        <v>122.61553112843606</v>
      </c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</row>
    <row r="60" spans="1:40" ht="14.25" customHeight="1">
      <c r="A60" s="7">
        <v>20603</v>
      </c>
      <c r="B60" s="8" t="s">
        <v>15</v>
      </c>
      <c r="C60" s="8" t="s">
        <v>90</v>
      </c>
      <c r="D60" s="8" t="s">
        <v>93</v>
      </c>
      <c r="E60" s="89">
        <v>14</v>
      </c>
      <c r="F60" s="90">
        <v>182</v>
      </c>
      <c r="G60" s="75">
        <f t="shared" si="14"/>
        <v>3.8178347422961551E-3</v>
      </c>
      <c r="H60" s="78">
        <f t="shared" si="10"/>
        <v>1.3707172075265885</v>
      </c>
      <c r="I60" s="75">
        <f t="shared" si="15"/>
        <v>3.3542204201990416E-3</v>
      </c>
      <c r="J60" s="79">
        <f t="shared" si="12"/>
        <v>17.203796535200883</v>
      </c>
      <c r="K60" s="79">
        <f t="shared" si="16"/>
        <v>79.675274275765148</v>
      </c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</row>
    <row r="61" spans="1:40" ht="14.25" customHeight="1">
      <c r="A61" s="7">
        <v>20604</v>
      </c>
      <c r="B61" s="8" t="s">
        <v>15</v>
      </c>
      <c r="C61" s="8" t="s">
        <v>90</v>
      </c>
      <c r="D61" s="8" t="s">
        <v>94</v>
      </c>
      <c r="E61" s="89">
        <v>15</v>
      </c>
      <c r="F61" s="90">
        <v>53</v>
      </c>
      <c r="G61" s="75">
        <f t="shared" si="14"/>
        <v>4.0905372238887374E-3</v>
      </c>
      <c r="H61" s="78">
        <f t="shared" si="10"/>
        <v>1.4686255794927732</v>
      </c>
      <c r="I61" s="75">
        <f t="shared" si="15"/>
        <v>9.7677847401400663E-4</v>
      </c>
      <c r="J61" s="79">
        <f t="shared" si="12"/>
        <v>5.0098967932178402</v>
      </c>
      <c r="K61" s="79">
        <f t="shared" si="16"/>
        <v>293.14487705234336</v>
      </c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</row>
    <row r="62" spans="1:40" ht="14.25" customHeight="1">
      <c r="A62" s="7">
        <v>20605</v>
      </c>
      <c r="B62" s="8" t="s">
        <v>15</v>
      </c>
      <c r="C62" s="8" t="s">
        <v>90</v>
      </c>
      <c r="D62" s="8" t="s">
        <v>95</v>
      </c>
      <c r="E62" s="89">
        <v>5</v>
      </c>
      <c r="F62" s="90">
        <v>51</v>
      </c>
      <c r="G62" s="75">
        <f t="shared" si="14"/>
        <v>1.3635124079629125E-3</v>
      </c>
      <c r="H62" s="78">
        <f t="shared" si="10"/>
        <v>0.48954185983092441</v>
      </c>
      <c r="I62" s="75">
        <f t="shared" si="15"/>
        <v>9.3991890895687427E-4</v>
      </c>
      <c r="J62" s="79">
        <f t="shared" si="12"/>
        <v>4.8208440840398081</v>
      </c>
      <c r="K62" s="79">
        <f t="shared" si="16"/>
        <v>101.54691819460263</v>
      </c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</row>
    <row r="63" spans="1:40" ht="14.25" customHeight="1">
      <c r="A63" s="7">
        <v>20606</v>
      </c>
      <c r="B63" s="8" t="s">
        <v>15</v>
      </c>
      <c r="C63" s="8" t="s">
        <v>90</v>
      </c>
      <c r="D63" s="8" t="s">
        <v>96</v>
      </c>
      <c r="E63" s="89">
        <v>25</v>
      </c>
      <c r="F63" s="90">
        <v>256</v>
      </c>
      <c r="G63" s="75">
        <f t="shared" si="14"/>
        <v>6.8175620398145623E-3</v>
      </c>
      <c r="H63" s="78">
        <f t="shared" si="10"/>
        <v>2.4477092991546221</v>
      </c>
      <c r="I63" s="75">
        <f t="shared" si="15"/>
        <v>4.7180243273129375E-3</v>
      </c>
      <c r="J63" s="79">
        <f t="shared" si="12"/>
        <v>24.198746774788056</v>
      </c>
      <c r="K63" s="79">
        <f t="shared" si="16"/>
        <v>101.15025054540496</v>
      </c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</row>
    <row r="64" spans="1:40" ht="14.25" customHeight="1">
      <c r="A64" s="7">
        <v>20607</v>
      </c>
      <c r="B64" s="8" t="s">
        <v>15</v>
      </c>
      <c r="C64" s="8" t="s">
        <v>90</v>
      </c>
      <c r="D64" s="8" t="s">
        <v>97</v>
      </c>
      <c r="E64" s="89">
        <v>27</v>
      </c>
      <c r="F64" s="90">
        <v>374</v>
      </c>
      <c r="G64" s="75">
        <f t="shared" si="14"/>
        <v>7.362967002999727E-3</v>
      </c>
      <c r="H64" s="78">
        <f t="shared" si="10"/>
        <v>2.6435260430869918</v>
      </c>
      <c r="I64" s="75">
        <f t="shared" si="15"/>
        <v>6.8927386656837449E-3</v>
      </c>
      <c r="J64" s="79">
        <f t="shared" si="12"/>
        <v>35.35285661629193</v>
      </c>
      <c r="K64" s="79">
        <f t="shared" si="16"/>
        <v>74.775457943298278</v>
      </c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</row>
    <row r="65" spans="1:40" ht="14.25" customHeight="1">
      <c r="A65" s="7">
        <v>20608</v>
      </c>
      <c r="B65" s="8" t="s">
        <v>15</v>
      </c>
      <c r="C65" s="8" t="s">
        <v>90</v>
      </c>
      <c r="D65" s="8" t="s">
        <v>98</v>
      </c>
      <c r="E65" s="89">
        <v>21</v>
      </c>
      <c r="F65" s="90">
        <v>237</v>
      </c>
      <c r="G65" s="75">
        <f t="shared" si="14"/>
        <v>5.7267521134442322E-3</v>
      </c>
      <c r="H65" s="78">
        <f t="shared" si="10"/>
        <v>2.0560758112898827</v>
      </c>
      <c r="I65" s="75">
        <f t="shared" si="15"/>
        <v>4.3678584592701806E-3</v>
      </c>
      <c r="J65" s="79">
        <f t="shared" si="12"/>
        <v>22.402746037596756</v>
      </c>
      <c r="K65" s="79">
        <f t="shared" si="16"/>
        <v>91.777847583476287</v>
      </c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</row>
    <row r="66" spans="1:40" ht="14.25" customHeight="1">
      <c r="A66" s="7">
        <v>20701</v>
      </c>
      <c r="B66" s="8" t="s">
        <v>15</v>
      </c>
      <c r="C66" s="8" t="s">
        <v>99</v>
      </c>
      <c r="D66" s="8" t="s">
        <v>100</v>
      </c>
      <c r="E66" s="89">
        <v>47</v>
      </c>
      <c r="F66" s="90">
        <v>432</v>
      </c>
      <c r="G66" s="75">
        <f t="shared" si="14"/>
        <v>1.2817016634851377E-2</v>
      </c>
      <c r="H66" s="78">
        <f t="shared" si="10"/>
        <v>4.6016934824106892</v>
      </c>
      <c r="I66" s="75">
        <f t="shared" si="15"/>
        <v>7.9616660523405824E-3</v>
      </c>
      <c r="J66" s="79">
        <f t="shared" si="12"/>
        <v>40.83538518245485</v>
      </c>
      <c r="K66" s="79">
        <f t="shared" si="16"/>
        <v>112.68887171873261</v>
      </c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</row>
    <row r="67" spans="1:40" ht="14.25" customHeight="1">
      <c r="A67" s="7">
        <v>20702</v>
      </c>
      <c r="B67" s="8" t="s">
        <v>15</v>
      </c>
      <c r="C67" s="8" t="s">
        <v>99</v>
      </c>
      <c r="D67" s="8" t="s">
        <v>101</v>
      </c>
      <c r="E67" s="89">
        <v>13</v>
      </c>
      <c r="F67" s="90">
        <v>155</v>
      </c>
      <c r="G67" s="75">
        <f t="shared" si="14"/>
        <v>3.5451322607035723E-3</v>
      </c>
      <c r="H67" s="78">
        <f t="shared" si="10"/>
        <v>1.2728088355604035</v>
      </c>
      <c r="I67" s="75">
        <f t="shared" si="15"/>
        <v>2.8566162919277552E-3</v>
      </c>
      <c r="J67" s="79">
        <f t="shared" si="12"/>
        <v>14.651584961297456</v>
      </c>
      <c r="K67" s="79">
        <f t="shared" si="16"/>
        <v>86.871750661963276</v>
      </c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</row>
    <row r="68" spans="1:40" ht="14.25" customHeight="1">
      <c r="A68" s="7">
        <v>20801</v>
      </c>
      <c r="B68" s="8" t="s">
        <v>15</v>
      </c>
      <c r="C68" s="8" t="s">
        <v>102</v>
      </c>
      <c r="D68" s="8" t="s">
        <v>103</v>
      </c>
      <c r="E68" s="89">
        <v>134</v>
      </c>
      <c r="F68" s="90">
        <v>1903</v>
      </c>
      <c r="G68" s="75">
        <f>E68/$R$3</f>
        <v>3.6542132533406053E-2</v>
      </c>
      <c r="H68" s="78">
        <f>$S$18*G68</f>
        <v>13.119721843468774</v>
      </c>
      <c r="I68" s="75">
        <f>F68/$S$3</f>
        <v>3.5071876151861407E-2</v>
      </c>
      <c r="J68" s="79">
        <f>I68*$U$18</f>
        <v>179.88365278289714</v>
      </c>
      <c r="K68" s="79">
        <f t="shared" si="16"/>
        <v>72.934486488903246</v>
      </c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</row>
    <row r="69" spans="1:40" ht="14.25" customHeight="1">
      <c r="A69" s="7">
        <v>20802</v>
      </c>
      <c r="B69" s="8" t="s">
        <v>15</v>
      </c>
      <c r="C69" s="8" t="s">
        <v>102</v>
      </c>
      <c r="D69" s="8" t="s">
        <v>104</v>
      </c>
      <c r="E69" s="89">
        <v>10</v>
      </c>
      <c r="F69" s="90">
        <v>110</v>
      </c>
      <c r="G69" s="75">
        <f t="shared" ref="G69:G82" si="17">E69/$R$3</f>
        <v>2.7270248159258249E-3</v>
      </c>
      <c r="H69" s="78">
        <f t="shared" si="10"/>
        <v>0.97908371966184882</v>
      </c>
      <c r="I69" s="75">
        <f t="shared" ref="I69:I82" si="18">F69/$S$3</f>
        <v>2.027276078142278E-3</v>
      </c>
      <c r="J69" s="79">
        <f t="shared" si="12"/>
        <v>10.397899004791745</v>
      </c>
      <c r="K69" s="79">
        <f t="shared" si="16"/>
        <v>94.161687780449697</v>
      </c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</row>
    <row r="70" spans="1:40" ht="14.25" customHeight="1">
      <c r="A70" s="7">
        <v>20803</v>
      </c>
      <c r="B70" s="8" t="s">
        <v>15</v>
      </c>
      <c r="C70" s="8" t="s">
        <v>102</v>
      </c>
      <c r="D70" s="8" t="s">
        <v>105</v>
      </c>
      <c r="E70" s="89">
        <v>20</v>
      </c>
      <c r="F70" s="90">
        <v>235</v>
      </c>
      <c r="G70" s="75">
        <f t="shared" si="17"/>
        <v>5.4540496318516499E-3</v>
      </c>
      <c r="H70" s="78">
        <f t="shared" si="10"/>
        <v>1.9581674393236976</v>
      </c>
      <c r="I70" s="75">
        <f t="shared" si="18"/>
        <v>4.3309988942130482E-3</v>
      </c>
      <c r="J70" s="79">
        <f t="shared" si="12"/>
        <v>22.213693328418724</v>
      </c>
      <c r="K70" s="79">
        <f t="shared" si="16"/>
        <v>88.151367283825252</v>
      </c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</row>
    <row r="71" spans="1:40" ht="14.25" customHeight="1">
      <c r="A71" s="7">
        <v>20804</v>
      </c>
      <c r="B71" s="8" t="s">
        <v>15</v>
      </c>
      <c r="C71" s="8" t="s">
        <v>102</v>
      </c>
      <c r="D71" s="8" t="s">
        <v>106</v>
      </c>
      <c r="E71" s="89">
        <v>8</v>
      </c>
      <c r="F71" s="90">
        <v>149</v>
      </c>
      <c r="G71" s="75">
        <f t="shared" si="17"/>
        <v>2.1816198527406599E-3</v>
      </c>
      <c r="H71" s="78">
        <f t="shared" si="10"/>
        <v>0.78326697572947901</v>
      </c>
      <c r="I71" s="75">
        <f t="shared" si="18"/>
        <v>2.7460375967563581E-3</v>
      </c>
      <c r="J71" s="79">
        <f t="shared" si="12"/>
        <v>14.084426833763361</v>
      </c>
      <c r="K71" s="79">
        <f t="shared" si="16"/>
        <v>55.61227197771526</v>
      </c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</row>
    <row r="72" spans="1:40" ht="14.25" customHeight="1">
      <c r="A72" s="7">
        <v>20805</v>
      </c>
      <c r="B72" s="8" t="s">
        <v>15</v>
      </c>
      <c r="C72" s="8" t="s">
        <v>102</v>
      </c>
      <c r="D72" s="8" t="s">
        <v>107</v>
      </c>
      <c r="E72" s="89">
        <v>4</v>
      </c>
      <c r="F72" s="90">
        <v>76</v>
      </c>
      <c r="G72" s="75">
        <f t="shared" si="17"/>
        <v>1.0908099263703299E-3</v>
      </c>
      <c r="H72" s="78">
        <f t="shared" si="10"/>
        <v>0.3916334878647395</v>
      </c>
      <c r="I72" s="75">
        <f t="shared" si="18"/>
        <v>1.4006634721710283E-3</v>
      </c>
      <c r="J72" s="79">
        <f t="shared" si="12"/>
        <v>7.1840029487652046</v>
      </c>
      <c r="K72" s="79">
        <f t="shared" si="16"/>
        <v>54.51466134657614</v>
      </c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</row>
    <row r="73" spans="1:40" ht="14.25" customHeight="1">
      <c r="A73" s="7">
        <v>20806</v>
      </c>
      <c r="B73" s="8" t="s">
        <v>15</v>
      </c>
      <c r="C73" s="8" t="s">
        <v>102</v>
      </c>
      <c r="D73" s="8" t="s">
        <v>108</v>
      </c>
      <c r="E73" s="89">
        <v>17</v>
      </c>
      <c r="F73" s="90">
        <v>230</v>
      </c>
      <c r="G73" s="75">
        <f t="shared" si="17"/>
        <v>4.635942187073902E-3</v>
      </c>
      <c r="H73" s="78">
        <f t="shared" si="10"/>
        <v>1.6644423234251429</v>
      </c>
      <c r="I73" s="75">
        <f t="shared" si="18"/>
        <v>4.2388499815702177E-3</v>
      </c>
      <c r="J73" s="79">
        <f t="shared" si="12"/>
        <v>21.741061555473646</v>
      </c>
      <c r="K73" s="79">
        <f t="shared" si="16"/>
        <v>76.557546151930836</v>
      </c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</row>
    <row r="74" spans="1:40" ht="14.25" customHeight="1">
      <c r="A74" s="7">
        <v>20807</v>
      </c>
      <c r="B74" s="8" t="s">
        <v>15</v>
      </c>
      <c r="C74" s="8" t="s">
        <v>102</v>
      </c>
      <c r="D74" s="8" t="s">
        <v>109</v>
      </c>
      <c r="E74" s="89">
        <v>6</v>
      </c>
      <c r="F74" s="90">
        <v>87</v>
      </c>
      <c r="G74" s="75">
        <f t="shared" si="17"/>
        <v>1.636214889555495E-3</v>
      </c>
      <c r="H74" s="78">
        <f t="shared" si="10"/>
        <v>0.58745023179710931</v>
      </c>
      <c r="I74" s="75">
        <f t="shared" si="18"/>
        <v>1.6033910799852561E-3</v>
      </c>
      <c r="J74" s="79">
        <f t="shared" si="12"/>
        <v>8.2237928492443775</v>
      </c>
      <c r="K74" s="79">
        <f t="shared" si="16"/>
        <v>71.433004523099783</v>
      </c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</row>
    <row r="75" spans="1:40" ht="14.25" customHeight="1">
      <c r="A75" s="7">
        <v>20901</v>
      </c>
      <c r="B75" s="8" t="s">
        <v>15</v>
      </c>
      <c r="C75" s="8" t="s">
        <v>110</v>
      </c>
      <c r="D75" s="8" t="s">
        <v>111</v>
      </c>
      <c r="E75" s="89">
        <v>21</v>
      </c>
      <c r="F75" s="90">
        <v>204</v>
      </c>
      <c r="G75" s="75">
        <f t="shared" si="17"/>
        <v>5.7267521134442322E-3</v>
      </c>
      <c r="H75" s="78">
        <f t="shared" si="10"/>
        <v>2.0560758112898827</v>
      </c>
      <c r="I75" s="75">
        <f t="shared" si="18"/>
        <v>3.7596756358274971E-3</v>
      </c>
      <c r="J75" s="79">
        <f t="shared" si="12"/>
        <v>19.283376336159233</v>
      </c>
      <c r="K75" s="79">
        <f t="shared" si="16"/>
        <v>106.62426410433275</v>
      </c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</row>
    <row r="76" spans="1:40" ht="14.25" customHeight="1">
      <c r="A76" s="7">
        <v>20902</v>
      </c>
      <c r="B76" s="8" t="s">
        <v>15</v>
      </c>
      <c r="C76" s="8" t="s">
        <v>110</v>
      </c>
      <c r="D76" s="8" t="s">
        <v>112</v>
      </c>
      <c r="E76" s="89">
        <v>19</v>
      </c>
      <c r="F76" s="90">
        <v>230</v>
      </c>
      <c r="G76" s="75">
        <f t="shared" si="17"/>
        <v>5.1813471502590676E-3</v>
      </c>
      <c r="H76" s="78">
        <f t="shared" si="10"/>
        <v>1.8602590673575128</v>
      </c>
      <c r="I76" s="75">
        <f t="shared" si="18"/>
        <v>4.2388499815702177E-3</v>
      </c>
      <c r="J76" s="79">
        <f t="shared" si="12"/>
        <v>21.741061555473646</v>
      </c>
      <c r="K76" s="79">
        <f t="shared" si="16"/>
        <v>85.564316287452115</v>
      </c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</row>
    <row r="77" spans="1:40" ht="14.25" customHeight="1">
      <c r="A77" s="7">
        <v>20903</v>
      </c>
      <c r="B77" s="8" t="s">
        <v>15</v>
      </c>
      <c r="C77" s="8" t="s">
        <v>110</v>
      </c>
      <c r="D77" s="8" t="s">
        <v>113</v>
      </c>
      <c r="E77" s="89">
        <v>13</v>
      </c>
      <c r="F77" s="90">
        <v>138</v>
      </c>
      <c r="G77" s="75">
        <f t="shared" si="17"/>
        <v>3.5451322607035723E-3</v>
      </c>
      <c r="H77" s="78">
        <f t="shared" si="10"/>
        <v>1.2728088355604035</v>
      </c>
      <c r="I77" s="75">
        <f t="shared" si="18"/>
        <v>2.5433099889421306E-3</v>
      </c>
      <c r="J77" s="79">
        <f t="shared" si="12"/>
        <v>13.044636933284188</v>
      </c>
      <c r="K77" s="79">
        <f t="shared" si="16"/>
        <v>97.573343134813811</v>
      </c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</row>
    <row r="78" spans="1:40" ht="14.25" customHeight="1">
      <c r="A78" s="7">
        <v>20904</v>
      </c>
      <c r="B78" s="8" t="s">
        <v>15</v>
      </c>
      <c r="C78" s="8" t="s">
        <v>110</v>
      </c>
      <c r="D78" s="8" t="s">
        <v>114</v>
      </c>
      <c r="E78" s="89">
        <v>8</v>
      </c>
      <c r="F78" s="90">
        <v>88</v>
      </c>
      <c r="G78" s="75">
        <f t="shared" si="17"/>
        <v>2.1816198527406599E-3</v>
      </c>
      <c r="H78" s="78">
        <f t="shared" si="10"/>
        <v>0.78326697572947901</v>
      </c>
      <c r="I78" s="75">
        <f t="shared" si="18"/>
        <v>1.6218208625138222E-3</v>
      </c>
      <c r="J78" s="79">
        <f t="shared" si="12"/>
        <v>8.3183192038333935</v>
      </c>
      <c r="K78" s="79">
        <f t="shared" si="16"/>
        <v>94.161687780449711</v>
      </c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</row>
    <row r="79" spans="1:40" ht="14.25" customHeight="1">
      <c r="A79" s="7">
        <v>20905</v>
      </c>
      <c r="B79" s="8" t="s">
        <v>15</v>
      </c>
      <c r="C79" s="8" t="s">
        <v>110</v>
      </c>
      <c r="D79" s="8" t="s">
        <v>115</v>
      </c>
      <c r="E79" s="89">
        <v>26</v>
      </c>
      <c r="F79" s="90">
        <v>245</v>
      </c>
      <c r="G79" s="75">
        <f t="shared" si="17"/>
        <v>7.0902645214071447E-3</v>
      </c>
      <c r="H79" s="78">
        <f t="shared" si="10"/>
        <v>2.5456176711208069</v>
      </c>
      <c r="I79" s="75">
        <f t="shared" si="18"/>
        <v>4.51529671949871E-3</v>
      </c>
      <c r="J79" s="79">
        <f t="shared" si="12"/>
        <v>23.158956874308885</v>
      </c>
      <c r="K79" s="79">
        <f t="shared" si="16"/>
        <v>109.91935798044331</v>
      </c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</row>
    <row r="80" spans="1:40" ht="14.25" customHeight="1">
      <c r="A80" s="7">
        <v>21001</v>
      </c>
      <c r="B80" s="8" t="s">
        <v>15</v>
      </c>
      <c r="C80" s="8" t="s">
        <v>116</v>
      </c>
      <c r="D80" s="8" t="s">
        <v>116</v>
      </c>
      <c r="E80" s="89">
        <v>22</v>
      </c>
      <c r="F80" s="90">
        <v>324</v>
      </c>
      <c r="G80" s="75">
        <f t="shared" si="17"/>
        <v>5.9994545950368145E-3</v>
      </c>
      <c r="H80" s="78">
        <f t="shared" si="10"/>
        <v>2.1539841832560676</v>
      </c>
      <c r="I80" s="75">
        <f t="shared" si="18"/>
        <v>5.9712495392554368E-3</v>
      </c>
      <c r="J80" s="79">
        <f t="shared" si="12"/>
        <v>30.626538886841136</v>
      </c>
      <c r="K80" s="79">
        <f t="shared" si="16"/>
        <v>70.330643342187741</v>
      </c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</row>
    <row r="81" spans="1:40" ht="14.25" customHeight="1">
      <c r="A81" s="7">
        <v>21002</v>
      </c>
      <c r="B81" s="8" t="s">
        <v>15</v>
      </c>
      <c r="C81" s="8" t="s">
        <v>116</v>
      </c>
      <c r="D81" s="8" t="s">
        <v>117</v>
      </c>
      <c r="E81" s="89">
        <v>20</v>
      </c>
      <c r="F81" s="90">
        <v>182</v>
      </c>
      <c r="G81" s="75">
        <f t="shared" si="17"/>
        <v>5.4540496318516499E-3</v>
      </c>
      <c r="H81" s="78">
        <f t="shared" si="10"/>
        <v>1.9581674393236976</v>
      </c>
      <c r="I81" s="75">
        <f t="shared" si="18"/>
        <v>3.3542204201990416E-3</v>
      </c>
      <c r="J81" s="79">
        <f t="shared" si="12"/>
        <v>17.203796535200883</v>
      </c>
      <c r="K81" s="79">
        <f t="shared" si="16"/>
        <v>113.82182039395019</v>
      </c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</row>
    <row r="82" spans="1:40" ht="14.25" customHeight="1">
      <c r="A82" s="7">
        <v>21003</v>
      </c>
      <c r="B82" s="8" t="s">
        <v>15</v>
      </c>
      <c r="C82" s="8" t="s">
        <v>116</v>
      </c>
      <c r="D82" s="8" t="s">
        <v>118</v>
      </c>
      <c r="E82" s="89">
        <v>22</v>
      </c>
      <c r="F82" s="90">
        <v>222</v>
      </c>
      <c r="G82" s="75">
        <f t="shared" si="17"/>
        <v>5.9994545950368145E-3</v>
      </c>
      <c r="H82" s="78">
        <f t="shared" si="10"/>
        <v>2.1539841832560676</v>
      </c>
      <c r="I82" s="75">
        <f t="shared" si="18"/>
        <v>4.0914117213416883E-3</v>
      </c>
      <c r="J82" s="79">
        <f t="shared" si="12"/>
        <v>20.984850718761518</v>
      </c>
      <c r="K82" s="79">
        <f t="shared" si="16"/>
        <v>102.64472271562535</v>
      </c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</row>
    <row r="83" spans="1:40" ht="14.25" customHeight="1">
      <c r="A83" s="7">
        <v>21004</v>
      </c>
      <c r="B83" s="8" t="s">
        <v>15</v>
      </c>
      <c r="C83" s="8" t="s">
        <v>116</v>
      </c>
      <c r="D83" s="8" t="s">
        <v>119</v>
      </c>
      <c r="E83" s="89">
        <v>43</v>
      </c>
      <c r="F83" s="90">
        <v>462</v>
      </c>
      <c r="G83" s="75">
        <f>E83/$R$3</f>
        <v>1.1726206708481048E-2</v>
      </c>
      <c r="H83" s="78">
        <f>$S$18*G83</f>
        <v>4.2100599945459498</v>
      </c>
      <c r="I83" s="75">
        <f>F83/$S$3</f>
        <v>8.514559528197567E-3</v>
      </c>
      <c r="J83" s="79">
        <f>I83*$U$18</f>
        <v>43.67117582012532</v>
      </c>
      <c r="K83" s="79">
        <f t="shared" si="16"/>
        <v>96.403632727603267</v>
      </c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</row>
    <row r="84" spans="1:40" ht="14.25" customHeight="1">
      <c r="A84" s="7">
        <v>21005</v>
      </c>
      <c r="B84" s="8" t="s">
        <v>15</v>
      </c>
      <c r="C84" s="8" t="s">
        <v>116</v>
      </c>
      <c r="D84" s="8" t="s">
        <v>120</v>
      </c>
      <c r="E84" s="89">
        <v>10</v>
      </c>
      <c r="F84" s="90">
        <v>149</v>
      </c>
      <c r="G84" s="75">
        <f t="shared" ref="G84:G95" si="19">E84/$R$3</f>
        <v>2.7270248159258249E-3</v>
      </c>
      <c r="H84" s="78">
        <f t="shared" si="10"/>
        <v>0.97908371966184882</v>
      </c>
      <c r="I84" s="75">
        <f t="shared" ref="I84:I95" si="20">F84/$S$3</f>
        <v>2.7460375967563581E-3</v>
      </c>
      <c r="J84" s="79">
        <f t="shared" si="12"/>
        <v>14.084426833763361</v>
      </c>
      <c r="K84" s="79">
        <f t="shared" si="16"/>
        <v>69.515339972144076</v>
      </c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</row>
    <row r="85" spans="1:40" ht="14.25" customHeight="1">
      <c r="A85" s="7">
        <v>21006</v>
      </c>
      <c r="B85" s="8" t="s">
        <v>15</v>
      </c>
      <c r="C85" s="8" t="s">
        <v>116</v>
      </c>
      <c r="D85" s="8" t="s">
        <v>121</v>
      </c>
      <c r="E85" s="89">
        <v>2</v>
      </c>
      <c r="F85" s="90">
        <v>82</v>
      </c>
      <c r="G85" s="75">
        <f t="shared" si="19"/>
        <v>5.4540496318516497E-4</v>
      </c>
      <c r="H85" s="78">
        <f t="shared" si="10"/>
        <v>0.19581674393236975</v>
      </c>
      <c r="I85" s="75">
        <f t="shared" si="20"/>
        <v>1.5112421673424254E-3</v>
      </c>
      <c r="J85" s="79">
        <f t="shared" si="12"/>
        <v>7.7511610762993</v>
      </c>
      <c r="K85" s="79">
        <f t="shared" si="16"/>
        <v>25.262891843535282</v>
      </c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</row>
    <row r="86" spans="1:40" ht="14.25" customHeight="1">
      <c r="A86" s="7">
        <v>21101</v>
      </c>
      <c r="B86" s="8" t="s">
        <v>15</v>
      </c>
      <c r="C86" s="8" t="s">
        <v>122</v>
      </c>
      <c r="D86" s="8" t="s">
        <v>123</v>
      </c>
      <c r="E86" s="89">
        <v>23</v>
      </c>
      <c r="F86" s="90">
        <v>352</v>
      </c>
      <c r="G86" s="75">
        <f t="shared" si="19"/>
        <v>6.2721570766293977E-3</v>
      </c>
      <c r="H86" s="78">
        <f t="shared" si="10"/>
        <v>2.2518925552222524</v>
      </c>
      <c r="I86" s="75">
        <f t="shared" si="20"/>
        <v>6.487283450055289E-3</v>
      </c>
      <c r="J86" s="79">
        <f t="shared" si="12"/>
        <v>33.273276815333574</v>
      </c>
      <c r="K86" s="79">
        <f t="shared" si="16"/>
        <v>67.678713092198237</v>
      </c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</row>
    <row r="87" spans="1:40" ht="14.25" customHeight="1">
      <c r="A87" s="7">
        <v>21102</v>
      </c>
      <c r="B87" s="8" t="s">
        <v>15</v>
      </c>
      <c r="C87" s="8" t="s">
        <v>122</v>
      </c>
      <c r="D87" s="8" t="s">
        <v>124</v>
      </c>
      <c r="E87" s="89">
        <v>20</v>
      </c>
      <c r="F87" s="90">
        <v>374</v>
      </c>
      <c r="G87" s="75">
        <f t="shared" si="19"/>
        <v>5.4540496318516499E-3</v>
      </c>
      <c r="H87" s="78">
        <f t="shared" si="10"/>
        <v>1.9581674393236976</v>
      </c>
      <c r="I87" s="75">
        <f t="shared" si="20"/>
        <v>6.8927386656837449E-3</v>
      </c>
      <c r="J87" s="79">
        <f t="shared" si="12"/>
        <v>35.35285661629193</v>
      </c>
      <c r="K87" s="79">
        <f t="shared" si="16"/>
        <v>55.389228106146881</v>
      </c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</row>
    <row r="88" spans="1:40" ht="14.25" customHeight="1">
      <c r="A88" s="7">
        <v>21103</v>
      </c>
      <c r="B88" s="8" t="s">
        <v>15</v>
      </c>
      <c r="C88" s="8" t="s">
        <v>122</v>
      </c>
      <c r="D88" s="8" t="s">
        <v>125</v>
      </c>
      <c r="E88" s="89">
        <v>9</v>
      </c>
      <c r="F88" s="90">
        <v>146</v>
      </c>
      <c r="G88" s="75">
        <f t="shared" si="19"/>
        <v>2.4543223343332426E-3</v>
      </c>
      <c r="H88" s="78">
        <f t="shared" si="10"/>
        <v>0.88117534769566408</v>
      </c>
      <c r="I88" s="75">
        <f t="shared" si="20"/>
        <v>2.69074824917066E-3</v>
      </c>
      <c r="J88" s="79">
        <f t="shared" si="12"/>
        <v>13.800847769996315</v>
      </c>
      <c r="K88" s="79">
        <f t="shared" si="16"/>
        <v>63.849363631948776</v>
      </c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</row>
    <row r="89" spans="1:40" ht="14.25" customHeight="1">
      <c r="A89" s="7">
        <v>21104</v>
      </c>
      <c r="B89" s="8" t="s">
        <v>15</v>
      </c>
      <c r="C89" s="8" t="s">
        <v>122</v>
      </c>
      <c r="D89" s="8" t="s">
        <v>126</v>
      </c>
      <c r="E89" s="89">
        <v>63</v>
      </c>
      <c r="F89" s="90">
        <v>649</v>
      </c>
      <c r="G89" s="75">
        <f t="shared" si="19"/>
        <v>1.7180256340332697E-2</v>
      </c>
      <c r="H89" s="78">
        <f t="shared" si="10"/>
        <v>6.1682274338696477</v>
      </c>
      <c r="I89" s="75">
        <f t="shared" si="20"/>
        <v>1.196092886103944E-2</v>
      </c>
      <c r="J89" s="79">
        <f t="shared" si="12"/>
        <v>61.347604128271293</v>
      </c>
      <c r="K89" s="79">
        <f t="shared" si="16"/>
        <v>100.54553101980223</v>
      </c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</row>
    <row r="90" spans="1:40" ht="14.25" customHeight="1">
      <c r="A90" s="7">
        <v>21105</v>
      </c>
      <c r="B90" s="8" t="s">
        <v>15</v>
      </c>
      <c r="C90" s="8" t="s">
        <v>122</v>
      </c>
      <c r="D90" s="8" t="s">
        <v>127</v>
      </c>
      <c r="E90" s="89">
        <v>84</v>
      </c>
      <c r="F90" s="90">
        <v>1166</v>
      </c>
      <c r="G90" s="75">
        <f t="shared" si="19"/>
        <v>2.2907008453776929E-2</v>
      </c>
      <c r="H90" s="78">
        <f t="shared" si="10"/>
        <v>8.2243032451595308</v>
      </c>
      <c r="I90" s="75">
        <f t="shared" si="20"/>
        <v>2.1489126428308147E-2</v>
      </c>
      <c r="J90" s="79">
        <f t="shared" si="12"/>
        <v>110.21772945079249</v>
      </c>
      <c r="K90" s="79">
        <f t="shared" si="16"/>
        <v>74.61869597696014</v>
      </c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</row>
    <row r="91" spans="1:40" ht="14.25" customHeight="1">
      <c r="A91" s="7">
        <v>21201</v>
      </c>
      <c r="B91" s="8" t="s">
        <v>15</v>
      </c>
      <c r="C91" s="8" t="s">
        <v>128</v>
      </c>
      <c r="D91" s="8" t="s">
        <v>129</v>
      </c>
      <c r="E91" s="89">
        <v>79</v>
      </c>
      <c r="F91" s="90">
        <v>587</v>
      </c>
      <c r="G91" s="75">
        <f t="shared" si="19"/>
        <v>2.1543496045814018E-2</v>
      </c>
      <c r="H91" s="78">
        <f t="shared" si="10"/>
        <v>7.7347613853286061</v>
      </c>
      <c r="I91" s="75">
        <f t="shared" si="20"/>
        <v>1.0818282344268338E-2</v>
      </c>
      <c r="J91" s="79">
        <f t="shared" si="12"/>
        <v>55.486970143752309</v>
      </c>
      <c r="K91" s="79">
        <f t="shared" si="16"/>
        <v>139.39779673119384</v>
      </c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</row>
    <row r="92" spans="1:40" ht="14.25" customHeight="1">
      <c r="A92" s="7">
        <v>21202</v>
      </c>
      <c r="B92" s="8" t="s">
        <v>15</v>
      </c>
      <c r="C92" s="8" t="s">
        <v>128</v>
      </c>
      <c r="D92" s="8" t="s">
        <v>130</v>
      </c>
      <c r="E92" s="89">
        <v>40</v>
      </c>
      <c r="F92" s="90">
        <v>453</v>
      </c>
      <c r="G92" s="75">
        <f t="shared" si="19"/>
        <v>1.09080992637033E-2</v>
      </c>
      <c r="H92" s="78">
        <f t="shared" si="10"/>
        <v>3.9163348786473953</v>
      </c>
      <c r="I92" s="75">
        <f t="shared" si="20"/>
        <v>8.3486914854404726E-3</v>
      </c>
      <c r="J92" s="79">
        <f t="shared" si="12"/>
        <v>42.820438628824185</v>
      </c>
      <c r="K92" s="79">
        <f t="shared" si="16"/>
        <v>91.459475989840755</v>
      </c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</row>
    <row r="93" spans="1:40" ht="14.25" customHeight="1">
      <c r="A93" s="7">
        <v>21203</v>
      </c>
      <c r="B93" s="8" t="s">
        <v>15</v>
      </c>
      <c r="C93" s="8" t="s">
        <v>128</v>
      </c>
      <c r="D93" s="8" t="s">
        <v>131</v>
      </c>
      <c r="E93" s="89">
        <v>14</v>
      </c>
      <c r="F93" s="90">
        <v>298</v>
      </c>
      <c r="G93" s="75">
        <f t="shared" si="19"/>
        <v>3.8178347422961551E-3</v>
      </c>
      <c r="H93" s="78">
        <f t="shared" si="10"/>
        <v>1.3707172075265885</v>
      </c>
      <c r="I93" s="75">
        <f t="shared" si="20"/>
        <v>5.4920751935127162E-3</v>
      </c>
      <c r="J93" s="79">
        <f t="shared" si="12"/>
        <v>28.168853667526722</v>
      </c>
      <c r="K93" s="79">
        <f t="shared" si="16"/>
        <v>48.660737980500862</v>
      </c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</row>
    <row r="94" spans="1:40" ht="14.25" customHeight="1">
      <c r="A94" s="7">
        <v>21204</v>
      </c>
      <c r="B94" s="8" t="s">
        <v>15</v>
      </c>
      <c r="C94" s="8" t="s">
        <v>128</v>
      </c>
      <c r="D94" s="8" t="s">
        <v>132</v>
      </c>
      <c r="E94" s="89">
        <v>14</v>
      </c>
      <c r="F94" s="90">
        <v>90</v>
      </c>
      <c r="G94" s="75">
        <f t="shared" si="19"/>
        <v>3.8178347422961551E-3</v>
      </c>
      <c r="H94" s="78">
        <f t="shared" si="10"/>
        <v>1.3707172075265885</v>
      </c>
      <c r="I94" s="75">
        <f t="shared" si="20"/>
        <v>1.6586804275709546E-3</v>
      </c>
      <c r="J94" s="79">
        <f t="shared" si="12"/>
        <v>8.5073719130114256</v>
      </c>
      <c r="K94" s="79">
        <f t="shared" si="16"/>
        <v>161.12111020210284</v>
      </c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</row>
    <row r="95" spans="1:40" ht="14.25" customHeight="1">
      <c r="A95" s="7">
        <v>21301</v>
      </c>
      <c r="B95" s="8" t="s">
        <v>15</v>
      </c>
      <c r="C95" s="8" t="s">
        <v>133</v>
      </c>
      <c r="D95" s="8" t="s">
        <v>134</v>
      </c>
      <c r="E95" s="89">
        <v>46</v>
      </c>
      <c r="F95" s="90">
        <v>595</v>
      </c>
      <c r="G95" s="75">
        <f t="shared" si="19"/>
        <v>1.2544314153258795E-2</v>
      </c>
      <c r="H95" s="78">
        <f t="shared" si="10"/>
        <v>4.5037851104445048</v>
      </c>
      <c r="I95" s="75">
        <f t="shared" si="20"/>
        <v>1.0965720604496867E-2</v>
      </c>
      <c r="J95" s="79">
        <f t="shared" si="12"/>
        <v>56.24318098046443</v>
      </c>
      <c r="K95" s="79">
        <f t="shared" si="16"/>
        <v>80.076998347743782</v>
      </c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</row>
    <row r="96" spans="1:40" ht="14.25" customHeight="1">
      <c r="A96" s="7">
        <v>21302</v>
      </c>
      <c r="B96" s="8" t="s">
        <v>15</v>
      </c>
      <c r="C96" s="8" t="s">
        <v>133</v>
      </c>
      <c r="D96" s="8" t="s">
        <v>135</v>
      </c>
      <c r="E96" s="89">
        <v>15</v>
      </c>
      <c r="F96" s="90">
        <v>158</v>
      </c>
      <c r="G96" s="75">
        <f>E96/$R$3</f>
        <v>4.0905372238887374E-3</v>
      </c>
      <c r="H96" s="78">
        <f>$S$18*G96</f>
        <v>1.4686255794927732</v>
      </c>
      <c r="I96" s="75">
        <f>F96/$S$3</f>
        <v>2.9119056395134537E-3</v>
      </c>
      <c r="J96" s="79">
        <f>I96*$U$18</f>
        <v>14.935164025064504</v>
      </c>
      <c r="K96" s="79">
        <f t="shared" si="16"/>
        <v>98.33340812515317</v>
      </c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</row>
    <row r="97" spans="1:40" ht="14.25" customHeight="1">
      <c r="A97" s="7">
        <v>21303</v>
      </c>
      <c r="B97" s="8" t="s">
        <v>15</v>
      </c>
      <c r="C97" s="8" t="s">
        <v>133</v>
      </c>
      <c r="D97" s="8" t="s">
        <v>136</v>
      </c>
      <c r="E97" s="89">
        <v>9</v>
      </c>
      <c r="F97" s="90">
        <v>178</v>
      </c>
      <c r="G97" s="75">
        <f t="shared" ref="G97:G109" si="21">E97/$R$3</f>
        <v>2.4543223343332426E-3</v>
      </c>
      <c r="H97" s="78">
        <f t="shared" si="10"/>
        <v>0.88117534769566408</v>
      </c>
      <c r="I97" s="75">
        <f t="shared" ref="I97:I109" si="22">F97/$S$3</f>
        <v>3.2805012900847768E-3</v>
      </c>
      <c r="J97" s="79">
        <f t="shared" si="12"/>
        <v>16.825691116844819</v>
      </c>
      <c r="K97" s="79">
        <f t="shared" si="16"/>
        <v>52.370826349800694</v>
      </c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</row>
    <row r="98" spans="1:40" ht="14.25" customHeight="1">
      <c r="A98" s="7">
        <v>21304</v>
      </c>
      <c r="B98" s="8" t="s">
        <v>15</v>
      </c>
      <c r="C98" s="8" t="s">
        <v>133</v>
      </c>
      <c r="D98" s="8" t="s">
        <v>137</v>
      </c>
      <c r="E98" s="89">
        <v>19</v>
      </c>
      <c r="F98" s="90">
        <v>222</v>
      </c>
      <c r="G98" s="75">
        <f t="shared" si="21"/>
        <v>5.1813471502590676E-3</v>
      </c>
      <c r="H98" s="78">
        <f t="shared" ref="H98:H109" si="23">$S$18*G98</f>
        <v>1.8602590673575128</v>
      </c>
      <c r="I98" s="75">
        <f t="shared" si="22"/>
        <v>4.0914117213416883E-3</v>
      </c>
      <c r="J98" s="79">
        <f t="shared" ref="J98:J109" si="24">I98*$U$18</f>
        <v>20.984850718761518</v>
      </c>
      <c r="K98" s="79">
        <f t="shared" si="16"/>
        <v>88.647715072585541</v>
      </c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</row>
    <row r="99" spans="1:40" ht="14.25" customHeight="1">
      <c r="A99" s="7">
        <v>21305</v>
      </c>
      <c r="B99" s="8" t="s">
        <v>15</v>
      </c>
      <c r="C99" s="8" t="s">
        <v>133</v>
      </c>
      <c r="D99" s="8" t="s">
        <v>138</v>
      </c>
      <c r="E99" s="89">
        <v>25</v>
      </c>
      <c r="F99" s="90">
        <v>470</v>
      </c>
      <c r="G99" s="75">
        <f t="shared" si="21"/>
        <v>6.8175620398145623E-3</v>
      </c>
      <c r="H99" s="78">
        <f t="shared" si="23"/>
        <v>2.4477092991546221</v>
      </c>
      <c r="I99" s="75">
        <f t="shared" si="22"/>
        <v>8.6619977884260964E-3</v>
      </c>
      <c r="J99" s="79">
        <f t="shared" si="24"/>
        <v>44.427386656837449</v>
      </c>
      <c r="K99" s="79">
        <f t="shared" si="16"/>
        <v>55.094604552390784</v>
      </c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</row>
    <row r="100" spans="1:40" ht="14.25" customHeight="1">
      <c r="A100" s="7">
        <v>21306</v>
      </c>
      <c r="B100" s="8" t="s">
        <v>15</v>
      </c>
      <c r="C100" s="8" t="s">
        <v>133</v>
      </c>
      <c r="D100" s="8" t="s">
        <v>139</v>
      </c>
      <c r="E100" s="89">
        <v>12</v>
      </c>
      <c r="F100" s="90">
        <v>236</v>
      </c>
      <c r="G100" s="75">
        <f t="shared" si="21"/>
        <v>3.27242977911099E-3</v>
      </c>
      <c r="H100" s="78">
        <f t="shared" si="23"/>
        <v>1.1749004635942186</v>
      </c>
      <c r="I100" s="75">
        <f t="shared" si="22"/>
        <v>4.3494286767416148E-3</v>
      </c>
      <c r="J100" s="79">
        <f t="shared" si="24"/>
        <v>22.308219683007742</v>
      </c>
      <c r="K100" s="79">
        <f t="shared" si="16"/>
        <v>52.666706724658304</v>
      </c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</row>
    <row r="101" spans="1:40" ht="14.25" customHeight="1">
      <c r="A101" s="7">
        <v>21307</v>
      </c>
      <c r="B101" s="8" t="s">
        <v>15</v>
      </c>
      <c r="C101" s="8" t="s">
        <v>133</v>
      </c>
      <c r="D101" s="8" t="s">
        <v>140</v>
      </c>
      <c r="E101" s="89">
        <v>2</v>
      </c>
      <c r="F101" s="90">
        <v>89</v>
      </c>
      <c r="G101" s="75">
        <f t="shared" si="21"/>
        <v>5.4540496318516497E-4</v>
      </c>
      <c r="H101" s="78">
        <f t="shared" si="23"/>
        <v>0.19581674393236975</v>
      </c>
      <c r="I101" s="75">
        <f t="shared" si="22"/>
        <v>1.6402506450423884E-3</v>
      </c>
      <c r="J101" s="79">
        <f t="shared" si="24"/>
        <v>8.4128455584224096</v>
      </c>
      <c r="K101" s="79">
        <f t="shared" si="16"/>
        <v>23.275922822133634</v>
      </c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</row>
    <row r="102" spans="1:40" ht="14.25" customHeight="1">
      <c r="A102" s="7">
        <v>21401</v>
      </c>
      <c r="B102" s="8" t="s">
        <v>15</v>
      </c>
      <c r="C102" s="8" t="s">
        <v>141</v>
      </c>
      <c r="D102" s="8" t="s">
        <v>142</v>
      </c>
      <c r="E102" s="89">
        <v>24</v>
      </c>
      <c r="F102" s="90">
        <v>372</v>
      </c>
      <c r="G102" s="75">
        <f t="shared" si="21"/>
        <v>6.54485955822198E-3</v>
      </c>
      <c r="H102" s="78">
        <f t="shared" si="23"/>
        <v>2.3498009271884372</v>
      </c>
      <c r="I102" s="75">
        <f t="shared" si="22"/>
        <v>6.8558791006266126E-3</v>
      </c>
      <c r="J102" s="79">
        <f t="shared" si="24"/>
        <v>35.163803907113895</v>
      </c>
      <c r="K102" s="79">
        <f t="shared" si="16"/>
        <v>66.82442358612559</v>
      </c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</row>
    <row r="103" spans="1:40" ht="14.25" customHeight="1">
      <c r="A103" s="7">
        <v>21402</v>
      </c>
      <c r="B103" s="8" t="s">
        <v>15</v>
      </c>
      <c r="C103" s="8" t="s">
        <v>141</v>
      </c>
      <c r="D103" s="8" t="s">
        <v>143</v>
      </c>
      <c r="E103" s="89">
        <v>18</v>
      </c>
      <c r="F103" s="90">
        <v>367</v>
      </c>
      <c r="G103" s="75">
        <f t="shared" si="21"/>
        <v>4.9086446686664852E-3</v>
      </c>
      <c r="H103" s="78">
        <f t="shared" si="23"/>
        <v>1.7623506953913282</v>
      </c>
      <c r="I103" s="75">
        <f t="shared" si="22"/>
        <v>6.7637301879837821E-3</v>
      </c>
      <c r="J103" s="79">
        <f t="shared" si="24"/>
        <v>34.691172134168816</v>
      </c>
      <c r="K103" s="79">
        <f t="shared" si="16"/>
        <v>50.801128557299847</v>
      </c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</row>
    <row r="104" spans="1:40" ht="14.25" customHeight="1">
      <c r="A104" s="7">
        <v>21501</v>
      </c>
      <c r="B104" s="8" t="s">
        <v>15</v>
      </c>
      <c r="C104" s="8" t="s">
        <v>144</v>
      </c>
      <c r="D104" s="8" t="s">
        <v>145</v>
      </c>
      <c r="E104" s="89">
        <v>11</v>
      </c>
      <c r="F104" s="90">
        <v>284</v>
      </c>
      <c r="G104" s="75">
        <f t="shared" si="21"/>
        <v>2.9997272975184073E-3</v>
      </c>
      <c r="H104" s="78">
        <f t="shared" si="23"/>
        <v>1.0769920916280338</v>
      </c>
      <c r="I104" s="75">
        <f t="shared" si="22"/>
        <v>5.2340582381127905E-3</v>
      </c>
      <c r="J104" s="79">
        <f t="shared" si="24"/>
        <v>26.845484703280501</v>
      </c>
      <c r="K104" s="79">
        <f t="shared" si="16"/>
        <v>40.118183878290189</v>
      </c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</row>
    <row r="105" spans="1:40" ht="14.25" customHeight="1">
      <c r="A105" s="7">
        <v>21502</v>
      </c>
      <c r="B105" s="8" t="s">
        <v>15</v>
      </c>
      <c r="C105" s="8" t="s">
        <v>144</v>
      </c>
      <c r="D105" s="8" t="s">
        <v>146</v>
      </c>
      <c r="E105" s="89">
        <v>17</v>
      </c>
      <c r="F105" s="90">
        <v>249</v>
      </c>
      <c r="G105" s="75">
        <f t="shared" si="21"/>
        <v>4.635942187073902E-3</v>
      </c>
      <c r="H105" s="78">
        <f t="shared" si="23"/>
        <v>1.6644423234251429</v>
      </c>
      <c r="I105" s="75">
        <f t="shared" si="22"/>
        <v>4.5890158496129747E-3</v>
      </c>
      <c r="J105" s="79">
        <f t="shared" si="24"/>
        <v>23.537062292664949</v>
      </c>
      <c r="K105" s="79">
        <f t="shared" si="16"/>
        <v>70.715805682506385</v>
      </c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</row>
    <row r="106" spans="1:40" ht="14.25" customHeight="1">
      <c r="A106" s="7">
        <v>21601</v>
      </c>
      <c r="B106" s="8" t="s">
        <v>15</v>
      </c>
      <c r="C106" s="8" t="s">
        <v>147</v>
      </c>
      <c r="D106" s="8" t="s">
        <v>148</v>
      </c>
      <c r="E106" s="89">
        <v>15</v>
      </c>
      <c r="F106" s="90">
        <v>293</v>
      </c>
      <c r="G106" s="75">
        <f t="shared" si="21"/>
        <v>4.0905372238887374E-3</v>
      </c>
      <c r="H106" s="78">
        <f t="shared" si="23"/>
        <v>1.4686255794927732</v>
      </c>
      <c r="I106" s="75">
        <f t="shared" si="22"/>
        <v>5.3999262808698857E-3</v>
      </c>
      <c r="J106" s="79">
        <f t="shared" si="24"/>
        <v>27.696221894581644</v>
      </c>
      <c r="K106" s="79">
        <f t="shared" si="16"/>
        <v>53.026206429263482</v>
      </c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</row>
    <row r="107" spans="1:40" ht="14.25" customHeight="1">
      <c r="A107" s="7">
        <v>21602</v>
      </c>
      <c r="B107" s="8" t="s">
        <v>15</v>
      </c>
      <c r="C107" s="8" t="s">
        <v>147</v>
      </c>
      <c r="D107" s="8" t="s">
        <v>149</v>
      </c>
      <c r="E107" s="89">
        <v>4</v>
      </c>
      <c r="F107" s="90">
        <v>70</v>
      </c>
      <c r="G107" s="75">
        <f t="shared" si="21"/>
        <v>1.0908099263703299E-3</v>
      </c>
      <c r="H107" s="78">
        <f t="shared" si="23"/>
        <v>0.3916334878647395</v>
      </c>
      <c r="I107" s="75">
        <f t="shared" si="22"/>
        <v>1.2900847769996315E-3</v>
      </c>
      <c r="J107" s="79">
        <f t="shared" si="24"/>
        <v>6.6168448212311102</v>
      </c>
      <c r="K107" s="79">
        <f t="shared" si="16"/>
        <v>59.187346604854085</v>
      </c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</row>
    <row r="108" spans="1:40" ht="14.25" customHeight="1">
      <c r="A108" s="7">
        <v>21701</v>
      </c>
      <c r="B108" s="8" t="s">
        <v>15</v>
      </c>
      <c r="C108" s="8" t="s">
        <v>150</v>
      </c>
      <c r="D108" s="8" t="s">
        <v>151</v>
      </c>
      <c r="E108" s="89">
        <v>18</v>
      </c>
      <c r="F108" s="90">
        <v>262</v>
      </c>
      <c r="G108" s="75">
        <f t="shared" si="21"/>
        <v>4.9086446686664852E-3</v>
      </c>
      <c r="H108" s="78">
        <f t="shared" si="23"/>
        <v>1.7623506953913282</v>
      </c>
      <c r="I108" s="75">
        <f t="shared" si="22"/>
        <v>4.8286030224843346E-3</v>
      </c>
      <c r="J108" s="79">
        <f t="shared" si="24"/>
        <v>24.765904902322152</v>
      </c>
      <c r="K108" s="79">
        <f t="shared" si="16"/>
        <v>71.160359467668101</v>
      </c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</row>
    <row r="109" spans="1:40" ht="14.25" customHeight="1">
      <c r="A109" s="7">
        <v>21702</v>
      </c>
      <c r="B109" s="8" t="s">
        <v>15</v>
      </c>
      <c r="C109" s="8" t="s">
        <v>150</v>
      </c>
      <c r="D109" s="8" t="s">
        <v>152</v>
      </c>
      <c r="E109" s="89">
        <v>3</v>
      </c>
      <c r="F109" s="90">
        <v>68</v>
      </c>
      <c r="G109" s="75">
        <f t="shared" si="21"/>
        <v>8.181074447777475E-4</v>
      </c>
      <c r="H109" s="78">
        <f t="shared" si="23"/>
        <v>0.29372511589855466</v>
      </c>
      <c r="I109" s="75">
        <f t="shared" si="22"/>
        <v>1.2532252119424991E-3</v>
      </c>
      <c r="J109" s="79">
        <f t="shared" si="24"/>
        <v>6.4277921120530781</v>
      </c>
      <c r="K109" s="79">
        <f t="shared" si="16"/>
        <v>45.696113187571171</v>
      </c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</row>
    <row r="110" spans="1:40" ht="14.25" customHeight="1">
      <c r="A110" s="7">
        <v>21703</v>
      </c>
      <c r="B110" s="8" t="s">
        <v>15</v>
      </c>
      <c r="C110" s="8" t="s">
        <v>150</v>
      </c>
      <c r="D110" s="8" t="s">
        <v>153</v>
      </c>
      <c r="E110" s="89">
        <v>6</v>
      </c>
      <c r="F110" s="90">
        <v>59</v>
      </c>
      <c r="G110" s="75">
        <f>E110/$R$3</f>
        <v>1.636214889555495E-3</v>
      </c>
      <c r="H110" s="78">
        <f>$S$18*G110</f>
        <v>0.58745023179710931</v>
      </c>
      <c r="I110" s="75">
        <f>F110/$S$3</f>
        <v>1.0873571691854037E-3</v>
      </c>
      <c r="J110" s="79">
        <f>I110*$U$18</f>
        <v>5.5770549207519355</v>
      </c>
      <c r="K110" s="79">
        <f t="shared" si="16"/>
        <v>105.33341344931661</v>
      </c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</row>
    <row r="111" spans="1:40" ht="14.25" customHeight="1">
      <c r="A111" s="7">
        <v>21801</v>
      </c>
      <c r="B111" s="8" t="s">
        <v>15</v>
      </c>
      <c r="C111" s="8" t="s">
        <v>154</v>
      </c>
      <c r="D111" s="8" t="s">
        <v>155</v>
      </c>
      <c r="E111" s="89">
        <v>9</v>
      </c>
      <c r="F111" s="90">
        <v>156</v>
      </c>
      <c r="G111" s="75">
        <f t="shared" ref="G111:G117" si="25">E111/$R$3</f>
        <v>2.4543223343332426E-3</v>
      </c>
      <c r="H111" s="78">
        <f t="shared" ref="H111:H117" si="26">$S$18*G111</f>
        <v>0.88117534769566408</v>
      </c>
      <c r="I111" s="75">
        <f t="shared" ref="I111:I117" si="27">F111/$S$3</f>
        <v>2.8750460744563213E-3</v>
      </c>
      <c r="J111" s="79">
        <f t="shared" ref="J111:J117" si="28">I111*$U$18</f>
        <v>14.746111315886472</v>
      </c>
      <c r="K111" s="79">
        <f t="shared" si="16"/>
        <v>59.756455706823864</v>
      </c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</row>
    <row r="112" spans="1:40" ht="14.25" customHeight="1">
      <c r="A112" s="7">
        <v>21802</v>
      </c>
      <c r="B112" s="8" t="s">
        <v>15</v>
      </c>
      <c r="C112" s="8" t="s">
        <v>156</v>
      </c>
      <c r="D112" s="8" t="s">
        <v>157</v>
      </c>
      <c r="E112" s="89">
        <v>4</v>
      </c>
      <c r="F112" s="90">
        <v>118</v>
      </c>
      <c r="G112" s="75">
        <f t="shared" si="25"/>
        <v>1.0908099263703299E-3</v>
      </c>
      <c r="H112" s="78">
        <f t="shared" si="26"/>
        <v>0.3916334878647395</v>
      </c>
      <c r="I112" s="75">
        <f t="shared" si="27"/>
        <v>2.1747143383708074E-3</v>
      </c>
      <c r="J112" s="79">
        <f t="shared" si="28"/>
        <v>11.154109841503871</v>
      </c>
      <c r="K112" s="79">
        <f t="shared" si="16"/>
        <v>35.111137816438863</v>
      </c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</row>
    <row r="113" spans="1:40" ht="14.25" customHeight="1">
      <c r="A113" s="7">
        <v>21803</v>
      </c>
      <c r="B113" s="8" t="s">
        <v>15</v>
      </c>
      <c r="C113" s="8" t="s">
        <v>156</v>
      </c>
      <c r="D113" s="8" t="s">
        <v>158</v>
      </c>
      <c r="E113" s="89">
        <v>5</v>
      </c>
      <c r="F113" s="90">
        <v>27</v>
      </c>
      <c r="G113" s="75">
        <f t="shared" si="25"/>
        <v>1.3635124079629125E-3</v>
      </c>
      <c r="H113" s="78">
        <f t="shared" si="26"/>
        <v>0.48954185983092441</v>
      </c>
      <c r="I113" s="75">
        <f t="shared" si="27"/>
        <v>4.976041282712864E-4</v>
      </c>
      <c r="J113" s="79">
        <f t="shared" si="28"/>
        <v>2.5522115739034281</v>
      </c>
      <c r="K113" s="79">
        <f t="shared" si="16"/>
        <v>191.81084547869384</v>
      </c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</row>
    <row r="114" spans="1:40" ht="14.25" customHeight="1">
      <c r="A114" s="7">
        <v>21901</v>
      </c>
      <c r="B114" s="8" t="s">
        <v>15</v>
      </c>
      <c r="C114" s="8" t="s">
        <v>159</v>
      </c>
      <c r="D114" s="8" t="s">
        <v>160</v>
      </c>
      <c r="E114" s="89">
        <v>3</v>
      </c>
      <c r="F114" s="90">
        <v>62</v>
      </c>
      <c r="G114" s="75">
        <f t="shared" si="25"/>
        <v>8.181074447777475E-4</v>
      </c>
      <c r="H114" s="78">
        <f t="shared" si="26"/>
        <v>0.29372511589855466</v>
      </c>
      <c r="I114" s="75">
        <f t="shared" si="27"/>
        <v>1.142646516771102E-3</v>
      </c>
      <c r="J114" s="79">
        <f t="shared" si="28"/>
        <v>5.8606339845189819</v>
      </c>
      <c r="K114" s="79">
        <f t="shared" si="16"/>
        <v>50.1183176895942</v>
      </c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</row>
    <row r="115" spans="1:40" ht="14.25" customHeight="1">
      <c r="A115" s="7">
        <v>21902</v>
      </c>
      <c r="B115" s="8" t="s">
        <v>15</v>
      </c>
      <c r="C115" s="8" t="s">
        <v>159</v>
      </c>
      <c r="D115" s="8" t="s">
        <v>161</v>
      </c>
      <c r="E115" s="89">
        <v>0</v>
      </c>
      <c r="F115" s="90">
        <v>56</v>
      </c>
      <c r="G115" s="75">
        <f t="shared" si="25"/>
        <v>0</v>
      </c>
      <c r="H115" s="78">
        <f t="shared" si="26"/>
        <v>0</v>
      </c>
      <c r="I115" s="75">
        <f t="shared" si="27"/>
        <v>1.0320678215997052E-3</v>
      </c>
      <c r="J115" s="79">
        <f t="shared" si="28"/>
        <v>5.2934758569848874</v>
      </c>
      <c r="K115" s="79">
        <f t="shared" si="16"/>
        <v>0</v>
      </c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</row>
    <row r="116" spans="1:40" ht="14.25" customHeight="1">
      <c r="A116" s="7">
        <v>22001</v>
      </c>
      <c r="B116" s="8" t="s">
        <v>15</v>
      </c>
      <c r="C116" s="8" t="s">
        <v>162</v>
      </c>
      <c r="D116" s="8" t="s">
        <v>162</v>
      </c>
      <c r="E116" s="89">
        <v>88</v>
      </c>
      <c r="F116" s="90">
        <v>1065</v>
      </c>
      <c r="G116" s="75">
        <f t="shared" si="25"/>
        <v>2.3997818380147258E-2</v>
      </c>
      <c r="H116" s="78">
        <f t="shared" si="26"/>
        <v>8.6159367330242702</v>
      </c>
      <c r="I116" s="75">
        <f t="shared" si="27"/>
        <v>1.9627718392922964E-2</v>
      </c>
      <c r="J116" s="79">
        <f t="shared" si="28"/>
        <v>100.67056763730189</v>
      </c>
      <c r="K116" s="79">
        <f t="shared" si="16"/>
        <v>85.585458940352396</v>
      </c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</row>
    <row r="117" spans="1:40" ht="14.25" customHeight="1">
      <c r="A117" s="7">
        <v>22002</v>
      </c>
      <c r="B117" s="8" t="s">
        <v>15</v>
      </c>
      <c r="C117" s="8" t="s">
        <v>162</v>
      </c>
      <c r="D117" s="8" t="s">
        <v>163</v>
      </c>
      <c r="E117" s="89">
        <v>26</v>
      </c>
      <c r="F117" s="90">
        <v>296</v>
      </c>
      <c r="G117" s="75">
        <f t="shared" si="25"/>
        <v>7.0902645214071447E-3</v>
      </c>
      <c r="H117" s="78">
        <f t="shared" si="26"/>
        <v>2.5456176711208069</v>
      </c>
      <c r="I117" s="75">
        <f t="shared" si="27"/>
        <v>5.4552156284555838E-3</v>
      </c>
      <c r="J117" s="79">
        <f t="shared" si="28"/>
        <v>27.97980095834869</v>
      </c>
      <c r="K117" s="79">
        <f t="shared" si="16"/>
        <v>90.980549679758838</v>
      </c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</row>
    <row r="118" spans="1:40" ht="14.25" customHeight="1">
      <c r="A118" s="7">
        <v>30101</v>
      </c>
      <c r="B118" s="8" t="s">
        <v>17</v>
      </c>
      <c r="C118" s="8" t="s">
        <v>164</v>
      </c>
      <c r="D118" s="8" t="s">
        <v>17</v>
      </c>
      <c r="E118" s="89">
        <v>595</v>
      </c>
      <c r="F118" s="90">
        <v>12726</v>
      </c>
      <c r="G118" s="75">
        <f>E118/$R$4</f>
        <v>0.26550647032574742</v>
      </c>
      <c r="H118" s="78">
        <f>$S$19*G118</f>
        <v>61.351907630522085</v>
      </c>
      <c r="I118" s="75">
        <f>F118/$S$4</f>
        <v>0.33671120518587117</v>
      </c>
      <c r="J118" s="79">
        <f>I118*$U$19</f>
        <v>1037.407223177669</v>
      </c>
      <c r="K118" s="79">
        <f t="shared" ref="K118" si="29">1000*H118/J118</f>
        <v>59.139657272286797</v>
      </c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</row>
    <row r="119" spans="1:40" ht="14.25" customHeight="1">
      <c r="A119" s="7">
        <v>30201</v>
      </c>
      <c r="B119" s="8" t="s">
        <v>17</v>
      </c>
      <c r="C119" s="8" t="s">
        <v>165</v>
      </c>
      <c r="D119" s="8" t="s">
        <v>166</v>
      </c>
      <c r="E119" s="89">
        <v>33</v>
      </c>
      <c r="F119" s="90">
        <v>486</v>
      </c>
      <c r="G119" s="75">
        <f t="shared" ref="G119:G131" si="30">E119/$R$4</f>
        <v>1.4725568942436412E-2</v>
      </c>
      <c r="H119" s="78">
        <f t="shared" ref="H119:H165" si="31">$S$19*G119</f>
        <v>3.4027108433734936</v>
      </c>
      <c r="I119" s="75">
        <f t="shared" ref="I119:I131" si="32">F119/$S$4</f>
        <v>1.2858843762402435E-2</v>
      </c>
      <c r="J119" s="79">
        <f t="shared" ref="J119:J165" si="33">I119*$U$19</f>
        <v>39.618097631961902</v>
      </c>
      <c r="K119" s="79">
        <f t="shared" ref="K119:K131" si="34">1000*H119/J119</f>
        <v>85.88778984249754</v>
      </c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</row>
    <row r="120" spans="1:40" ht="14.25" customHeight="1">
      <c r="A120" s="7">
        <v>30202</v>
      </c>
      <c r="B120" s="8" t="s">
        <v>17</v>
      </c>
      <c r="C120" s="8" t="s">
        <v>165</v>
      </c>
      <c r="D120" s="8" t="s">
        <v>167</v>
      </c>
      <c r="E120" s="89">
        <v>1</v>
      </c>
      <c r="F120" s="90">
        <v>111</v>
      </c>
      <c r="G120" s="75">
        <f t="shared" si="30"/>
        <v>4.4622936189201248E-4</v>
      </c>
      <c r="H120" s="78">
        <f t="shared" si="31"/>
        <v>0.10311244979919677</v>
      </c>
      <c r="I120" s="75">
        <f t="shared" si="32"/>
        <v>2.9368964148696916E-3</v>
      </c>
      <c r="J120" s="79">
        <f t="shared" si="33"/>
        <v>9.0485778542135193</v>
      </c>
      <c r="K120" s="79">
        <f t="shared" si="34"/>
        <v>11.395431576154467</v>
      </c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</row>
    <row r="121" spans="1:40" ht="14.25" customHeight="1">
      <c r="A121" s="7">
        <v>30203</v>
      </c>
      <c r="B121" s="8" t="s">
        <v>17</v>
      </c>
      <c r="C121" s="8" t="s">
        <v>165</v>
      </c>
      <c r="D121" s="8" t="s">
        <v>168</v>
      </c>
      <c r="E121" s="89">
        <v>6</v>
      </c>
      <c r="F121" s="90">
        <v>133</v>
      </c>
      <c r="G121" s="75">
        <f t="shared" si="30"/>
        <v>2.6773761713520749E-3</v>
      </c>
      <c r="H121" s="78">
        <f t="shared" si="31"/>
        <v>0.61867469879518067</v>
      </c>
      <c r="I121" s="75">
        <f t="shared" si="32"/>
        <v>3.5189839925916125E-3</v>
      </c>
      <c r="J121" s="79">
        <f t="shared" si="33"/>
        <v>10.841989681174757</v>
      </c>
      <c r="K121" s="79">
        <f t="shared" si="34"/>
        <v>57.06283781743516</v>
      </c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</row>
    <row r="122" spans="1:40" ht="14.25" customHeight="1">
      <c r="A122" s="7">
        <v>30301</v>
      </c>
      <c r="B122" s="8" t="s">
        <v>17</v>
      </c>
      <c r="C122" s="8" t="s">
        <v>169</v>
      </c>
      <c r="D122" s="8" t="s">
        <v>170</v>
      </c>
      <c r="E122" s="89">
        <v>55</v>
      </c>
      <c r="F122" s="90">
        <v>585</v>
      </c>
      <c r="G122" s="75">
        <f t="shared" si="30"/>
        <v>2.4542614904060688E-2</v>
      </c>
      <c r="H122" s="78">
        <f t="shared" si="31"/>
        <v>5.671184738955823</v>
      </c>
      <c r="I122" s="75">
        <f t="shared" si="32"/>
        <v>1.5478237862151079E-2</v>
      </c>
      <c r="J122" s="79">
        <f t="shared" si="33"/>
        <v>47.68845085328747</v>
      </c>
      <c r="K122" s="79">
        <f t="shared" si="34"/>
        <v>118.92155516653509</v>
      </c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</row>
    <row r="123" spans="1:40" ht="14.25" customHeight="1">
      <c r="A123" s="7">
        <v>30302</v>
      </c>
      <c r="B123" s="8" t="s">
        <v>17</v>
      </c>
      <c r="C123" s="8" t="s">
        <v>169</v>
      </c>
      <c r="D123" s="8" t="s">
        <v>171</v>
      </c>
      <c r="E123" s="89">
        <v>42</v>
      </c>
      <c r="F123" s="90">
        <v>309</v>
      </c>
      <c r="G123" s="75">
        <f t="shared" si="30"/>
        <v>1.8741633199464525E-2</v>
      </c>
      <c r="H123" s="78">
        <f t="shared" si="31"/>
        <v>4.330722891566265</v>
      </c>
      <c r="I123" s="75">
        <f t="shared" si="32"/>
        <v>8.1756846143669799E-3</v>
      </c>
      <c r="J123" s="79">
        <f t="shared" si="33"/>
        <v>25.189284296864667</v>
      </c>
      <c r="K123" s="79">
        <f t="shared" si="34"/>
        <v>171.92719096450526</v>
      </c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</row>
    <row r="124" spans="1:40" ht="14.25" customHeight="1">
      <c r="A124" s="7">
        <v>30303</v>
      </c>
      <c r="B124" s="8" t="s">
        <v>17</v>
      </c>
      <c r="C124" s="8" t="s">
        <v>169</v>
      </c>
      <c r="D124" s="8" t="s">
        <v>172</v>
      </c>
      <c r="E124" s="89">
        <v>51</v>
      </c>
      <c r="F124" s="90">
        <v>513</v>
      </c>
      <c r="G124" s="75">
        <f t="shared" si="30"/>
        <v>2.2757697456492636E-2</v>
      </c>
      <c r="H124" s="78">
        <f t="shared" si="31"/>
        <v>5.2587349397590355</v>
      </c>
      <c r="I124" s="75">
        <f t="shared" si="32"/>
        <v>1.3573223971424792E-2</v>
      </c>
      <c r="J124" s="79">
        <f t="shared" si="33"/>
        <v>41.819103055959786</v>
      </c>
      <c r="K124" s="79">
        <f t="shared" si="34"/>
        <v>125.74958704212558</v>
      </c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</row>
    <row r="125" spans="1:40" ht="14.25" customHeight="1">
      <c r="A125" s="7">
        <v>30401</v>
      </c>
      <c r="B125" s="8" t="s">
        <v>17</v>
      </c>
      <c r="C125" s="8" t="s">
        <v>173</v>
      </c>
      <c r="D125" s="8" t="s">
        <v>174</v>
      </c>
      <c r="E125" s="89">
        <v>16</v>
      </c>
      <c r="F125" s="90">
        <v>162</v>
      </c>
      <c r="G125" s="75">
        <f t="shared" si="30"/>
        <v>7.1396697902721996E-3</v>
      </c>
      <c r="H125" s="78">
        <f t="shared" si="31"/>
        <v>1.6497991967871484</v>
      </c>
      <c r="I125" s="75">
        <f t="shared" si="32"/>
        <v>4.2862812541341446E-3</v>
      </c>
      <c r="J125" s="79">
        <f t="shared" si="33"/>
        <v>13.2060325439873</v>
      </c>
      <c r="K125" s="79">
        <f t="shared" si="34"/>
        <v>124.92769431636006</v>
      </c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</row>
    <row r="126" spans="1:40" ht="14.25" customHeight="1">
      <c r="A126" s="7">
        <v>30402</v>
      </c>
      <c r="B126" s="8" t="s">
        <v>17</v>
      </c>
      <c r="C126" s="8" t="s">
        <v>173</v>
      </c>
      <c r="D126" s="8" t="s">
        <v>175</v>
      </c>
      <c r="E126" s="89">
        <v>12</v>
      </c>
      <c r="F126" s="90">
        <v>137</v>
      </c>
      <c r="G126" s="75">
        <f t="shared" si="30"/>
        <v>5.3547523427041497E-3</v>
      </c>
      <c r="H126" s="78">
        <f t="shared" si="31"/>
        <v>1.2373493975903613</v>
      </c>
      <c r="I126" s="75">
        <f t="shared" si="32"/>
        <v>3.6248180976319621E-3</v>
      </c>
      <c r="J126" s="79">
        <f t="shared" si="33"/>
        <v>11.168064558804076</v>
      </c>
      <c r="K126" s="79">
        <f t="shared" si="34"/>
        <v>110.79353911998356</v>
      </c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</row>
    <row r="127" spans="1:40" ht="14.25" customHeight="1">
      <c r="A127" s="7">
        <v>30403</v>
      </c>
      <c r="B127" s="8" t="s">
        <v>17</v>
      </c>
      <c r="C127" s="8" t="s">
        <v>173</v>
      </c>
      <c r="D127" s="8" t="s">
        <v>176</v>
      </c>
      <c r="E127" s="89">
        <v>36</v>
      </c>
      <c r="F127" s="90">
        <v>361</v>
      </c>
      <c r="G127" s="75">
        <f t="shared" si="30"/>
        <v>1.6064257028112448E-2</v>
      </c>
      <c r="H127" s="78">
        <f t="shared" si="31"/>
        <v>3.7120481927710838</v>
      </c>
      <c r="I127" s="75">
        <f t="shared" si="32"/>
        <v>9.5515279798915192E-3</v>
      </c>
      <c r="J127" s="79">
        <f t="shared" si="33"/>
        <v>29.42825770604577</v>
      </c>
      <c r="K127" s="79">
        <f t="shared" si="34"/>
        <v>126.13890464906719</v>
      </c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</row>
    <row r="128" spans="1:40" ht="14.25" customHeight="1">
      <c r="A128" s="7">
        <v>30404</v>
      </c>
      <c r="B128" s="8" t="s">
        <v>17</v>
      </c>
      <c r="C128" s="8" t="s">
        <v>173</v>
      </c>
      <c r="D128" s="8" t="s">
        <v>177</v>
      </c>
      <c r="E128" s="89">
        <v>9</v>
      </c>
      <c r="F128" s="90">
        <v>93</v>
      </c>
      <c r="G128" s="75">
        <f t="shared" si="30"/>
        <v>4.0160642570281121E-3</v>
      </c>
      <c r="H128" s="78">
        <f t="shared" si="31"/>
        <v>0.92801204819277094</v>
      </c>
      <c r="I128" s="75">
        <f t="shared" si="32"/>
        <v>2.4606429421881199E-3</v>
      </c>
      <c r="J128" s="79">
        <f t="shared" si="33"/>
        <v>7.5812409048815974</v>
      </c>
      <c r="K128" s="79">
        <f t="shared" si="34"/>
        <v>122.40899080191734</v>
      </c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</row>
    <row r="129" spans="1:40" ht="14.25" customHeight="1">
      <c r="A129" s="7">
        <v>30501</v>
      </c>
      <c r="B129" s="8" t="s">
        <v>17</v>
      </c>
      <c r="C129" s="8" t="s">
        <v>178</v>
      </c>
      <c r="D129" s="8" t="s">
        <v>178</v>
      </c>
      <c r="E129" s="89">
        <v>17</v>
      </c>
      <c r="F129" s="90">
        <v>139</v>
      </c>
      <c r="G129" s="75">
        <f t="shared" si="30"/>
        <v>7.5858991521642128E-3</v>
      </c>
      <c r="H129" s="78">
        <f t="shared" si="31"/>
        <v>1.7529116465863455</v>
      </c>
      <c r="I129" s="75">
        <f t="shared" si="32"/>
        <v>3.6777351501521365E-3</v>
      </c>
      <c r="J129" s="79">
        <f t="shared" si="33"/>
        <v>11.331101997618733</v>
      </c>
      <c r="K129" s="79">
        <f t="shared" si="34"/>
        <v>154.69913226045671</v>
      </c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</row>
    <row r="130" spans="1:40" ht="14.25" customHeight="1">
      <c r="A130" s="7">
        <v>30502</v>
      </c>
      <c r="B130" s="8" t="s">
        <v>17</v>
      </c>
      <c r="C130" s="8" t="s">
        <v>178</v>
      </c>
      <c r="D130" s="8" t="s">
        <v>179</v>
      </c>
      <c r="E130" s="89">
        <v>16</v>
      </c>
      <c r="F130" s="90">
        <v>182</v>
      </c>
      <c r="G130" s="75">
        <f t="shared" si="30"/>
        <v>7.1396697902721996E-3</v>
      </c>
      <c r="H130" s="78">
        <f t="shared" si="31"/>
        <v>1.6497991967871484</v>
      </c>
      <c r="I130" s="75">
        <f t="shared" si="32"/>
        <v>4.8154517793358911E-3</v>
      </c>
      <c r="J130" s="79">
        <f t="shared" si="33"/>
        <v>14.83640693213388</v>
      </c>
      <c r="K130" s="79">
        <f t="shared" si="34"/>
        <v>111.19937625961721</v>
      </c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</row>
    <row r="131" spans="1:40" ht="14.25" customHeight="1">
      <c r="A131" s="7">
        <v>30601</v>
      </c>
      <c r="B131" s="8" t="s">
        <v>17</v>
      </c>
      <c r="C131" s="8" t="s">
        <v>180</v>
      </c>
      <c r="D131" s="8" t="s">
        <v>180</v>
      </c>
      <c r="E131" s="89">
        <v>29</v>
      </c>
      <c r="F131" s="90">
        <v>364</v>
      </c>
      <c r="G131" s="75">
        <f t="shared" si="30"/>
        <v>1.2940651494868362E-2</v>
      </c>
      <c r="H131" s="78">
        <f t="shared" si="31"/>
        <v>2.9902610441767066</v>
      </c>
      <c r="I131" s="75">
        <f t="shared" si="32"/>
        <v>9.6309035586717821E-3</v>
      </c>
      <c r="J131" s="79">
        <f t="shared" si="33"/>
        <v>29.672813864267759</v>
      </c>
      <c r="K131" s="79">
        <f t="shared" si="34"/>
        <v>100.77443473527811</v>
      </c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</row>
    <row r="132" spans="1:40" ht="14.25" customHeight="1">
      <c r="A132" s="7">
        <v>30602</v>
      </c>
      <c r="B132" s="8" t="s">
        <v>17</v>
      </c>
      <c r="C132" s="8" t="s">
        <v>180</v>
      </c>
      <c r="D132" s="8" t="s">
        <v>181</v>
      </c>
      <c r="E132" s="89">
        <v>16</v>
      </c>
      <c r="F132" s="90">
        <v>197</v>
      </c>
      <c r="G132" s="75">
        <f t="shared" ref="G132:G146" si="35">E132/$R$4</f>
        <v>7.1396697902721996E-3</v>
      </c>
      <c r="H132" s="78">
        <f t="shared" si="31"/>
        <v>1.6497991967871484</v>
      </c>
      <c r="I132" s="75">
        <f t="shared" ref="I132:I146" si="36">F132/$S$4</f>
        <v>5.2123296732372003E-3</v>
      </c>
      <c r="J132" s="79">
        <f t="shared" si="33"/>
        <v>16.059187723243813</v>
      </c>
      <c r="K132" s="79">
        <f t="shared" ref="K132:K165" si="37">1000*H132/J132</f>
        <v>102.73241867639763</v>
      </c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</row>
    <row r="133" spans="1:40" ht="14.25" customHeight="1">
      <c r="A133" s="7">
        <v>30701</v>
      </c>
      <c r="B133" s="8" t="s">
        <v>17</v>
      </c>
      <c r="C133" s="8" t="s">
        <v>182</v>
      </c>
      <c r="D133" s="8" t="s">
        <v>182</v>
      </c>
      <c r="E133" s="89">
        <v>31</v>
      </c>
      <c r="F133" s="90">
        <v>439</v>
      </c>
      <c r="G133" s="75">
        <f t="shared" si="35"/>
        <v>1.3833110218652387E-2</v>
      </c>
      <c r="H133" s="78">
        <f t="shared" si="31"/>
        <v>3.1964859437751003</v>
      </c>
      <c r="I133" s="75">
        <f t="shared" si="36"/>
        <v>1.161529302817833E-2</v>
      </c>
      <c r="J133" s="79">
        <f t="shared" si="33"/>
        <v>35.786717819817433</v>
      </c>
      <c r="K133" s="79">
        <f t="shared" si="37"/>
        <v>89.320455702841741</v>
      </c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</row>
    <row r="134" spans="1:40" ht="14.25" customHeight="1">
      <c r="A134" s="7">
        <v>30702</v>
      </c>
      <c r="B134" s="8" t="s">
        <v>17</v>
      </c>
      <c r="C134" s="8" t="s">
        <v>182</v>
      </c>
      <c r="D134" s="8" t="s">
        <v>183</v>
      </c>
      <c r="E134" s="89">
        <v>9</v>
      </c>
      <c r="F134" s="90">
        <v>126</v>
      </c>
      <c r="G134" s="75">
        <f t="shared" si="35"/>
        <v>4.0160642570281121E-3</v>
      </c>
      <c r="H134" s="78">
        <f t="shared" si="31"/>
        <v>0.92801204819277094</v>
      </c>
      <c r="I134" s="75">
        <f t="shared" si="36"/>
        <v>3.3337743087710012E-3</v>
      </c>
      <c r="J134" s="79">
        <f t="shared" si="33"/>
        <v>10.271358645323454</v>
      </c>
      <c r="K134" s="79">
        <f t="shared" si="37"/>
        <v>90.349493210938988</v>
      </c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</row>
    <row r="135" spans="1:40" ht="14.25" customHeight="1">
      <c r="A135" s="7">
        <v>30703</v>
      </c>
      <c r="B135" s="8" t="s">
        <v>17</v>
      </c>
      <c r="C135" s="8" t="s">
        <v>182</v>
      </c>
      <c r="D135" s="8" t="s">
        <v>184</v>
      </c>
      <c r="E135" s="89">
        <v>12</v>
      </c>
      <c r="F135" s="90">
        <v>101</v>
      </c>
      <c r="G135" s="75">
        <f t="shared" si="35"/>
        <v>5.3547523427041497E-3</v>
      </c>
      <c r="H135" s="78">
        <f t="shared" si="31"/>
        <v>1.2373493975903613</v>
      </c>
      <c r="I135" s="75">
        <f t="shared" si="36"/>
        <v>2.6723111522688188E-3</v>
      </c>
      <c r="J135" s="79">
        <f t="shared" si="33"/>
        <v>8.2333906601402305</v>
      </c>
      <c r="K135" s="79">
        <f t="shared" si="37"/>
        <v>150.28430553898761</v>
      </c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</row>
    <row r="136" spans="1:40" ht="14.25" customHeight="1">
      <c r="A136" s="7">
        <v>30801</v>
      </c>
      <c r="B136" s="8" t="s">
        <v>17</v>
      </c>
      <c r="C136" s="8" t="s">
        <v>185</v>
      </c>
      <c r="D136" s="8" t="s">
        <v>186</v>
      </c>
      <c r="E136" s="89">
        <v>18</v>
      </c>
      <c r="F136" s="90">
        <v>400</v>
      </c>
      <c r="G136" s="75">
        <f t="shared" si="35"/>
        <v>8.0321285140562242E-3</v>
      </c>
      <c r="H136" s="78">
        <f t="shared" si="31"/>
        <v>1.8560240963855419</v>
      </c>
      <c r="I136" s="75">
        <f t="shared" si="36"/>
        <v>1.0583410504034925E-2</v>
      </c>
      <c r="J136" s="79">
        <f t="shared" si="33"/>
        <v>32.607487762931605</v>
      </c>
      <c r="K136" s="79">
        <f t="shared" si="37"/>
        <v>56.920180722891558</v>
      </c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</row>
    <row r="137" spans="1:40" ht="14.25" customHeight="1">
      <c r="A137" s="7">
        <v>30802</v>
      </c>
      <c r="B137" s="8" t="s">
        <v>17</v>
      </c>
      <c r="C137" s="8" t="s">
        <v>185</v>
      </c>
      <c r="D137" s="8" t="s">
        <v>187</v>
      </c>
      <c r="E137" s="89">
        <v>11</v>
      </c>
      <c r="F137" s="90">
        <v>109</v>
      </c>
      <c r="G137" s="75">
        <f t="shared" si="35"/>
        <v>4.9085229808121375E-3</v>
      </c>
      <c r="H137" s="78">
        <f t="shared" si="31"/>
        <v>1.1342369477911647</v>
      </c>
      <c r="I137" s="75">
        <f t="shared" si="36"/>
        <v>2.8839793623495172E-3</v>
      </c>
      <c r="J137" s="79">
        <f t="shared" si="33"/>
        <v>8.8855404153988626</v>
      </c>
      <c r="K137" s="79">
        <f t="shared" si="37"/>
        <v>127.64974270169363</v>
      </c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</row>
    <row r="138" spans="1:40" ht="14.25" customHeight="1">
      <c r="A138" s="7">
        <v>30803</v>
      </c>
      <c r="B138" s="8" t="s">
        <v>17</v>
      </c>
      <c r="C138" s="8" t="s">
        <v>185</v>
      </c>
      <c r="D138" s="8" t="s">
        <v>188</v>
      </c>
      <c r="E138" s="89">
        <v>8</v>
      </c>
      <c r="F138" s="90">
        <v>97</v>
      </c>
      <c r="G138" s="75">
        <f t="shared" si="35"/>
        <v>3.5698348951360998E-3</v>
      </c>
      <c r="H138" s="78">
        <f t="shared" si="31"/>
        <v>0.82489959839357418</v>
      </c>
      <c r="I138" s="75">
        <f t="shared" si="36"/>
        <v>2.5664770472284696E-3</v>
      </c>
      <c r="J138" s="79">
        <f t="shared" si="33"/>
        <v>7.9073157825109144</v>
      </c>
      <c r="K138" s="79">
        <f t="shared" si="37"/>
        <v>104.32106432603263</v>
      </c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</row>
    <row r="139" spans="1:40" ht="14.25" customHeight="1">
      <c r="A139" s="7">
        <v>30901</v>
      </c>
      <c r="B139" s="8" t="s">
        <v>17</v>
      </c>
      <c r="C139" s="8" t="s">
        <v>189</v>
      </c>
      <c r="D139" s="8" t="s">
        <v>189</v>
      </c>
      <c r="E139" s="89">
        <v>89</v>
      </c>
      <c r="F139" s="90">
        <v>2893</v>
      </c>
      <c r="G139" s="75">
        <f t="shared" si="35"/>
        <v>3.9714413208389109E-2</v>
      </c>
      <c r="H139" s="78">
        <f t="shared" si="31"/>
        <v>9.1770080321285121</v>
      </c>
      <c r="I139" s="75">
        <f t="shared" si="36"/>
        <v>7.6544516470432603E-2</v>
      </c>
      <c r="J139" s="79">
        <f t="shared" si="33"/>
        <v>235.83365524540284</v>
      </c>
      <c r="K139" s="79">
        <f t="shared" si="37"/>
        <v>38.913055147193205</v>
      </c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</row>
    <row r="140" spans="1:40" ht="14.25" customHeight="1">
      <c r="A140" s="7">
        <v>30902</v>
      </c>
      <c r="B140" s="8" t="s">
        <v>17</v>
      </c>
      <c r="C140" s="8" t="s">
        <v>189</v>
      </c>
      <c r="D140" s="8" t="s">
        <v>190</v>
      </c>
      <c r="E140" s="89">
        <v>54</v>
      </c>
      <c r="F140" s="90">
        <v>951</v>
      </c>
      <c r="G140" s="75">
        <f t="shared" si="35"/>
        <v>2.4096385542168676E-2</v>
      </c>
      <c r="H140" s="78">
        <f t="shared" si="31"/>
        <v>5.5680722891566266</v>
      </c>
      <c r="I140" s="75">
        <f t="shared" si="36"/>
        <v>2.5162058473343036E-2</v>
      </c>
      <c r="J140" s="79">
        <f t="shared" si="33"/>
        <v>77.524302156369899</v>
      </c>
      <c r="K140" s="79">
        <f t="shared" si="37"/>
        <v>71.823571890083983</v>
      </c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</row>
    <row r="141" spans="1:40" ht="14.25" customHeight="1">
      <c r="A141" s="7">
        <v>30903</v>
      </c>
      <c r="B141" s="8" t="s">
        <v>17</v>
      </c>
      <c r="C141" s="8" t="s">
        <v>189</v>
      </c>
      <c r="D141" s="8" t="s">
        <v>191</v>
      </c>
      <c r="E141" s="89">
        <v>33</v>
      </c>
      <c r="F141" s="90">
        <v>1114</v>
      </c>
      <c r="G141" s="75">
        <f t="shared" si="35"/>
        <v>1.4725568942436412E-2</v>
      </c>
      <c r="H141" s="78">
        <f t="shared" si="31"/>
        <v>3.4027108433734936</v>
      </c>
      <c r="I141" s="75">
        <f t="shared" si="36"/>
        <v>2.9474798253737267E-2</v>
      </c>
      <c r="J141" s="79">
        <f t="shared" si="33"/>
        <v>90.811853419764518</v>
      </c>
      <c r="K141" s="79">
        <f t="shared" si="37"/>
        <v>37.469897543495343</v>
      </c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</row>
    <row r="142" spans="1:40" ht="14.25" customHeight="1">
      <c r="A142" s="7">
        <v>30904</v>
      </c>
      <c r="B142" s="8" t="s">
        <v>17</v>
      </c>
      <c r="C142" s="8" t="s">
        <v>189</v>
      </c>
      <c r="D142" s="8" t="s">
        <v>192</v>
      </c>
      <c r="E142" s="89">
        <v>55</v>
      </c>
      <c r="F142" s="90">
        <v>1181</v>
      </c>
      <c r="G142" s="75">
        <f t="shared" si="35"/>
        <v>2.4542614904060688E-2</v>
      </c>
      <c r="H142" s="78">
        <f t="shared" si="31"/>
        <v>5.671184738955823</v>
      </c>
      <c r="I142" s="75">
        <f t="shared" si="36"/>
        <v>3.1247519513163118E-2</v>
      </c>
      <c r="J142" s="79">
        <f t="shared" si="33"/>
        <v>96.273607620055571</v>
      </c>
      <c r="K142" s="79">
        <f t="shared" si="37"/>
        <v>58.906951543118559</v>
      </c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</row>
    <row r="143" spans="1:40" ht="14.25" customHeight="1">
      <c r="A143" s="7">
        <v>30905</v>
      </c>
      <c r="B143" s="8" t="s">
        <v>17</v>
      </c>
      <c r="C143" s="8" t="s">
        <v>189</v>
      </c>
      <c r="D143" s="8" t="s">
        <v>193</v>
      </c>
      <c r="E143" s="89">
        <v>23</v>
      </c>
      <c r="F143" s="90">
        <v>1005</v>
      </c>
      <c r="G143" s="75">
        <f t="shared" si="35"/>
        <v>1.0263275323516287E-2</v>
      </c>
      <c r="H143" s="78">
        <f t="shared" si="31"/>
        <v>2.3715863453815258</v>
      </c>
      <c r="I143" s="75">
        <f t="shared" si="36"/>
        <v>2.6590818891387751E-2</v>
      </c>
      <c r="J143" s="79">
        <f t="shared" si="33"/>
        <v>81.926313004365653</v>
      </c>
      <c r="K143" s="79">
        <f t="shared" si="37"/>
        <v>28.947797824798364</v>
      </c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</row>
    <row r="144" spans="1:40" ht="14.25" customHeight="1">
      <c r="A144" s="7">
        <v>31001</v>
      </c>
      <c r="B144" s="8" t="s">
        <v>17</v>
      </c>
      <c r="C144" s="8" t="s">
        <v>194</v>
      </c>
      <c r="D144" s="8" t="s">
        <v>195</v>
      </c>
      <c r="E144" s="89">
        <v>188</v>
      </c>
      <c r="F144" s="90">
        <v>3503</v>
      </c>
      <c r="G144" s="75">
        <f t="shared" si="35"/>
        <v>8.3891120035698347E-2</v>
      </c>
      <c r="H144" s="78">
        <f t="shared" si="31"/>
        <v>19.385140562248996</v>
      </c>
      <c r="I144" s="75">
        <f t="shared" si="36"/>
        <v>9.2684217489085854E-2</v>
      </c>
      <c r="J144" s="79">
        <f t="shared" si="33"/>
        <v>285.56007408387353</v>
      </c>
      <c r="K144" s="79">
        <f t="shared" si="37"/>
        <v>67.884632067140004</v>
      </c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</row>
    <row r="145" spans="1:40" ht="14.25" customHeight="1">
      <c r="A145" s="7">
        <v>31002</v>
      </c>
      <c r="B145" s="8" t="s">
        <v>17</v>
      </c>
      <c r="C145" s="8" t="s">
        <v>194</v>
      </c>
      <c r="D145" s="8" t="s">
        <v>196</v>
      </c>
      <c r="E145" s="89">
        <v>42</v>
      </c>
      <c r="F145" s="90">
        <v>478</v>
      </c>
      <c r="G145" s="75">
        <f t="shared" si="35"/>
        <v>1.8741633199464525E-2</v>
      </c>
      <c r="H145" s="78">
        <f t="shared" si="31"/>
        <v>4.330722891566265</v>
      </c>
      <c r="I145" s="75">
        <f t="shared" si="36"/>
        <v>1.2647175552321735E-2</v>
      </c>
      <c r="J145" s="79">
        <f t="shared" si="33"/>
        <v>38.965947876703268</v>
      </c>
      <c r="K145" s="79">
        <f t="shared" si="37"/>
        <v>111.14121759002538</v>
      </c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</row>
    <row r="146" spans="1:40" ht="14.25" customHeight="1">
      <c r="A146" s="7">
        <v>31003</v>
      </c>
      <c r="B146" s="8" t="s">
        <v>17</v>
      </c>
      <c r="C146" s="8" t="s">
        <v>194</v>
      </c>
      <c r="D146" s="8" t="s">
        <v>197</v>
      </c>
      <c r="E146" s="89">
        <v>198</v>
      </c>
      <c r="F146" s="90">
        <v>1843</v>
      </c>
      <c r="G146" s="75">
        <f t="shared" si="35"/>
        <v>8.8353413654618476E-2</v>
      </c>
      <c r="H146" s="78">
        <f t="shared" si="31"/>
        <v>20.416265060240963</v>
      </c>
      <c r="I146" s="75">
        <f t="shared" si="36"/>
        <v>4.8763063897340919E-2</v>
      </c>
      <c r="J146" s="79">
        <f t="shared" si="33"/>
        <v>150.23899986770738</v>
      </c>
      <c r="K146" s="79">
        <f t="shared" si="37"/>
        <v>135.89191274048989</v>
      </c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</row>
    <row r="147" spans="1:40" ht="14.25" customHeight="1">
      <c r="A147" s="7">
        <v>31101</v>
      </c>
      <c r="B147" s="8" t="s">
        <v>17</v>
      </c>
      <c r="C147" s="8" t="s">
        <v>198</v>
      </c>
      <c r="D147" s="8" t="s">
        <v>198</v>
      </c>
      <c r="E147" s="89">
        <v>52</v>
      </c>
      <c r="F147" s="90">
        <v>546</v>
      </c>
      <c r="G147" s="75">
        <f>E147/$R$4</f>
        <v>2.3203926818384651E-2</v>
      </c>
      <c r="H147" s="78">
        <f>$S$19*G147</f>
        <v>5.3618473895582328</v>
      </c>
      <c r="I147" s="75">
        <f>F147/$S$4</f>
        <v>1.4446355338007673E-2</v>
      </c>
      <c r="J147" s="79">
        <f>I147*$U$19</f>
        <v>44.509220796401642</v>
      </c>
      <c r="K147" s="79">
        <f t="shared" si="37"/>
        <v>120.46599094791866</v>
      </c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</row>
    <row r="148" spans="1:40" ht="14.25" customHeight="1">
      <c r="A148" s="7">
        <v>31201</v>
      </c>
      <c r="B148" s="8" t="s">
        <v>17</v>
      </c>
      <c r="C148" s="8" t="s">
        <v>199</v>
      </c>
      <c r="D148" s="8" t="s">
        <v>200</v>
      </c>
      <c r="E148" s="89">
        <v>34</v>
      </c>
      <c r="F148" s="90">
        <v>336</v>
      </c>
      <c r="G148" s="75">
        <f t="shared" ref="G148:G155" si="38">E148/$R$4</f>
        <v>1.5171798304328426E-2</v>
      </c>
      <c r="H148" s="78">
        <f t="shared" si="31"/>
        <v>3.5058232931726909</v>
      </c>
      <c r="I148" s="75">
        <f t="shared" ref="I148:I155" si="39">F148/$S$4</f>
        <v>8.8900648233893372E-3</v>
      </c>
      <c r="J148" s="79">
        <f t="shared" si="33"/>
        <v>27.390289720862548</v>
      </c>
      <c r="K148" s="79">
        <f t="shared" si="37"/>
        <v>127.99511538216359</v>
      </c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</row>
    <row r="149" spans="1:40" ht="14.25" customHeight="1">
      <c r="A149" s="7">
        <v>31202</v>
      </c>
      <c r="B149" s="8" t="s">
        <v>17</v>
      </c>
      <c r="C149" s="8" t="s">
        <v>199</v>
      </c>
      <c r="D149" s="8" t="s">
        <v>201</v>
      </c>
      <c r="E149" s="89">
        <v>16</v>
      </c>
      <c r="F149" s="90">
        <v>270</v>
      </c>
      <c r="G149" s="75">
        <f t="shared" si="38"/>
        <v>7.1396697902721996E-3</v>
      </c>
      <c r="H149" s="78">
        <f t="shared" si="31"/>
        <v>1.6497991967871484</v>
      </c>
      <c r="I149" s="75">
        <f t="shared" si="39"/>
        <v>7.1438020902235746E-3</v>
      </c>
      <c r="J149" s="79">
        <f t="shared" si="33"/>
        <v>22.010054239978832</v>
      </c>
      <c r="K149" s="79">
        <f t="shared" si="37"/>
        <v>74.956616589816051</v>
      </c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</row>
    <row r="150" spans="1:40" ht="14.25" customHeight="1">
      <c r="A150" s="7">
        <v>31203</v>
      </c>
      <c r="B150" s="8" t="s">
        <v>17</v>
      </c>
      <c r="C150" s="8" t="s">
        <v>199</v>
      </c>
      <c r="D150" s="8" t="s">
        <v>202</v>
      </c>
      <c r="E150" s="89">
        <v>16</v>
      </c>
      <c r="F150" s="90">
        <v>219</v>
      </c>
      <c r="G150" s="75">
        <f t="shared" si="38"/>
        <v>7.1396697902721996E-3</v>
      </c>
      <c r="H150" s="78">
        <f t="shared" si="31"/>
        <v>1.6497991967871484</v>
      </c>
      <c r="I150" s="75">
        <f t="shared" si="39"/>
        <v>5.7944172509591212E-3</v>
      </c>
      <c r="J150" s="79">
        <f t="shared" si="33"/>
        <v>17.852599550205053</v>
      </c>
      <c r="K150" s="79">
        <f t="shared" si="37"/>
        <v>92.412267028540327</v>
      </c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</row>
    <row r="151" spans="1:40" ht="14.25" customHeight="1">
      <c r="A151" s="7">
        <v>31204</v>
      </c>
      <c r="B151" s="8" t="s">
        <v>17</v>
      </c>
      <c r="C151" s="8" t="s">
        <v>199</v>
      </c>
      <c r="D151" s="8" t="s">
        <v>203</v>
      </c>
      <c r="E151" s="89">
        <v>43</v>
      </c>
      <c r="F151" s="90">
        <v>583</v>
      </c>
      <c r="G151" s="75">
        <f t="shared" si="38"/>
        <v>1.9187862561356538E-2</v>
      </c>
      <c r="H151" s="78">
        <f t="shared" si="31"/>
        <v>4.4338353413654614</v>
      </c>
      <c r="I151" s="75">
        <f t="shared" si="39"/>
        <v>1.5425320809630903E-2</v>
      </c>
      <c r="J151" s="79">
        <f t="shared" si="33"/>
        <v>47.525413414472816</v>
      </c>
      <c r="K151" s="79">
        <f t="shared" si="37"/>
        <v>93.293987843885532</v>
      </c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</row>
    <row r="152" spans="1:40" ht="14.25" customHeight="1">
      <c r="A152" s="7">
        <v>31205</v>
      </c>
      <c r="B152" s="8" t="s">
        <v>17</v>
      </c>
      <c r="C152" s="8" t="s">
        <v>199</v>
      </c>
      <c r="D152" s="8" t="s">
        <v>204</v>
      </c>
      <c r="E152" s="89">
        <v>103</v>
      </c>
      <c r="F152" s="90">
        <v>1232</v>
      </c>
      <c r="G152" s="75">
        <f t="shared" si="38"/>
        <v>4.5961624274877287E-2</v>
      </c>
      <c r="H152" s="78">
        <f t="shared" si="31"/>
        <v>10.620582329317269</v>
      </c>
      <c r="I152" s="75">
        <f t="shared" si="39"/>
        <v>3.2596904352427569E-2</v>
      </c>
      <c r="J152" s="79">
        <f t="shared" si="33"/>
        <v>100.43106230982934</v>
      </c>
      <c r="K152" s="79">
        <f t="shared" si="37"/>
        <v>105.74997500825813</v>
      </c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</row>
    <row r="153" spans="1:40" ht="14.25" customHeight="1">
      <c r="A153" s="7">
        <v>31206</v>
      </c>
      <c r="B153" s="8" t="s">
        <v>17</v>
      </c>
      <c r="C153" s="8" t="s">
        <v>199</v>
      </c>
      <c r="D153" s="8" t="s">
        <v>205</v>
      </c>
      <c r="E153" s="89">
        <v>80</v>
      </c>
      <c r="F153" s="90">
        <v>826</v>
      </c>
      <c r="G153" s="75">
        <f t="shared" si="38"/>
        <v>3.5698348951361002E-2</v>
      </c>
      <c r="H153" s="78">
        <f t="shared" si="31"/>
        <v>8.2489959839357425</v>
      </c>
      <c r="I153" s="75">
        <f t="shared" si="39"/>
        <v>2.1854742690832121E-2</v>
      </c>
      <c r="J153" s="79">
        <f t="shared" si="33"/>
        <v>67.334462230453767</v>
      </c>
      <c r="K153" s="79">
        <f t="shared" si="37"/>
        <v>122.50778740466305</v>
      </c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</row>
    <row r="154" spans="1:40" ht="14.25" customHeight="1">
      <c r="A154" s="7">
        <v>31301</v>
      </c>
      <c r="B154" s="8" t="s">
        <v>17</v>
      </c>
      <c r="C154" s="8" t="s">
        <v>206</v>
      </c>
      <c r="D154" s="8" t="s">
        <v>206</v>
      </c>
      <c r="E154" s="89">
        <v>24</v>
      </c>
      <c r="F154" s="90">
        <v>483</v>
      </c>
      <c r="G154" s="75">
        <f t="shared" si="38"/>
        <v>1.0709504685408299E-2</v>
      </c>
      <c r="H154" s="78">
        <f t="shared" si="31"/>
        <v>2.4746987951807227</v>
      </c>
      <c r="I154" s="75">
        <f t="shared" si="39"/>
        <v>1.2779468183622172E-2</v>
      </c>
      <c r="J154" s="79">
        <f t="shared" si="33"/>
        <v>39.373541473739913</v>
      </c>
      <c r="K154" s="79">
        <f t="shared" si="37"/>
        <v>62.851821364131467</v>
      </c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</row>
    <row r="155" spans="1:40" ht="14.25" customHeight="1">
      <c r="A155" s="7">
        <v>31302</v>
      </c>
      <c r="B155" s="8" t="s">
        <v>17</v>
      </c>
      <c r="C155" s="8" t="s">
        <v>206</v>
      </c>
      <c r="D155" s="8" t="s">
        <v>207</v>
      </c>
      <c r="E155" s="89">
        <v>10</v>
      </c>
      <c r="F155" s="90">
        <v>108</v>
      </c>
      <c r="G155" s="75">
        <f t="shared" si="38"/>
        <v>4.4622936189201252E-3</v>
      </c>
      <c r="H155" s="78">
        <f t="shared" si="31"/>
        <v>1.0311244979919678</v>
      </c>
      <c r="I155" s="75">
        <f t="shared" si="39"/>
        <v>2.85752083608943E-3</v>
      </c>
      <c r="J155" s="79">
        <f t="shared" si="33"/>
        <v>8.8040216959915334</v>
      </c>
      <c r="K155" s="79">
        <f t="shared" si="37"/>
        <v>117.11971342158759</v>
      </c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</row>
    <row r="156" spans="1:40" ht="14.25" customHeight="1">
      <c r="A156" s="7">
        <v>31303</v>
      </c>
      <c r="B156" s="8" t="s">
        <v>17</v>
      </c>
      <c r="C156" s="8" t="s">
        <v>206</v>
      </c>
      <c r="D156" s="8" t="s">
        <v>208</v>
      </c>
      <c r="E156" s="89">
        <v>3</v>
      </c>
      <c r="F156" s="90">
        <v>82</v>
      </c>
      <c r="G156" s="75">
        <f>E156/$R$4</f>
        <v>1.3386880856760374E-3</v>
      </c>
      <c r="H156" s="78">
        <f>$S$19*G156</f>
        <v>0.30933734939759033</v>
      </c>
      <c r="I156" s="75">
        <f>F156/$S$4</f>
        <v>2.1695991533271595E-3</v>
      </c>
      <c r="J156" s="79">
        <f>I156*$U$19</f>
        <v>6.6845349914009784</v>
      </c>
      <c r="K156" s="79">
        <f t="shared" si="37"/>
        <v>46.276569693407779</v>
      </c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</row>
    <row r="157" spans="1:40" ht="14.25" customHeight="1">
      <c r="A157" s="19">
        <v>31304</v>
      </c>
      <c r="B157" s="8" t="s">
        <v>17</v>
      </c>
      <c r="C157" s="8" t="s">
        <v>206</v>
      </c>
      <c r="D157" s="8" t="s">
        <v>209</v>
      </c>
      <c r="E157" s="89">
        <v>9</v>
      </c>
      <c r="F157" s="90">
        <v>209</v>
      </c>
      <c r="G157" s="75">
        <f t="shared" ref="G157:G165" si="40">E157/$R$4</f>
        <v>4.0160642570281121E-3</v>
      </c>
      <c r="H157" s="78">
        <f t="shared" si="31"/>
        <v>0.92801204819277094</v>
      </c>
      <c r="I157" s="75">
        <f t="shared" ref="I157:I165" si="41">F157/$S$4</f>
        <v>5.5298319883582484E-3</v>
      </c>
      <c r="J157" s="79">
        <f t="shared" si="33"/>
        <v>17.037412356131764</v>
      </c>
      <c r="K157" s="79">
        <f t="shared" si="37"/>
        <v>54.469072462097188</v>
      </c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</row>
    <row r="158" spans="1:40" ht="14.25" customHeight="1">
      <c r="A158" s="7">
        <v>31401</v>
      </c>
      <c r="B158" s="8" t="s">
        <v>17</v>
      </c>
      <c r="C158" s="8" t="s">
        <v>210</v>
      </c>
      <c r="D158" s="8" t="s">
        <v>210</v>
      </c>
      <c r="E158" s="89">
        <v>22</v>
      </c>
      <c r="F158" s="90">
        <v>536</v>
      </c>
      <c r="G158" s="75">
        <f t="shared" si="40"/>
        <v>9.8170459616242749E-3</v>
      </c>
      <c r="H158" s="78">
        <f t="shared" si="31"/>
        <v>2.2684738955823294</v>
      </c>
      <c r="I158" s="75">
        <f t="shared" si="41"/>
        <v>1.41817700754068E-2</v>
      </c>
      <c r="J158" s="79">
        <f t="shared" si="33"/>
        <v>43.694033602328354</v>
      </c>
      <c r="K158" s="79">
        <f t="shared" si="37"/>
        <v>51.917246098823156</v>
      </c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</row>
    <row r="159" spans="1:40" ht="14.25" customHeight="1">
      <c r="A159" s="7">
        <v>31402</v>
      </c>
      <c r="B159" s="8" t="s">
        <v>17</v>
      </c>
      <c r="C159" s="8" t="s">
        <v>210</v>
      </c>
      <c r="D159" s="8" t="s">
        <v>211</v>
      </c>
      <c r="E159" s="89">
        <v>7</v>
      </c>
      <c r="F159" s="90">
        <v>174</v>
      </c>
      <c r="G159" s="75">
        <f t="shared" si="40"/>
        <v>3.1236055332440876E-3</v>
      </c>
      <c r="H159" s="78">
        <f t="shared" si="31"/>
        <v>0.72178714859437754</v>
      </c>
      <c r="I159" s="75">
        <f t="shared" si="41"/>
        <v>4.6037835692551926E-3</v>
      </c>
      <c r="J159" s="79">
        <f t="shared" si="33"/>
        <v>14.184257176875249</v>
      </c>
      <c r="K159" s="79">
        <f t="shared" si="37"/>
        <v>50.886496176275983</v>
      </c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</row>
    <row r="160" spans="1:40" ht="14.25" customHeight="1">
      <c r="A160" s="7">
        <v>31403</v>
      </c>
      <c r="B160" s="8" t="s">
        <v>17</v>
      </c>
      <c r="C160" s="8" t="s">
        <v>210</v>
      </c>
      <c r="D160" s="8" t="s">
        <v>212</v>
      </c>
      <c r="E160" s="89">
        <v>16</v>
      </c>
      <c r="F160" s="90">
        <v>217</v>
      </c>
      <c r="G160" s="75">
        <f t="shared" si="40"/>
        <v>7.1396697902721996E-3</v>
      </c>
      <c r="H160" s="78">
        <f t="shared" si="31"/>
        <v>1.6497991967871484</v>
      </c>
      <c r="I160" s="75">
        <f t="shared" si="41"/>
        <v>5.7415001984389468E-3</v>
      </c>
      <c r="J160" s="79">
        <f t="shared" si="33"/>
        <v>17.689562111390394</v>
      </c>
      <c r="K160" s="79">
        <f t="shared" si="37"/>
        <v>93.263992991937016</v>
      </c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</row>
    <row r="161" spans="1:40" ht="14.25" customHeight="1">
      <c r="A161" s="7">
        <v>31404</v>
      </c>
      <c r="B161" s="8" t="s">
        <v>17</v>
      </c>
      <c r="C161" s="8" t="s">
        <v>210</v>
      </c>
      <c r="D161" s="8" t="s">
        <v>213</v>
      </c>
      <c r="E161" s="89">
        <v>2</v>
      </c>
      <c r="F161" s="90">
        <v>23</v>
      </c>
      <c r="G161" s="75">
        <f t="shared" si="40"/>
        <v>8.9245872378402495E-4</v>
      </c>
      <c r="H161" s="78">
        <f t="shared" si="31"/>
        <v>0.20622489959839355</v>
      </c>
      <c r="I161" s="75">
        <f t="shared" si="41"/>
        <v>6.0854610398200818E-4</v>
      </c>
      <c r="J161" s="79">
        <f t="shared" si="33"/>
        <v>1.8749305463685673</v>
      </c>
      <c r="K161" s="79">
        <f t="shared" si="37"/>
        <v>109.99068738723005</v>
      </c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</row>
    <row r="162" spans="1:40" ht="14.25" customHeight="1">
      <c r="A162" s="7">
        <v>31405</v>
      </c>
      <c r="B162" s="8" t="s">
        <v>17</v>
      </c>
      <c r="C162" s="8" t="s">
        <v>210</v>
      </c>
      <c r="D162" s="8" t="s">
        <v>214</v>
      </c>
      <c r="E162" s="89">
        <v>2</v>
      </c>
      <c r="F162" s="90">
        <v>49</v>
      </c>
      <c r="G162" s="75">
        <f t="shared" si="40"/>
        <v>8.9245872378402495E-4</v>
      </c>
      <c r="H162" s="78">
        <f t="shared" si="31"/>
        <v>0.20622489959839355</v>
      </c>
      <c r="I162" s="75">
        <f t="shared" si="41"/>
        <v>1.2964677867442784E-3</v>
      </c>
      <c r="J162" s="79">
        <f t="shared" si="33"/>
        <v>3.9944172509591218</v>
      </c>
      <c r="K162" s="79">
        <f t="shared" si="37"/>
        <v>51.628281834822268</v>
      </c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</row>
    <row r="163" spans="1:40" ht="14.25" customHeight="1">
      <c r="A163" s="7">
        <v>31501</v>
      </c>
      <c r="B163" s="8" t="s">
        <v>17</v>
      </c>
      <c r="C163" s="8" t="s">
        <v>215</v>
      </c>
      <c r="D163" s="8" t="s">
        <v>215</v>
      </c>
      <c r="E163" s="89">
        <v>31</v>
      </c>
      <c r="F163" s="90">
        <v>135</v>
      </c>
      <c r="G163" s="75">
        <f t="shared" si="40"/>
        <v>1.3833110218652387E-2</v>
      </c>
      <c r="H163" s="78">
        <f t="shared" si="31"/>
        <v>3.1964859437751003</v>
      </c>
      <c r="I163" s="75">
        <f t="shared" si="41"/>
        <v>3.5719010451117873E-3</v>
      </c>
      <c r="J163" s="79">
        <f t="shared" si="33"/>
        <v>11.005027119989416</v>
      </c>
      <c r="K163" s="79">
        <f t="shared" si="37"/>
        <v>290.45688928553722</v>
      </c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</row>
    <row r="164" spans="1:40" ht="14.25" customHeight="1">
      <c r="A164" s="7">
        <v>31601</v>
      </c>
      <c r="B164" s="8" t="s">
        <v>17</v>
      </c>
      <c r="C164" s="8" t="s">
        <v>216</v>
      </c>
      <c r="D164" s="8" t="s">
        <v>216</v>
      </c>
      <c r="E164" s="89">
        <v>37</v>
      </c>
      <c r="F164" s="90">
        <v>469</v>
      </c>
      <c r="G164" s="75">
        <f t="shared" si="40"/>
        <v>1.6510486390004461E-2</v>
      </c>
      <c r="H164" s="78">
        <f t="shared" si="31"/>
        <v>3.8151606425702806</v>
      </c>
      <c r="I164" s="75">
        <f t="shared" si="41"/>
        <v>1.240904881598095E-2</v>
      </c>
      <c r="J164" s="79">
        <f t="shared" si="33"/>
        <v>38.232279402037307</v>
      </c>
      <c r="K164" s="79">
        <f t="shared" si="37"/>
        <v>99.788992501634098</v>
      </c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</row>
    <row r="165" spans="1:40" ht="14.25" customHeight="1">
      <c r="A165" s="7">
        <v>31602</v>
      </c>
      <c r="B165" s="8" t="s">
        <v>17</v>
      </c>
      <c r="C165" s="8" t="s">
        <v>216</v>
      </c>
      <c r="D165" s="8" t="s">
        <v>217</v>
      </c>
      <c r="E165" s="89">
        <v>29</v>
      </c>
      <c r="F165" s="90">
        <v>560</v>
      </c>
      <c r="G165" s="75">
        <f t="shared" si="40"/>
        <v>1.2940651494868362E-2</v>
      </c>
      <c r="H165" s="78">
        <f t="shared" si="31"/>
        <v>2.9902610441767066</v>
      </c>
      <c r="I165" s="75">
        <f t="shared" si="41"/>
        <v>1.4816774705648895E-2</v>
      </c>
      <c r="J165" s="79">
        <f t="shared" si="33"/>
        <v>45.650482868104248</v>
      </c>
      <c r="K165" s="79">
        <f t="shared" si="37"/>
        <v>65.503382577930765</v>
      </c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</row>
    <row r="166" spans="1:40" ht="14.25" customHeight="1">
      <c r="A166" s="7">
        <v>40101</v>
      </c>
      <c r="B166" s="8" t="s">
        <v>20</v>
      </c>
      <c r="C166" s="8" t="s">
        <v>164</v>
      </c>
      <c r="D166" s="8" t="s">
        <v>20</v>
      </c>
      <c r="E166" s="89">
        <v>167</v>
      </c>
      <c r="F166" s="90">
        <v>5654</v>
      </c>
      <c r="G166" s="75">
        <f>E166/$R$5</f>
        <v>0.32301740812379109</v>
      </c>
      <c r="H166" s="78">
        <f>$S$20*G166</f>
        <v>18.76537330754352</v>
      </c>
      <c r="I166" s="75">
        <f>F166/$S$5</f>
        <v>0.56135822081016684</v>
      </c>
      <c r="J166" s="79">
        <f>I166*$U$20</f>
        <v>525.99265289912637</v>
      </c>
      <c r="K166" s="79">
        <f>1000*H166/J166</f>
        <v>35.676112972517693</v>
      </c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</row>
    <row r="167" spans="1:40" ht="14.25" customHeight="1">
      <c r="A167" s="7">
        <v>40102</v>
      </c>
      <c r="B167" s="8" t="s">
        <v>20</v>
      </c>
      <c r="C167" s="8" t="s">
        <v>164</v>
      </c>
      <c r="D167" s="8" t="s">
        <v>218</v>
      </c>
      <c r="E167" s="89">
        <v>38</v>
      </c>
      <c r="F167" s="90">
        <v>458</v>
      </c>
      <c r="G167" s="75">
        <f t="shared" ref="G167:G186" si="42">E167/$R$5</f>
        <v>7.3500967117988397E-2</v>
      </c>
      <c r="H167" s="78">
        <f t="shared" ref="H167:H200" si="43">$S$20*G167</f>
        <v>4.2699651837524177</v>
      </c>
      <c r="I167" s="75">
        <f t="shared" ref="I167:I186" si="44">F167/$S$5</f>
        <v>4.5472597299444001E-2</v>
      </c>
      <c r="J167" s="79">
        <f t="shared" ref="J167:J200" si="45">I167*$U$20</f>
        <v>42.607823669579027</v>
      </c>
      <c r="K167" s="79">
        <f t="shared" ref="K167:K186" si="46">1000*H167/J167</f>
        <v>100.21551949861902</v>
      </c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</row>
    <row r="168" spans="1:40" ht="14.25" customHeight="1">
      <c r="A168" s="7">
        <v>40103</v>
      </c>
      <c r="B168" s="8" t="s">
        <v>20</v>
      </c>
      <c r="C168" s="8" t="s">
        <v>164</v>
      </c>
      <c r="D168" s="8" t="s">
        <v>219</v>
      </c>
      <c r="E168" s="89">
        <v>10</v>
      </c>
      <c r="F168" s="90">
        <v>147</v>
      </c>
      <c r="G168" s="75">
        <f t="shared" si="42"/>
        <v>1.9342359767891684E-2</v>
      </c>
      <c r="H168" s="78">
        <f t="shared" si="43"/>
        <v>1.1236750483558995</v>
      </c>
      <c r="I168" s="75">
        <f t="shared" si="44"/>
        <v>1.4594916600476569E-2</v>
      </c>
      <c r="J168" s="79">
        <f t="shared" si="45"/>
        <v>13.675436854646545</v>
      </c>
      <c r="K168" s="79">
        <f t="shared" si="46"/>
        <v>82.167396939433416</v>
      </c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</row>
    <row r="169" spans="1:40" ht="14.25" customHeight="1">
      <c r="A169" s="7">
        <v>40104</v>
      </c>
      <c r="B169" s="8" t="s">
        <v>20</v>
      </c>
      <c r="C169" s="8" t="s">
        <v>164</v>
      </c>
      <c r="D169" s="8" t="s">
        <v>220</v>
      </c>
      <c r="E169" s="89">
        <v>25</v>
      </c>
      <c r="F169" s="90">
        <v>265</v>
      </c>
      <c r="G169" s="75">
        <f t="shared" si="42"/>
        <v>4.8355899419729204E-2</v>
      </c>
      <c r="H169" s="78">
        <f t="shared" si="43"/>
        <v>2.8091876208897486</v>
      </c>
      <c r="I169" s="75">
        <f t="shared" si="44"/>
        <v>2.6310563939634629E-2</v>
      </c>
      <c r="J169" s="79">
        <f t="shared" si="45"/>
        <v>24.652998411437647</v>
      </c>
      <c r="K169" s="79">
        <f t="shared" si="46"/>
        <v>113.94912594430862</v>
      </c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</row>
    <row r="170" spans="1:40" ht="14.25" customHeight="1">
      <c r="A170" s="7">
        <v>40201</v>
      </c>
      <c r="B170" s="8" t="s">
        <v>20</v>
      </c>
      <c r="C170" s="8" t="s">
        <v>221</v>
      </c>
      <c r="D170" s="8" t="s">
        <v>222</v>
      </c>
      <c r="E170" s="89">
        <v>79</v>
      </c>
      <c r="F170" s="90">
        <v>684</v>
      </c>
      <c r="G170" s="75">
        <f t="shared" si="42"/>
        <v>0.15280464216634429</v>
      </c>
      <c r="H170" s="78">
        <f t="shared" si="43"/>
        <v>8.8770328820116049</v>
      </c>
      <c r="I170" s="75">
        <f t="shared" si="44"/>
        <v>6.7911040508339945E-2</v>
      </c>
      <c r="J170" s="79">
        <f t="shared" si="45"/>
        <v>63.632644956314529</v>
      </c>
      <c r="K170" s="79">
        <f t="shared" si="46"/>
        <v>139.5043831370819</v>
      </c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</row>
    <row r="171" spans="1:40" ht="14.25" customHeight="1">
      <c r="A171" s="7">
        <v>40202</v>
      </c>
      <c r="B171" s="8" t="s">
        <v>20</v>
      </c>
      <c r="C171" s="8" t="s">
        <v>221</v>
      </c>
      <c r="D171" s="8" t="s">
        <v>223</v>
      </c>
      <c r="E171" s="89">
        <v>11</v>
      </c>
      <c r="F171" s="90">
        <v>81</v>
      </c>
      <c r="G171" s="75">
        <f t="shared" si="42"/>
        <v>2.1276595744680851E-2</v>
      </c>
      <c r="H171" s="78">
        <f t="shared" si="43"/>
        <v>1.2360425531914894</v>
      </c>
      <c r="I171" s="75">
        <f t="shared" si="44"/>
        <v>8.0420969023034146E-3</v>
      </c>
      <c r="J171" s="79">
        <f t="shared" si="45"/>
        <v>7.5354447974582994</v>
      </c>
      <c r="K171" s="79">
        <f t="shared" si="46"/>
        <v>164.03047018649858</v>
      </c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</row>
    <row r="172" spans="1:40" ht="14.25" customHeight="1">
      <c r="A172" s="7">
        <v>40301</v>
      </c>
      <c r="B172" s="8" t="s">
        <v>20</v>
      </c>
      <c r="C172" s="8" t="s">
        <v>224</v>
      </c>
      <c r="D172" s="8" t="s">
        <v>225</v>
      </c>
      <c r="E172" s="89">
        <v>4</v>
      </c>
      <c r="F172" s="90">
        <v>163</v>
      </c>
      <c r="G172" s="75">
        <f t="shared" si="42"/>
        <v>7.7369439071566732E-3</v>
      </c>
      <c r="H172" s="78">
        <f t="shared" si="43"/>
        <v>0.44947001934235981</v>
      </c>
      <c r="I172" s="75">
        <f t="shared" si="44"/>
        <v>1.6183478951548848E-2</v>
      </c>
      <c r="J172" s="79">
        <f t="shared" si="45"/>
        <v>15.16391977760127</v>
      </c>
      <c r="K172" s="79">
        <f t="shared" si="46"/>
        <v>29.640754233366167</v>
      </c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</row>
    <row r="173" spans="1:40" ht="14.25" customHeight="1">
      <c r="A173" s="7">
        <v>40302</v>
      </c>
      <c r="B173" s="8" t="s">
        <v>20</v>
      </c>
      <c r="C173" s="8" t="s">
        <v>224</v>
      </c>
      <c r="D173" s="8" t="s">
        <v>226</v>
      </c>
      <c r="E173" s="89">
        <v>3</v>
      </c>
      <c r="F173" s="90">
        <v>30</v>
      </c>
      <c r="G173" s="75">
        <f t="shared" si="42"/>
        <v>5.8027079303675051E-3</v>
      </c>
      <c r="H173" s="78">
        <f t="shared" si="43"/>
        <v>0.33710251450676987</v>
      </c>
      <c r="I173" s="75">
        <f t="shared" si="44"/>
        <v>2.9785544082605244E-3</v>
      </c>
      <c r="J173" s="79">
        <f t="shared" si="45"/>
        <v>2.7909054805401112</v>
      </c>
      <c r="K173" s="79">
        <f t="shared" si="46"/>
        <v>120.78607350096713</v>
      </c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</row>
    <row r="174" spans="1:40" ht="14.25" customHeight="1">
      <c r="A174" s="7">
        <v>40401</v>
      </c>
      <c r="B174" s="8" t="s">
        <v>20</v>
      </c>
      <c r="C174" s="8" t="s">
        <v>227</v>
      </c>
      <c r="D174" s="8" t="s">
        <v>228</v>
      </c>
      <c r="E174" s="89">
        <v>10</v>
      </c>
      <c r="F174" s="90">
        <v>78</v>
      </c>
      <c r="G174" s="75">
        <f t="shared" si="42"/>
        <v>1.9342359767891684E-2</v>
      </c>
      <c r="H174" s="78">
        <f t="shared" si="43"/>
        <v>1.1236750483558995</v>
      </c>
      <c r="I174" s="75">
        <f t="shared" si="44"/>
        <v>7.7442414614773631E-3</v>
      </c>
      <c r="J174" s="79">
        <f t="shared" si="45"/>
        <v>7.2563542494042892</v>
      </c>
      <c r="K174" s="79">
        <f t="shared" si="46"/>
        <v>154.85394038585528</v>
      </c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</row>
    <row r="175" spans="1:40" ht="14.25" customHeight="1">
      <c r="A175" s="7">
        <v>40402</v>
      </c>
      <c r="B175" s="8" t="s">
        <v>20</v>
      </c>
      <c r="C175" s="8" t="s">
        <v>227</v>
      </c>
      <c r="D175" s="8" t="s">
        <v>229</v>
      </c>
      <c r="E175" s="89">
        <v>8</v>
      </c>
      <c r="F175" s="90">
        <v>96</v>
      </c>
      <c r="G175" s="75">
        <f t="shared" si="42"/>
        <v>1.5473887814313346E-2</v>
      </c>
      <c r="H175" s="78">
        <f t="shared" si="43"/>
        <v>0.89894003868471961</v>
      </c>
      <c r="I175" s="75">
        <f t="shared" si="44"/>
        <v>9.5313741064336783E-3</v>
      </c>
      <c r="J175" s="79">
        <f t="shared" si="45"/>
        <v>8.9308975377283559</v>
      </c>
      <c r="K175" s="79">
        <f t="shared" si="46"/>
        <v>100.65506125080594</v>
      </c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</row>
    <row r="176" spans="1:40" ht="14.25" customHeight="1">
      <c r="A176" s="7">
        <v>40501</v>
      </c>
      <c r="B176" s="8" t="s">
        <v>20</v>
      </c>
      <c r="C176" s="8" t="s">
        <v>230</v>
      </c>
      <c r="D176" s="8" t="s">
        <v>231</v>
      </c>
      <c r="E176" s="89">
        <v>1</v>
      </c>
      <c r="F176" s="90">
        <v>11</v>
      </c>
      <c r="G176" s="75">
        <f t="shared" si="42"/>
        <v>1.9342359767891683E-3</v>
      </c>
      <c r="H176" s="78">
        <f t="shared" si="43"/>
        <v>0.11236750483558995</v>
      </c>
      <c r="I176" s="75">
        <f t="shared" si="44"/>
        <v>1.0921366163621922E-3</v>
      </c>
      <c r="J176" s="79">
        <f t="shared" si="45"/>
        <v>1.023332009531374</v>
      </c>
      <c r="K176" s="79">
        <f t="shared" si="46"/>
        <v>109.80552136451558</v>
      </c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</row>
    <row r="177" spans="1:40" ht="14.25" customHeight="1">
      <c r="A177" s="7">
        <v>40502</v>
      </c>
      <c r="B177" s="8" t="s">
        <v>20</v>
      </c>
      <c r="C177" s="8" t="s">
        <v>230</v>
      </c>
      <c r="D177" s="8" t="s">
        <v>232</v>
      </c>
      <c r="E177" s="89">
        <v>5</v>
      </c>
      <c r="F177" s="90">
        <v>78</v>
      </c>
      <c r="G177" s="75">
        <f t="shared" si="42"/>
        <v>9.6711798839458421E-3</v>
      </c>
      <c r="H177" s="78">
        <f t="shared" si="43"/>
        <v>0.56183752417794974</v>
      </c>
      <c r="I177" s="75">
        <f t="shared" si="44"/>
        <v>7.7442414614773631E-3</v>
      </c>
      <c r="J177" s="79">
        <f t="shared" si="45"/>
        <v>7.2563542494042892</v>
      </c>
      <c r="K177" s="79">
        <f t="shared" si="46"/>
        <v>77.426970192927641</v>
      </c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</row>
    <row r="178" spans="1:40" ht="14.25" customHeight="1">
      <c r="A178" s="7">
        <v>40503</v>
      </c>
      <c r="B178" s="8" t="s">
        <v>20</v>
      </c>
      <c r="C178" s="8" t="s">
        <v>230</v>
      </c>
      <c r="D178" s="8" t="s">
        <v>233</v>
      </c>
      <c r="E178" s="89">
        <v>2</v>
      </c>
      <c r="F178" s="90">
        <v>34</v>
      </c>
      <c r="G178" s="75">
        <f t="shared" si="42"/>
        <v>3.8684719535783366E-3</v>
      </c>
      <c r="H178" s="78">
        <f t="shared" si="43"/>
        <v>0.2247350096711799</v>
      </c>
      <c r="I178" s="75">
        <f t="shared" si="44"/>
        <v>3.3756949960285941E-3</v>
      </c>
      <c r="J178" s="79">
        <f t="shared" si="45"/>
        <v>3.1630262112787926</v>
      </c>
      <c r="K178" s="79">
        <f t="shared" si="46"/>
        <v>71.050631471157132</v>
      </c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</row>
    <row r="179" spans="1:40" ht="14.25" customHeight="1">
      <c r="A179" s="7">
        <v>40504</v>
      </c>
      <c r="B179" s="8" t="s">
        <v>20</v>
      </c>
      <c r="C179" s="8" t="s">
        <v>230</v>
      </c>
      <c r="D179" s="8" t="s">
        <v>234</v>
      </c>
      <c r="E179" s="89"/>
      <c r="F179" s="90">
        <v>8</v>
      </c>
      <c r="G179" s="75">
        <f t="shared" si="42"/>
        <v>0</v>
      </c>
      <c r="H179" s="78">
        <f t="shared" si="43"/>
        <v>0</v>
      </c>
      <c r="I179" s="75">
        <f t="shared" si="44"/>
        <v>7.9428117553613975E-4</v>
      </c>
      <c r="J179" s="79">
        <f t="shared" si="45"/>
        <v>0.74424146147736292</v>
      </c>
      <c r="K179" s="79">
        <f t="shared" si="46"/>
        <v>0</v>
      </c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</row>
    <row r="180" spans="1:40" ht="14.25" customHeight="1">
      <c r="A180" s="7">
        <v>40505</v>
      </c>
      <c r="B180" s="8" t="s">
        <v>20</v>
      </c>
      <c r="C180" s="8" t="s">
        <v>230</v>
      </c>
      <c r="D180" s="8" t="s">
        <v>235</v>
      </c>
      <c r="E180" s="89">
        <v>3</v>
      </c>
      <c r="F180" s="90">
        <v>60</v>
      </c>
      <c r="G180" s="75">
        <f t="shared" si="42"/>
        <v>5.8027079303675051E-3</v>
      </c>
      <c r="H180" s="78">
        <f t="shared" si="43"/>
        <v>0.33710251450676987</v>
      </c>
      <c r="I180" s="75">
        <f t="shared" si="44"/>
        <v>5.9571088165210487E-3</v>
      </c>
      <c r="J180" s="79">
        <f t="shared" si="45"/>
        <v>5.5818109610802225</v>
      </c>
      <c r="K180" s="79">
        <f t="shared" si="46"/>
        <v>60.393036750483567</v>
      </c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</row>
    <row r="181" spans="1:40" ht="14.25" customHeight="1">
      <c r="A181" s="7">
        <v>40601</v>
      </c>
      <c r="B181" s="8" t="s">
        <v>20</v>
      </c>
      <c r="C181" s="8" t="s">
        <v>236</v>
      </c>
      <c r="D181" s="8" t="s">
        <v>236</v>
      </c>
      <c r="E181" s="89">
        <v>16</v>
      </c>
      <c r="F181" s="90">
        <v>119</v>
      </c>
      <c r="G181" s="75">
        <f t="shared" si="42"/>
        <v>3.0947775628626693E-2</v>
      </c>
      <c r="H181" s="78">
        <f t="shared" si="43"/>
        <v>1.7978800773694392</v>
      </c>
      <c r="I181" s="75">
        <f t="shared" si="44"/>
        <v>1.1814932486100079E-2</v>
      </c>
      <c r="J181" s="79">
        <f t="shared" si="45"/>
        <v>11.070591739475773</v>
      </c>
      <c r="K181" s="79">
        <f t="shared" si="46"/>
        <v>162.4014433626449</v>
      </c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</row>
    <row r="182" spans="1:40" ht="14.25" customHeight="1">
      <c r="A182" s="7">
        <v>40602</v>
      </c>
      <c r="B182" s="8" t="s">
        <v>20</v>
      </c>
      <c r="C182" s="8" t="s">
        <v>236</v>
      </c>
      <c r="D182" s="8" t="s">
        <v>237</v>
      </c>
      <c r="E182" s="89">
        <v>6</v>
      </c>
      <c r="F182" s="90">
        <v>112</v>
      </c>
      <c r="G182" s="75">
        <f t="shared" si="42"/>
        <v>1.160541586073501E-2</v>
      </c>
      <c r="H182" s="78">
        <f t="shared" si="43"/>
        <v>0.67420502901353974</v>
      </c>
      <c r="I182" s="75">
        <f t="shared" si="44"/>
        <v>1.1119936457505957E-2</v>
      </c>
      <c r="J182" s="79">
        <f t="shared" si="45"/>
        <v>10.419380460683081</v>
      </c>
      <c r="K182" s="79">
        <f t="shared" si="46"/>
        <v>64.706825089803829</v>
      </c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</row>
    <row r="183" spans="1:40" ht="14.25" customHeight="1">
      <c r="A183" s="7">
        <v>40603</v>
      </c>
      <c r="B183" s="8" t="s">
        <v>20</v>
      </c>
      <c r="C183" s="8" t="s">
        <v>236</v>
      </c>
      <c r="D183" s="8" t="s">
        <v>238</v>
      </c>
      <c r="E183" s="89">
        <v>1</v>
      </c>
      <c r="F183" s="90">
        <v>61</v>
      </c>
      <c r="G183" s="75">
        <f t="shared" si="42"/>
        <v>1.9342359767891683E-3</v>
      </c>
      <c r="H183" s="78">
        <f t="shared" si="43"/>
        <v>0.11236750483558995</v>
      </c>
      <c r="I183" s="75">
        <f t="shared" si="44"/>
        <v>6.0563939634630656E-3</v>
      </c>
      <c r="J183" s="79">
        <f t="shared" si="45"/>
        <v>5.6748411437648922</v>
      </c>
      <c r="K183" s="79">
        <f t="shared" si="46"/>
        <v>19.800995655896251</v>
      </c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</row>
    <row r="184" spans="1:40" ht="14.25" customHeight="1">
      <c r="A184" s="7">
        <v>40701</v>
      </c>
      <c r="B184" s="8" t="s">
        <v>20</v>
      </c>
      <c r="C184" s="8" t="s">
        <v>239</v>
      </c>
      <c r="D184" s="8" t="s">
        <v>240</v>
      </c>
      <c r="E184" s="89">
        <v>37</v>
      </c>
      <c r="F184" s="90">
        <v>527</v>
      </c>
      <c r="G184" s="75">
        <f t="shared" si="42"/>
        <v>7.1566731141199227E-2</v>
      </c>
      <c r="H184" s="78">
        <f t="shared" si="43"/>
        <v>4.1575976789168276</v>
      </c>
      <c r="I184" s="75">
        <f t="shared" si="44"/>
        <v>5.2323272438443209E-2</v>
      </c>
      <c r="J184" s="79">
        <f t="shared" si="45"/>
        <v>49.026906274821286</v>
      </c>
      <c r="K184" s="79">
        <f t="shared" si="46"/>
        <v>84.802366594606895</v>
      </c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</row>
    <row r="185" spans="1:40" ht="14.25" customHeight="1">
      <c r="A185" s="7">
        <v>40702</v>
      </c>
      <c r="B185" s="8" t="s">
        <v>20</v>
      </c>
      <c r="C185" s="8" t="s">
        <v>239</v>
      </c>
      <c r="D185" s="8" t="s">
        <v>241</v>
      </c>
      <c r="E185" s="89">
        <v>4</v>
      </c>
      <c r="F185" s="90">
        <v>88</v>
      </c>
      <c r="G185" s="75">
        <f t="shared" si="42"/>
        <v>7.7369439071566732E-3</v>
      </c>
      <c r="H185" s="78">
        <f t="shared" si="43"/>
        <v>0.44947001934235981</v>
      </c>
      <c r="I185" s="75">
        <f t="shared" si="44"/>
        <v>8.737092930897538E-3</v>
      </c>
      <c r="J185" s="79">
        <f t="shared" si="45"/>
        <v>8.1866560762509923</v>
      </c>
      <c r="K185" s="79">
        <f t="shared" si="46"/>
        <v>54.902760682257792</v>
      </c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</row>
    <row r="186" spans="1:40" ht="14.25" customHeight="1">
      <c r="A186" s="7">
        <v>40801</v>
      </c>
      <c r="B186" s="8" t="s">
        <v>20</v>
      </c>
      <c r="C186" s="8" t="s">
        <v>242</v>
      </c>
      <c r="D186" s="8" t="s">
        <v>243</v>
      </c>
      <c r="E186" s="89">
        <v>16</v>
      </c>
      <c r="F186" s="90">
        <v>196</v>
      </c>
      <c r="G186" s="75">
        <f t="shared" si="42"/>
        <v>3.0947775628626693E-2</v>
      </c>
      <c r="H186" s="78">
        <f t="shared" si="43"/>
        <v>1.7978800773694392</v>
      </c>
      <c r="I186" s="75">
        <f t="shared" si="44"/>
        <v>1.9459888800635424E-2</v>
      </c>
      <c r="J186" s="79">
        <f t="shared" si="45"/>
        <v>18.233915806195391</v>
      </c>
      <c r="K186" s="79">
        <f t="shared" si="46"/>
        <v>98.600876327320123</v>
      </c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</row>
    <row r="187" spans="1:40" ht="14.25" customHeight="1">
      <c r="A187" s="7">
        <v>40802</v>
      </c>
      <c r="B187" s="8" t="s">
        <v>20</v>
      </c>
      <c r="C187" s="8" t="s">
        <v>242</v>
      </c>
      <c r="D187" s="8" t="s">
        <v>244</v>
      </c>
      <c r="E187" s="89">
        <v>3</v>
      </c>
      <c r="F187" s="90">
        <v>64</v>
      </c>
      <c r="G187" s="75">
        <f>E187/$R$5</f>
        <v>5.8027079303675051E-3</v>
      </c>
      <c r="H187" s="78">
        <f>$S$20*G187</f>
        <v>0.33710251450676987</v>
      </c>
      <c r="I187" s="75">
        <f>F187/$S$5</f>
        <v>6.354249404289118E-3</v>
      </c>
      <c r="J187" s="79">
        <f>I187*$U$20</f>
        <v>5.9539316918189034</v>
      </c>
      <c r="K187" s="79">
        <f>1000*H187/J187</f>
        <v>56.61847195357835</v>
      </c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</row>
    <row r="188" spans="1:40" ht="14.25" customHeight="1">
      <c r="A188" s="7">
        <v>40901</v>
      </c>
      <c r="B188" s="8" t="s">
        <v>20</v>
      </c>
      <c r="C188" s="8" t="s">
        <v>245</v>
      </c>
      <c r="D188" s="8" t="s">
        <v>245</v>
      </c>
      <c r="E188" s="89">
        <v>6</v>
      </c>
      <c r="F188" s="90">
        <v>177</v>
      </c>
      <c r="G188" s="75">
        <f t="shared" ref="G188:G200" si="47">E188/$R$5</f>
        <v>1.160541586073501E-2</v>
      </c>
      <c r="H188" s="78">
        <f t="shared" si="43"/>
        <v>0.67420502901353974</v>
      </c>
      <c r="I188" s="75">
        <f t="shared" ref="I188:I200" si="48">F188/$S$5</f>
        <v>1.7573471008737095E-2</v>
      </c>
      <c r="J188" s="79">
        <f t="shared" si="45"/>
        <v>16.466342335186656</v>
      </c>
      <c r="K188" s="79">
        <f t="shared" ref="K188:K200" si="49">1000*H188/J188</f>
        <v>40.944431695243097</v>
      </c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</row>
    <row r="189" spans="1:40" ht="14.25" customHeight="1">
      <c r="A189" s="7">
        <v>40902</v>
      </c>
      <c r="B189" s="8" t="s">
        <v>20</v>
      </c>
      <c r="C189" s="8" t="s">
        <v>245</v>
      </c>
      <c r="D189" s="8" t="s">
        <v>246</v>
      </c>
      <c r="E189" s="89">
        <v>0</v>
      </c>
      <c r="F189" s="90">
        <v>18</v>
      </c>
      <c r="G189" s="75">
        <f t="shared" si="47"/>
        <v>0</v>
      </c>
      <c r="H189" s="78">
        <f t="shared" si="43"/>
        <v>0</v>
      </c>
      <c r="I189" s="75">
        <f t="shared" si="48"/>
        <v>1.7871326449563146E-3</v>
      </c>
      <c r="J189" s="79">
        <f t="shared" si="45"/>
        <v>1.6745432883240667</v>
      </c>
      <c r="K189" s="79">
        <f t="shared" si="49"/>
        <v>0</v>
      </c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</row>
    <row r="190" spans="1:40" ht="14.25" customHeight="1">
      <c r="A190" s="7">
        <v>40903</v>
      </c>
      <c r="B190" s="8" t="s">
        <v>20</v>
      </c>
      <c r="C190" s="8" t="s">
        <v>245</v>
      </c>
      <c r="D190" s="8" t="s">
        <v>247</v>
      </c>
      <c r="E190" s="89">
        <v>4</v>
      </c>
      <c r="F190" s="90">
        <v>51</v>
      </c>
      <c r="G190" s="75">
        <f t="shared" si="47"/>
        <v>7.7369439071566732E-3</v>
      </c>
      <c r="H190" s="78">
        <f t="shared" si="43"/>
        <v>0.44947001934235981</v>
      </c>
      <c r="I190" s="75">
        <f t="shared" si="48"/>
        <v>5.0635424940428915E-3</v>
      </c>
      <c r="J190" s="79">
        <f t="shared" si="45"/>
        <v>4.7445393169181891</v>
      </c>
      <c r="K190" s="79">
        <f t="shared" si="49"/>
        <v>94.734175294876181</v>
      </c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</row>
    <row r="191" spans="1:40" ht="14.25" customHeight="1">
      <c r="A191" s="7">
        <v>41001</v>
      </c>
      <c r="B191" s="8" t="s">
        <v>20</v>
      </c>
      <c r="C191" s="8" t="s">
        <v>248</v>
      </c>
      <c r="D191" s="8" t="s">
        <v>249</v>
      </c>
      <c r="E191" s="89">
        <v>9</v>
      </c>
      <c r="F191" s="90">
        <v>145</v>
      </c>
      <c r="G191" s="75">
        <f t="shared" si="47"/>
        <v>1.7408123791102514E-2</v>
      </c>
      <c r="H191" s="78">
        <f t="shared" si="43"/>
        <v>1.0113075435203094</v>
      </c>
      <c r="I191" s="75">
        <f t="shared" si="48"/>
        <v>1.4396346306592533E-2</v>
      </c>
      <c r="J191" s="79">
        <f t="shared" si="45"/>
        <v>13.489376489277204</v>
      </c>
      <c r="K191" s="79">
        <f t="shared" si="49"/>
        <v>74.970666310945106</v>
      </c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</row>
    <row r="192" spans="1:40" ht="14.25" customHeight="1">
      <c r="A192" s="7">
        <v>41101</v>
      </c>
      <c r="B192" s="8" t="s">
        <v>20</v>
      </c>
      <c r="C192" s="8" t="s">
        <v>250</v>
      </c>
      <c r="D192" s="8" t="s">
        <v>251</v>
      </c>
      <c r="E192" s="89">
        <v>13</v>
      </c>
      <c r="F192" s="90">
        <v>99</v>
      </c>
      <c r="G192" s="75">
        <f t="shared" si="47"/>
        <v>2.5145067698259187E-2</v>
      </c>
      <c r="H192" s="78">
        <f t="shared" si="43"/>
        <v>1.4607775628626691</v>
      </c>
      <c r="I192" s="75">
        <f t="shared" si="48"/>
        <v>9.8292295472597307E-3</v>
      </c>
      <c r="J192" s="79">
        <f t="shared" si="45"/>
        <v>9.2099880857823671</v>
      </c>
      <c r="K192" s="79">
        <f t="shared" si="49"/>
        <v>158.60797530430025</v>
      </c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</row>
    <row r="193" spans="1:40" ht="14.25" customHeight="1">
      <c r="A193" s="7">
        <v>41201</v>
      </c>
      <c r="B193" s="8" t="s">
        <v>20</v>
      </c>
      <c r="C193" s="8" t="s">
        <v>252</v>
      </c>
      <c r="D193" s="8" t="s">
        <v>253</v>
      </c>
      <c r="E193" s="89">
        <v>5</v>
      </c>
      <c r="F193" s="90">
        <v>79</v>
      </c>
      <c r="G193" s="75">
        <f t="shared" si="47"/>
        <v>9.6711798839458421E-3</v>
      </c>
      <c r="H193" s="78">
        <f t="shared" si="43"/>
        <v>0.56183752417794974</v>
      </c>
      <c r="I193" s="75">
        <f t="shared" si="48"/>
        <v>7.8435266084193808E-3</v>
      </c>
      <c r="J193" s="79">
        <f t="shared" si="45"/>
        <v>7.3493844320889599</v>
      </c>
      <c r="K193" s="79">
        <f t="shared" si="49"/>
        <v>76.44688196263742</v>
      </c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</row>
    <row r="194" spans="1:40" ht="14.25" customHeight="1">
      <c r="A194" s="7">
        <v>41202</v>
      </c>
      <c r="B194" s="8" t="s">
        <v>20</v>
      </c>
      <c r="C194" s="8" t="s">
        <v>252</v>
      </c>
      <c r="D194" s="8" t="s">
        <v>254</v>
      </c>
      <c r="E194" s="89">
        <v>1</v>
      </c>
      <c r="F194" s="90">
        <v>35</v>
      </c>
      <c r="G194" s="75">
        <f t="shared" si="47"/>
        <v>1.9342359767891683E-3</v>
      </c>
      <c r="H194" s="78">
        <f t="shared" si="43"/>
        <v>0.11236750483558995</v>
      </c>
      <c r="I194" s="75">
        <f t="shared" si="48"/>
        <v>3.4749801429706114E-3</v>
      </c>
      <c r="J194" s="79">
        <f t="shared" si="45"/>
        <v>3.2560563939634628</v>
      </c>
      <c r="K194" s="79">
        <f t="shared" si="49"/>
        <v>34.510306714562041</v>
      </c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</row>
    <row r="195" spans="1:40" ht="14.25" customHeight="1">
      <c r="A195" s="7">
        <v>41301</v>
      </c>
      <c r="B195" s="8" t="s">
        <v>20</v>
      </c>
      <c r="C195" s="8" t="s">
        <v>255</v>
      </c>
      <c r="D195" s="8" t="s">
        <v>255</v>
      </c>
      <c r="E195" s="89">
        <v>3</v>
      </c>
      <c r="F195" s="90">
        <v>108</v>
      </c>
      <c r="G195" s="75">
        <f t="shared" si="47"/>
        <v>5.8027079303675051E-3</v>
      </c>
      <c r="H195" s="78">
        <f t="shared" si="43"/>
        <v>0.33710251450676987</v>
      </c>
      <c r="I195" s="75">
        <f t="shared" si="48"/>
        <v>1.0722795869737888E-2</v>
      </c>
      <c r="J195" s="79">
        <f t="shared" si="45"/>
        <v>10.0472597299444</v>
      </c>
      <c r="K195" s="79">
        <f t="shared" si="49"/>
        <v>33.551687083601983</v>
      </c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</row>
    <row r="196" spans="1:40" ht="14.25" customHeight="1">
      <c r="A196" s="7">
        <v>41401</v>
      </c>
      <c r="B196" s="8" t="s">
        <v>20</v>
      </c>
      <c r="C196" s="8" t="s">
        <v>256</v>
      </c>
      <c r="D196" s="8" t="s">
        <v>257</v>
      </c>
      <c r="E196" s="89">
        <v>19</v>
      </c>
      <c r="F196" s="90">
        <v>226</v>
      </c>
      <c r="G196" s="75">
        <f t="shared" si="47"/>
        <v>3.6750483558994199E-2</v>
      </c>
      <c r="H196" s="78">
        <f t="shared" si="43"/>
        <v>2.1349825918762089</v>
      </c>
      <c r="I196" s="75">
        <f t="shared" si="48"/>
        <v>2.2438443208895948E-2</v>
      </c>
      <c r="J196" s="79">
        <f t="shared" si="45"/>
        <v>21.024821286735502</v>
      </c>
      <c r="K196" s="79">
        <f t="shared" si="49"/>
        <v>101.54581400523786</v>
      </c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</row>
    <row r="197" spans="1:40" ht="14.25" customHeight="1">
      <c r="A197" s="7">
        <v>41501</v>
      </c>
      <c r="B197" s="8" t="s">
        <v>20</v>
      </c>
      <c r="C197" s="8" t="s">
        <v>258</v>
      </c>
      <c r="D197" s="8" t="s">
        <v>259</v>
      </c>
      <c r="E197" s="89">
        <v>1</v>
      </c>
      <c r="F197" s="90">
        <v>10</v>
      </c>
      <c r="G197" s="75">
        <f t="shared" si="47"/>
        <v>1.9342359767891683E-3</v>
      </c>
      <c r="H197" s="78">
        <f t="shared" si="43"/>
        <v>0.11236750483558995</v>
      </c>
      <c r="I197" s="75">
        <f t="shared" si="48"/>
        <v>9.9285146942017471E-4</v>
      </c>
      <c r="J197" s="79">
        <f t="shared" si="45"/>
        <v>0.93030182684670371</v>
      </c>
      <c r="K197" s="79">
        <f t="shared" si="49"/>
        <v>120.78607350096713</v>
      </c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</row>
    <row r="198" spans="1:40" ht="14.25" customHeight="1">
      <c r="A198" s="7">
        <v>41502</v>
      </c>
      <c r="B198" s="8" t="s">
        <v>20</v>
      </c>
      <c r="C198" s="8" t="s">
        <v>258</v>
      </c>
      <c r="D198" s="8" t="s">
        <v>260</v>
      </c>
      <c r="E198" s="89">
        <v>0</v>
      </c>
      <c r="F198" s="90">
        <v>20</v>
      </c>
      <c r="G198" s="75">
        <f t="shared" si="47"/>
        <v>0</v>
      </c>
      <c r="H198" s="78">
        <f t="shared" si="43"/>
        <v>0</v>
      </c>
      <c r="I198" s="75">
        <f t="shared" si="48"/>
        <v>1.9857029388403494E-3</v>
      </c>
      <c r="J198" s="79">
        <f t="shared" si="45"/>
        <v>1.8606036536934074</v>
      </c>
      <c r="K198" s="79">
        <f t="shared" si="49"/>
        <v>0</v>
      </c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</row>
    <row r="199" spans="1:40" ht="14.25" customHeight="1">
      <c r="A199" s="7">
        <v>41503</v>
      </c>
      <c r="B199" s="8" t="s">
        <v>20</v>
      </c>
      <c r="C199" s="8" t="s">
        <v>258</v>
      </c>
      <c r="D199" s="8" t="s">
        <v>224</v>
      </c>
      <c r="E199" s="89"/>
      <c r="F199" s="90">
        <v>15</v>
      </c>
      <c r="G199" s="75">
        <f t="shared" si="47"/>
        <v>0</v>
      </c>
      <c r="H199" s="78">
        <f t="shared" si="43"/>
        <v>0</v>
      </c>
      <c r="I199" s="75">
        <f t="shared" si="48"/>
        <v>1.4892772041302622E-3</v>
      </c>
      <c r="J199" s="79">
        <f t="shared" si="45"/>
        <v>1.3954527402700556</v>
      </c>
      <c r="K199" s="79">
        <f t="shared" si="49"/>
        <v>0</v>
      </c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</row>
    <row r="200" spans="1:40" ht="14.25" customHeight="1">
      <c r="A200" s="7">
        <v>41601</v>
      </c>
      <c r="B200" s="8" t="s">
        <v>20</v>
      </c>
      <c r="C200" s="8" t="s">
        <v>261</v>
      </c>
      <c r="D200" s="8" t="s">
        <v>262</v>
      </c>
      <c r="E200" s="89">
        <v>7</v>
      </c>
      <c r="F200" s="90">
        <v>75</v>
      </c>
      <c r="G200" s="75">
        <f t="shared" si="47"/>
        <v>1.3539651837524178E-2</v>
      </c>
      <c r="H200" s="78">
        <f t="shared" si="43"/>
        <v>0.78657253384912962</v>
      </c>
      <c r="I200" s="75">
        <f t="shared" si="48"/>
        <v>7.4463860206513107E-3</v>
      </c>
      <c r="J200" s="79">
        <f t="shared" si="45"/>
        <v>6.9772637013502781</v>
      </c>
      <c r="K200" s="79">
        <f t="shared" si="49"/>
        <v>112.73366860090265</v>
      </c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</row>
    <row r="201" spans="1:40" ht="14.25" customHeight="1">
      <c r="A201" s="7">
        <v>50101</v>
      </c>
      <c r="B201" s="8" t="s">
        <v>263</v>
      </c>
      <c r="C201" s="8" t="s">
        <v>264</v>
      </c>
      <c r="D201" s="8" t="s">
        <v>263</v>
      </c>
      <c r="E201" s="89">
        <v>270</v>
      </c>
      <c r="F201" s="90">
        <v>4447</v>
      </c>
      <c r="G201" s="75">
        <f>E201/$R$6</f>
        <v>0.17077798861480076</v>
      </c>
      <c r="H201" s="78">
        <f>$S$21*G201</f>
        <v>30.695635673624288</v>
      </c>
      <c r="I201" s="75">
        <f>F201/$S$6</f>
        <v>0.23925324151288535</v>
      </c>
      <c r="J201" s="79">
        <f>I201*$U$21</f>
        <v>390.93979663205465</v>
      </c>
      <c r="K201" s="79">
        <f t="shared" ref="K201" si="50">1000*H201/J201</f>
        <v>78.517551648788668</v>
      </c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</row>
    <row r="202" spans="1:40" ht="14.25" customHeight="1">
      <c r="A202" s="7">
        <v>50102</v>
      </c>
      <c r="B202" s="8" t="s">
        <v>263</v>
      </c>
      <c r="C202" s="8" t="s">
        <v>264</v>
      </c>
      <c r="D202" s="8" t="s">
        <v>265</v>
      </c>
      <c r="E202" s="89">
        <v>110</v>
      </c>
      <c r="F202" s="90">
        <v>642</v>
      </c>
      <c r="G202" s="75">
        <f t="shared" ref="G202:G223" si="51">E202/$R$6</f>
        <v>6.957621758380772E-2</v>
      </c>
      <c r="H202" s="78">
        <f t="shared" ref="H202:H242" si="52">$S$21*G202</f>
        <v>12.505629348513601</v>
      </c>
      <c r="I202" s="75">
        <f t="shared" ref="I202:I223" si="53">F202/$S$6</f>
        <v>3.4540270081239575E-2</v>
      </c>
      <c r="J202" s="79">
        <f t="shared" ref="J202:J242" si="54">I202*$U$21</f>
        <v>56.438801312745468</v>
      </c>
      <c r="K202" s="79">
        <f t="shared" ref="K202:K224" si="55">1000*H202/J202</f>
        <v>221.57857817028935</v>
      </c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</row>
    <row r="203" spans="1:40" ht="14.25" customHeight="1">
      <c r="A203" s="7">
        <v>50103</v>
      </c>
      <c r="B203" s="8" t="s">
        <v>263</v>
      </c>
      <c r="C203" s="8" t="s">
        <v>264</v>
      </c>
      <c r="D203" s="8" t="s">
        <v>266</v>
      </c>
      <c r="E203" s="89">
        <v>11</v>
      </c>
      <c r="F203" s="90">
        <v>155</v>
      </c>
      <c r="G203" s="75">
        <f t="shared" si="51"/>
        <v>6.957621758380772E-3</v>
      </c>
      <c r="H203" s="78">
        <f t="shared" si="52"/>
        <v>1.2505629348513601</v>
      </c>
      <c r="I203" s="75">
        <f t="shared" si="53"/>
        <v>8.3391617797385267E-3</v>
      </c>
      <c r="J203" s="79">
        <f t="shared" si="54"/>
        <v>13.626190348092752</v>
      </c>
      <c r="K203" s="79">
        <f t="shared" si="55"/>
        <v>91.776417538919858</v>
      </c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</row>
    <row r="204" spans="1:40" ht="14.25" customHeight="1">
      <c r="A204" s="7">
        <v>50104</v>
      </c>
      <c r="B204" s="8" t="s">
        <v>263</v>
      </c>
      <c r="C204" s="8" t="s">
        <v>264</v>
      </c>
      <c r="D204" s="8" t="s">
        <v>267</v>
      </c>
      <c r="E204" s="89">
        <v>3</v>
      </c>
      <c r="F204" s="90">
        <v>60</v>
      </c>
      <c r="G204" s="75">
        <f t="shared" si="51"/>
        <v>1.8975332068311196E-3</v>
      </c>
      <c r="H204" s="78">
        <f t="shared" si="52"/>
        <v>0.34106261859582543</v>
      </c>
      <c r="I204" s="75">
        <f t="shared" si="53"/>
        <v>3.2280626244149137E-3</v>
      </c>
      <c r="J204" s="79">
        <f t="shared" si="54"/>
        <v>5.2746543282939689</v>
      </c>
      <c r="K204" s="79">
        <f t="shared" si="55"/>
        <v>64.660657811511697</v>
      </c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</row>
    <row r="205" spans="1:40" ht="14.25" customHeight="1">
      <c r="A205" s="7">
        <v>50201</v>
      </c>
      <c r="B205" s="8" t="s">
        <v>263</v>
      </c>
      <c r="C205" s="8" t="s">
        <v>268</v>
      </c>
      <c r="D205" s="8" t="s">
        <v>269</v>
      </c>
      <c r="E205" s="89">
        <v>72</v>
      </c>
      <c r="F205" s="90">
        <v>444</v>
      </c>
      <c r="G205" s="75">
        <f t="shared" si="51"/>
        <v>4.5540796963946868E-2</v>
      </c>
      <c r="H205" s="78">
        <f t="shared" si="52"/>
        <v>8.1855028462998103</v>
      </c>
      <c r="I205" s="75">
        <f t="shared" si="53"/>
        <v>2.388766342067036E-2</v>
      </c>
      <c r="J205" s="79">
        <f t="shared" si="54"/>
        <v>39.032442029375368</v>
      </c>
      <c r="K205" s="79">
        <f t="shared" si="55"/>
        <v>209.71024155084879</v>
      </c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</row>
    <row r="206" spans="1:40" ht="14.25" customHeight="1">
      <c r="A206" s="7">
        <v>50202</v>
      </c>
      <c r="B206" s="8" t="s">
        <v>263</v>
      </c>
      <c r="C206" s="8" t="s">
        <v>268</v>
      </c>
      <c r="D206" s="8" t="s">
        <v>270</v>
      </c>
      <c r="E206" s="89">
        <v>44</v>
      </c>
      <c r="F206" s="90">
        <v>390</v>
      </c>
      <c r="G206" s="75">
        <f t="shared" si="51"/>
        <v>2.7830487033523088E-2</v>
      </c>
      <c r="H206" s="78">
        <f t="shared" si="52"/>
        <v>5.0022517394054402</v>
      </c>
      <c r="I206" s="75">
        <f t="shared" si="53"/>
        <v>2.0982407058696938E-2</v>
      </c>
      <c r="J206" s="79">
        <f t="shared" si="54"/>
        <v>34.2852531339108</v>
      </c>
      <c r="K206" s="79">
        <f t="shared" si="55"/>
        <v>145.90097147212899</v>
      </c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</row>
    <row r="207" spans="1:40" ht="14.25" customHeight="1">
      <c r="A207" s="7">
        <v>50203</v>
      </c>
      <c r="B207" s="8" t="s">
        <v>263</v>
      </c>
      <c r="C207" s="8" t="s">
        <v>268</v>
      </c>
      <c r="D207" s="8" t="s">
        <v>271</v>
      </c>
      <c r="E207" s="89">
        <v>75</v>
      </c>
      <c r="F207" s="90">
        <v>1002</v>
      </c>
      <c r="G207" s="75">
        <f t="shared" si="51"/>
        <v>4.743833017077799E-2</v>
      </c>
      <c r="H207" s="78">
        <f t="shared" si="52"/>
        <v>8.5265654648956364</v>
      </c>
      <c r="I207" s="75">
        <f t="shared" si="53"/>
        <v>5.3908645827729057E-2</v>
      </c>
      <c r="J207" s="79">
        <f t="shared" si="54"/>
        <v>88.086727282509273</v>
      </c>
      <c r="K207" s="79">
        <f t="shared" si="55"/>
        <v>96.797391933400775</v>
      </c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</row>
    <row r="208" spans="1:40" ht="14.25" customHeight="1">
      <c r="A208" s="7">
        <v>50204</v>
      </c>
      <c r="B208" s="8" t="s">
        <v>263</v>
      </c>
      <c r="C208" s="8" t="s">
        <v>268</v>
      </c>
      <c r="D208" s="8" t="s">
        <v>272</v>
      </c>
      <c r="E208" s="89">
        <v>42</v>
      </c>
      <c r="F208" s="90">
        <v>253</v>
      </c>
      <c r="G208" s="75">
        <f t="shared" si="51"/>
        <v>2.6565464895635674E-2</v>
      </c>
      <c r="H208" s="78">
        <f t="shared" si="52"/>
        <v>4.7748766603415564</v>
      </c>
      <c r="I208" s="75">
        <f t="shared" si="53"/>
        <v>1.3611664066282886E-2</v>
      </c>
      <c r="J208" s="79">
        <f t="shared" si="54"/>
        <v>22.241459084306236</v>
      </c>
      <c r="K208" s="79">
        <f t="shared" si="55"/>
        <v>214.68360696312186</v>
      </c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</row>
    <row r="209" spans="1:40" ht="14.25" customHeight="1">
      <c r="A209" s="7">
        <v>50301</v>
      </c>
      <c r="B209" s="8" t="s">
        <v>263</v>
      </c>
      <c r="C209" s="8" t="s">
        <v>273</v>
      </c>
      <c r="D209" s="8" t="s">
        <v>274</v>
      </c>
      <c r="E209" s="89">
        <v>68</v>
      </c>
      <c r="F209" s="90">
        <v>641</v>
      </c>
      <c r="G209" s="75">
        <f t="shared" si="51"/>
        <v>4.3010752688172046E-2</v>
      </c>
      <c r="H209" s="78">
        <f t="shared" si="52"/>
        <v>7.7307526881720436</v>
      </c>
      <c r="I209" s="75">
        <f t="shared" si="53"/>
        <v>3.4486469037499329E-2</v>
      </c>
      <c r="J209" s="79">
        <f t="shared" si="54"/>
        <v>56.350890407273901</v>
      </c>
      <c r="K209" s="79">
        <f t="shared" si="55"/>
        <v>137.189539194471</v>
      </c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</row>
    <row r="210" spans="1:40" ht="14.25" customHeight="1">
      <c r="A210" s="7">
        <v>50302</v>
      </c>
      <c r="B210" s="8" t="s">
        <v>263</v>
      </c>
      <c r="C210" s="8" t="s">
        <v>273</v>
      </c>
      <c r="D210" s="8" t="s">
        <v>275</v>
      </c>
      <c r="E210" s="89">
        <v>24</v>
      </c>
      <c r="F210" s="90">
        <v>170</v>
      </c>
      <c r="G210" s="75">
        <f t="shared" si="51"/>
        <v>1.5180265654648957E-2</v>
      </c>
      <c r="H210" s="78">
        <f t="shared" si="52"/>
        <v>2.7285009487666034</v>
      </c>
      <c r="I210" s="75">
        <f t="shared" si="53"/>
        <v>9.1461774358422548E-3</v>
      </c>
      <c r="J210" s="79">
        <f t="shared" si="54"/>
        <v>14.944853930166245</v>
      </c>
      <c r="K210" s="79">
        <f t="shared" si="55"/>
        <v>182.57126911485656</v>
      </c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</row>
    <row r="211" spans="1:40" ht="14.25" customHeight="1">
      <c r="A211" s="7">
        <v>50303</v>
      </c>
      <c r="B211" s="8" t="s">
        <v>263</v>
      </c>
      <c r="C211" s="8" t="s">
        <v>273</v>
      </c>
      <c r="D211" s="8" t="s">
        <v>276</v>
      </c>
      <c r="E211" s="89">
        <v>34</v>
      </c>
      <c r="F211" s="90">
        <v>252</v>
      </c>
      <c r="G211" s="75">
        <f t="shared" si="51"/>
        <v>2.1505376344086023E-2</v>
      </c>
      <c r="H211" s="78">
        <f t="shared" si="52"/>
        <v>3.8653763440860218</v>
      </c>
      <c r="I211" s="75">
        <f t="shared" si="53"/>
        <v>1.3557863022542638E-2</v>
      </c>
      <c r="J211" s="79">
        <f t="shared" si="54"/>
        <v>22.153548178834669</v>
      </c>
      <c r="K211" s="79">
        <f t="shared" si="55"/>
        <v>174.48114012630143</v>
      </c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</row>
    <row r="212" spans="1:40" ht="14.25" customHeight="1">
      <c r="A212" s="7">
        <v>50401</v>
      </c>
      <c r="B212" s="8" t="s">
        <v>263</v>
      </c>
      <c r="C212" s="8" t="s">
        <v>270</v>
      </c>
      <c r="D212" s="8" t="s">
        <v>277</v>
      </c>
      <c r="E212" s="89">
        <v>87</v>
      </c>
      <c r="F212" s="90">
        <v>378</v>
      </c>
      <c r="G212" s="75">
        <f t="shared" si="51"/>
        <v>5.5028462998102469E-2</v>
      </c>
      <c r="H212" s="78">
        <f t="shared" si="52"/>
        <v>9.890815939278939</v>
      </c>
      <c r="I212" s="75">
        <f t="shared" si="53"/>
        <v>2.0336794533813957E-2</v>
      </c>
      <c r="J212" s="79">
        <f t="shared" si="54"/>
        <v>33.230322268252003</v>
      </c>
      <c r="K212" s="79">
        <f t="shared" si="55"/>
        <v>297.64429786251424</v>
      </c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</row>
    <row r="213" spans="1:40" ht="14.25" customHeight="1">
      <c r="A213" s="7">
        <v>50402</v>
      </c>
      <c r="B213" s="8" t="s">
        <v>263</v>
      </c>
      <c r="C213" s="8" t="s">
        <v>270</v>
      </c>
      <c r="D213" s="8" t="s">
        <v>278</v>
      </c>
      <c r="E213" s="89">
        <v>42</v>
      </c>
      <c r="F213" s="90">
        <v>442</v>
      </c>
      <c r="G213" s="75">
        <f t="shared" si="51"/>
        <v>2.6565464895635674E-2</v>
      </c>
      <c r="H213" s="78">
        <f t="shared" si="52"/>
        <v>4.7748766603415564</v>
      </c>
      <c r="I213" s="75">
        <f t="shared" si="53"/>
        <v>2.3780061333189863E-2</v>
      </c>
      <c r="J213" s="79">
        <f t="shared" si="54"/>
        <v>38.856620218432234</v>
      </c>
      <c r="K213" s="79">
        <f t="shared" si="55"/>
        <v>122.88450805807655</v>
      </c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</row>
    <row r="214" spans="1:40" ht="14.25" customHeight="1">
      <c r="A214" s="7">
        <v>50403</v>
      </c>
      <c r="B214" s="8" t="s">
        <v>263</v>
      </c>
      <c r="C214" s="8" t="s">
        <v>270</v>
      </c>
      <c r="D214" s="8" t="s">
        <v>279</v>
      </c>
      <c r="E214" s="89">
        <v>89</v>
      </c>
      <c r="F214" s="90">
        <v>557</v>
      </c>
      <c r="G214" s="75">
        <f t="shared" si="51"/>
        <v>5.6293485135989876E-2</v>
      </c>
      <c r="H214" s="78">
        <f t="shared" si="52"/>
        <v>10.11819101834282</v>
      </c>
      <c r="I214" s="75">
        <f t="shared" si="53"/>
        <v>2.9967181363318447E-2</v>
      </c>
      <c r="J214" s="79">
        <f t="shared" si="54"/>
        <v>48.966374347662345</v>
      </c>
      <c r="K214" s="79">
        <f t="shared" si="55"/>
        <v>206.63549534019896</v>
      </c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</row>
    <row r="215" spans="1:40" ht="14.25" customHeight="1">
      <c r="A215" s="7">
        <v>50404</v>
      </c>
      <c r="B215" s="8" t="s">
        <v>263</v>
      </c>
      <c r="C215" s="8" t="s">
        <v>270</v>
      </c>
      <c r="D215" s="8" t="s">
        <v>280</v>
      </c>
      <c r="E215" s="89">
        <v>70</v>
      </c>
      <c r="F215" s="90">
        <v>394</v>
      </c>
      <c r="G215" s="75">
        <f t="shared" si="51"/>
        <v>4.4275774826059454E-2</v>
      </c>
      <c r="H215" s="78">
        <f t="shared" si="52"/>
        <v>7.9581277672359265</v>
      </c>
      <c r="I215" s="75">
        <f t="shared" si="53"/>
        <v>2.1197611233657931E-2</v>
      </c>
      <c r="J215" s="79">
        <f t="shared" si="54"/>
        <v>34.636896755797061</v>
      </c>
      <c r="K215" s="79">
        <f t="shared" si="55"/>
        <v>229.75868257897559</v>
      </c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</row>
    <row r="216" spans="1:40" ht="14.25" customHeight="1">
      <c r="A216" s="19">
        <v>50405</v>
      </c>
      <c r="B216" s="8" t="s">
        <v>263</v>
      </c>
      <c r="C216" s="8" t="s">
        <v>270</v>
      </c>
      <c r="D216" s="8" t="s">
        <v>281</v>
      </c>
      <c r="E216" s="89">
        <v>87</v>
      </c>
      <c r="F216" s="90">
        <v>478</v>
      </c>
      <c r="G216" s="75">
        <f t="shared" si="51"/>
        <v>5.5028462998102469E-2</v>
      </c>
      <c r="H216" s="78">
        <f t="shared" si="52"/>
        <v>9.890815939278939</v>
      </c>
      <c r="I216" s="75">
        <f t="shared" si="53"/>
        <v>2.5716898907838813E-2</v>
      </c>
      <c r="J216" s="79">
        <f t="shared" si="54"/>
        <v>42.021412815408624</v>
      </c>
      <c r="K216" s="79">
        <f t="shared" si="55"/>
        <v>235.37561630131876</v>
      </c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</row>
    <row r="217" spans="1:40" ht="14.25" customHeight="1">
      <c r="A217" s="7">
        <v>50501</v>
      </c>
      <c r="B217" s="8" t="s">
        <v>263</v>
      </c>
      <c r="C217" s="8" t="s">
        <v>282</v>
      </c>
      <c r="D217" s="8" t="s">
        <v>283</v>
      </c>
      <c r="E217" s="89">
        <v>126</v>
      </c>
      <c r="F217" s="90">
        <v>728</v>
      </c>
      <c r="G217" s="75">
        <f t="shared" si="51"/>
        <v>7.9696394686907021E-2</v>
      </c>
      <c r="H217" s="78">
        <f t="shared" si="52"/>
        <v>14.324629981024669</v>
      </c>
      <c r="I217" s="75">
        <f t="shared" si="53"/>
        <v>3.916715984290095E-2</v>
      </c>
      <c r="J217" s="79">
        <f t="shared" si="54"/>
        <v>63.999139183300152</v>
      </c>
      <c r="K217" s="79">
        <f t="shared" si="55"/>
        <v>223.82535396292516</v>
      </c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</row>
    <row r="218" spans="1:40" ht="14.25" customHeight="1">
      <c r="A218" s="7">
        <v>50502</v>
      </c>
      <c r="B218" s="8" t="s">
        <v>263</v>
      </c>
      <c r="C218" s="8" t="s">
        <v>282</v>
      </c>
      <c r="D218" s="8" t="s">
        <v>284</v>
      </c>
      <c r="E218" s="89">
        <v>31</v>
      </c>
      <c r="F218" s="90">
        <v>260</v>
      </c>
      <c r="G218" s="75">
        <f t="shared" si="51"/>
        <v>1.9607843137254902E-2</v>
      </c>
      <c r="H218" s="78">
        <f t="shared" si="52"/>
        <v>3.5243137254901962</v>
      </c>
      <c r="I218" s="75">
        <f t="shared" si="53"/>
        <v>1.3988271372464625E-2</v>
      </c>
      <c r="J218" s="79">
        <f t="shared" si="54"/>
        <v>22.856835422607197</v>
      </c>
      <c r="K218" s="79">
        <f t="shared" si="55"/>
        <v>154.19079939668177</v>
      </c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</row>
    <row r="219" spans="1:40" ht="14.25" customHeight="1">
      <c r="A219" s="7">
        <v>50601</v>
      </c>
      <c r="B219" s="8" t="s">
        <v>263</v>
      </c>
      <c r="C219" s="8" t="s">
        <v>285</v>
      </c>
      <c r="D219" s="8" t="s">
        <v>286</v>
      </c>
      <c r="E219" s="89">
        <v>19</v>
      </c>
      <c r="F219" s="90">
        <v>604</v>
      </c>
      <c r="G219" s="75">
        <f t="shared" si="51"/>
        <v>1.2017710309930424E-2</v>
      </c>
      <c r="H219" s="78">
        <f t="shared" si="52"/>
        <v>2.1600632511068945</v>
      </c>
      <c r="I219" s="75">
        <f t="shared" si="53"/>
        <v>3.2495830419110132E-2</v>
      </c>
      <c r="J219" s="79">
        <f t="shared" si="54"/>
        <v>53.098186904825958</v>
      </c>
      <c r="K219" s="79">
        <f t="shared" si="55"/>
        <v>40.680546305255703</v>
      </c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</row>
    <row r="220" spans="1:40" ht="14.25" customHeight="1">
      <c r="A220" s="7">
        <v>50602</v>
      </c>
      <c r="B220" s="8" t="s">
        <v>263</v>
      </c>
      <c r="C220" s="8" t="s">
        <v>285</v>
      </c>
      <c r="D220" s="8" t="s">
        <v>287</v>
      </c>
      <c r="E220" s="89">
        <v>8</v>
      </c>
      <c r="F220" s="90">
        <v>192</v>
      </c>
      <c r="G220" s="75">
        <f t="shared" si="51"/>
        <v>5.0600885515496522E-3</v>
      </c>
      <c r="H220" s="78">
        <f t="shared" si="52"/>
        <v>0.90950031625553451</v>
      </c>
      <c r="I220" s="75">
        <f t="shared" si="53"/>
        <v>1.0329800398127724E-2</v>
      </c>
      <c r="J220" s="79">
        <f t="shared" si="54"/>
        <v>16.878893850540699</v>
      </c>
      <c r="K220" s="79">
        <f t="shared" si="55"/>
        <v>53.883881509593088</v>
      </c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</row>
    <row r="221" spans="1:40" ht="14.25" customHeight="1">
      <c r="A221" s="7">
        <v>50701</v>
      </c>
      <c r="B221" s="8" t="s">
        <v>263</v>
      </c>
      <c r="C221" s="8" t="s">
        <v>288</v>
      </c>
      <c r="D221" s="8" t="s">
        <v>289</v>
      </c>
      <c r="E221" s="89">
        <v>38</v>
      </c>
      <c r="F221" s="90">
        <v>463</v>
      </c>
      <c r="G221" s="75">
        <f t="shared" si="51"/>
        <v>2.4035420619860848E-2</v>
      </c>
      <c r="H221" s="78">
        <f t="shared" si="52"/>
        <v>4.3201265022137889</v>
      </c>
      <c r="I221" s="75">
        <f t="shared" si="53"/>
        <v>2.4909883251735085E-2</v>
      </c>
      <c r="J221" s="79">
        <f t="shared" si="54"/>
        <v>40.702749233335126</v>
      </c>
      <c r="K221" s="79">
        <f t="shared" si="55"/>
        <v>106.13844478779458</v>
      </c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</row>
    <row r="222" spans="1:40" ht="14.25" customHeight="1">
      <c r="A222" s="7">
        <v>50702</v>
      </c>
      <c r="B222" s="8" t="s">
        <v>263</v>
      </c>
      <c r="C222" s="8" t="s">
        <v>288</v>
      </c>
      <c r="D222" s="8" t="s">
        <v>290</v>
      </c>
      <c r="E222" s="89">
        <v>21</v>
      </c>
      <c r="F222" s="90">
        <v>211</v>
      </c>
      <c r="G222" s="75">
        <f t="shared" si="51"/>
        <v>1.3282732447817837E-2</v>
      </c>
      <c r="H222" s="78">
        <f t="shared" si="52"/>
        <v>2.3874383301707782</v>
      </c>
      <c r="I222" s="75">
        <f t="shared" si="53"/>
        <v>1.1352020229192447E-2</v>
      </c>
      <c r="J222" s="79">
        <f t="shared" si="54"/>
        <v>18.549201054500458</v>
      </c>
      <c r="K222" s="79">
        <f t="shared" si="55"/>
        <v>128.70841839258253</v>
      </c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</row>
    <row r="223" spans="1:40" ht="14.25" customHeight="1">
      <c r="A223" s="7">
        <v>50801</v>
      </c>
      <c r="B223" s="8" t="s">
        <v>263</v>
      </c>
      <c r="C223" s="8" t="s">
        <v>291</v>
      </c>
      <c r="D223" s="8" t="s">
        <v>292</v>
      </c>
      <c r="E223" s="89">
        <v>26</v>
      </c>
      <c r="F223" s="90">
        <v>923</v>
      </c>
      <c r="G223" s="75">
        <f t="shared" si="51"/>
        <v>1.6445287792536369E-2</v>
      </c>
      <c r="H223" s="78">
        <f t="shared" si="52"/>
        <v>2.9558760278304872</v>
      </c>
      <c r="I223" s="75">
        <f t="shared" si="53"/>
        <v>4.9658363372249423E-2</v>
      </c>
      <c r="J223" s="79">
        <f t="shared" si="54"/>
        <v>81.141765750255558</v>
      </c>
      <c r="K223" s="79">
        <f t="shared" si="55"/>
        <v>36.428539612119266</v>
      </c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</row>
    <row r="224" spans="1:40" ht="14.25" customHeight="1">
      <c r="A224" s="7">
        <v>50802</v>
      </c>
      <c r="B224" s="8" t="s">
        <v>263</v>
      </c>
      <c r="C224" s="8" t="s">
        <v>291</v>
      </c>
      <c r="D224" s="8" t="s">
        <v>293</v>
      </c>
      <c r="E224" s="89">
        <v>3</v>
      </c>
      <c r="F224" s="90">
        <v>262</v>
      </c>
      <c r="G224" s="75">
        <f>E224/$R$6</f>
        <v>1.8975332068311196E-3</v>
      </c>
      <c r="H224" s="78">
        <f>$S$21*G224</f>
        <v>0.34106261859582543</v>
      </c>
      <c r="I224" s="75">
        <f>F224/$S$6</f>
        <v>1.4095873459945124E-2</v>
      </c>
      <c r="J224" s="79">
        <f>I224*$U$21</f>
        <v>23.032657233550331</v>
      </c>
      <c r="K224" s="79">
        <f t="shared" si="55"/>
        <v>14.8077842316439</v>
      </c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</row>
    <row r="225" spans="1:40" ht="14.25" customHeight="1">
      <c r="A225" s="7">
        <v>50901</v>
      </c>
      <c r="B225" s="8" t="s">
        <v>263</v>
      </c>
      <c r="C225" s="8" t="s">
        <v>294</v>
      </c>
      <c r="D225" s="8" t="s">
        <v>295</v>
      </c>
      <c r="E225" s="89">
        <v>7</v>
      </c>
      <c r="F225" s="90">
        <v>288</v>
      </c>
      <c r="G225" s="75">
        <f t="shared" ref="G225:G242" si="56">E225/$R$6</f>
        <v>4.4275774826059459E-3</v>
      </c>
      <c r="H225" s="78">
        <f t="shared" si="52"/>
        <v>0.79581277672359274</v>
      </c>
      <c r="I225" s="75">
        <f t="shared" ref="I225:I242" si="57">F225/$S$6</f>
        <v>1.5494700597191586E-2</v>
      </c>
      <c r="J225" s="79">
        <f t="shared" si="54"/>
        <v>25.318340775811052</v>
      </c>
      <c r="K225" s="79">
        <f t="shared" ref="K225:K242" si="58">1000*H225/J225</f>
        <v>31.432264213929301</v>
      </c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</row>
    <row r="226" spans="1:40" ht="14.25" customHeight="1">
      <c r="A226" s="7">
        <v>50902</v>
      </c>
      <c r="B226" s="8" t="s">
        <v>263</v>
      </c>
      <c r="C226" s="8" t="s">
        <v>294</v>
      </c>
      <c r="D226" s="8" t="s">
        <v>296</v>
      </c>
      <c r="E226" s="89">
        <v>1</v>
      </c>
      <c r="F226" s="90">
        <v>16</v>
      </c>
      <c r="G226" s="75">
        <f t="shared" si="56"/>
        <v>6.3251106894370653E-4</v>
      </c>
      <c r="H226" s="78">
        <f t="shared" si="52"/>
        <v>0.11368753953194181</v>
      </c>
      <c r="I226" s="75">
        <f t="shared" si="57"/>
        <v>8.6081669984397697E-4</v>
      </c>
      <c r="J226" s="79">
        <f t="shared" si="54"/>
        <v>1.4065744875450583</v>
      </c>
      <c r="K226" s="79">
        <f t="shared" si="58"/>
        <v>80.825822264389629</v>
      </c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</row>
    <row r="227" spans="1:40" ht="14.25" customHeight="1">
      <c r="A227" s="7">
        <v>51001</v>
      </c>
      <c r="B227" s="8" t="s">
        <v>263</v>
      </c>
      <c r="C227" s="8" t="s">
        <v>297</v>
      </c>
      <c r="D227" s="8" t="s">
        <v>298</v>
      </c>
      <c r="E227" s="89">
        <v>4</v>
      </c>
      <c r="F227" s="90">
        <v>94</v>
      </c>
      <c r="G227" s="75">
        <f t="shared" si="56"/>
        <v>2.5300442757748261E-3</v>
      </c>
      <c r="H227" s="78">
        <f t="shared" si="52"/>
        <v>0.45475015812776726</v>
      </c>
      <c r="I227" s="75">
        <f t="shared" si="57"/>
        <v>5.0572981115833649E-3</v>
      </c>
      <c r="J227" s="79">
        <f t="shared" si="54"/>
        <v>8.263625114327219</v>
      </c>
      <c r="K227" s="79">
        <f t="shared" si="58"/>
        <v>55.03034707362697</v>
      </c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</row>
    <row r="228" spans="1:40" ht="14.25" customHeight="1">
      <c r="A228" s="7">
        <v>51002</v>
      </c>
      <c r="B228" s="8" t="s">
        <v>263</v>
      </c>
      <c r="C228" s="8" t="s">
        <v>297</v>
      </c>
      <c r="D228" s="8" t="s">
        <v>299</v>
      </c>
      <c r="E228" s="89">
        <v>0</v>
      </c>
      <c r="F228" s="90">
        <v>31</v>
      </c>
      <c r="G228" s="75">
        <f t="shared" si="56"/>
        <v>0</v>
      </c>
      <c r="H228" s="78">
        <f t="shared" si="52"/>
        <v>0</v>
      </c>
      <c r="I228" s="75">
        <f t="shared" si="57"/>
        <v>1.6678323559477053E-3</v>
      </c>
      <c r="J228" s="79">
        <f t="shared" si="54"/>
        <v>2.7252380696185505</v>
      </c>
      <c r="K228" s="79">
        <f t="shared" si="58"/>
        <v>0</v>
      </c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</row>
    <row r="229" spans="1:40" ht="14.25" customHeight="1">
      <c r="A229" s="7">
        <v>51003</v>
      </c>
      <c r="B229" s="8" t="s">
        <v>263</v>
      </c>
      <c r="C229" s="8" t="s">
        <v>297</v>
      </c>
      <c r="D229" s="8" t="s">
        <v>300</v>
      </c>
      <c r="E229" s="89">
        <v>0</v>
      </c>
      <c r="F229" s="90">
        <v>56</v>
      </c>
      <c r="G229" s="75">
        <f t="shared" si="56"/>
        <v>0</v>
      </c>
      <c r="H229" s="78">
        <f t="shared" si="52"/>
        <v>0</v>
      </c>
      <c r="I229" s="75">
        <f t="shared" si="57"/>
        <v>3.0128584494539196E-3</v>
      </c>
      <c r="J229" s="79">
        <f t="shared" si="54"/>
        <v>4.9230107064077044</v>
      </c>
      <c r="K229" s="79">
        <f t="shared" si="58"/>
        <v>0</v>
      </c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</row>
    <row r="230" spans="1:40" ht="14.25" customHeight="1">
      <c r="A230" s="7">
        <v>51101</v>
      </c>
      <c r="B230" s="8" t="s">
        <v>263</v>
      </c>
      <c r="C230" s="8" t="s">
        <v>301</v>
      </c>
      <c r="D230" s="8" t="s">
        <v>302</v>
      </c>
      <c r="E230" s="89">
        <v>17</v>
      </c>
      <c r="F230" s="90">
        <v>446</v>
      </c>
      <c r="G230" s="75">
        <f t="shared" si="56"/>
        <v>1.0752688172043012E-2</v>
      </c>
      <c r="H230" s="78">
        <f t="shared" si="52"/>
        <v>1.9326881720430109</v>
      </c>
      <c r="I230" s="75">
        <f t="shared" si="57"/>
        <v>2.3995265508150856E-2</v>
      </c>
      <c r="J230" s="79">
        <f t="shared" si="54"/>
        <v>39.208263840318502</v>
      </c>
      <c r="K230" s="79">
        <f t="shared" si="58"/>
        <v>49.292878152273495</v>
      </c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</row>
    <row r="231" spans="1:40" ht="14.25" customHeight="1">
      <c r="A231" s="7">
        <v>51102</v>
      </c>
      <c r="B231" s="8" t="s">
        <v>263</v>
      </c>
      <c r="C231" s="8" t="s">
        <v>301</v>
      </c>
      <c r="D231" s="8" t="s">
        <v>303</v>
      </c>
      <c r="E231" s="89">
        <v>7</v>
      </c>
      <c r="F231" s="90">
        <v>219</v>
      </c>
      <c r="G231" s="75">
        <f t="shared" si="56"/>
        <v>4.4275774826059459E-3</v>
      </c>
      <c r="H231" s="78">
        <f t="shared" si="52"/>
        <v>0.79581277672359274</v>
      </c>
      <c r="I231" s="75">
        <f t="shared" si="57"/>
        <v>1.1782428579114435E-2</v>
      </c>
      <c r="J231" s="79">
        <f t="shared" si="54"/>
        <v>19.252488298272986</v>
      </c>
      <c r="K231" s="79">
        <f t="shared" si="58"/>
        <v>41.335580336126206</v>
      </c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</row>
    <row r="232" spans="1:40" ht="14.25" customHeight="1">
      <c r="A232" s="7">
        <v>51103</v>
      </c>
      <c r="B232" s="8" t="s">
        <v>263</v>
      </c>
      <c r="C232" s="8" t="s">
        <v>301</v>
      </c>
      <c r="D232" s="8" t="s">
        <v>304</v>
      </c>
      <c r="E232" s="89">
        <v>44</v>
      </c>
      <c r="F232" s="90">
        <v>430</v>
      </c>
      <c r="G232" s="75">
        <f t="shared" si="56"/>
        <v>2.7830487033523088E-2</v>
      </c>
      <c r="H232" s="78">
        <f t="shared" si="52"/>
        <v>5.0022517394054402</v>
      </c>
      <c r="I232" s="75">
        <f t="shared" si="57"/>
        <v>2.3134448808306882E-2</v>
      </c>
      <c r="J232" s="79">
        <f t="shared" si="54"/>
        <v>37.801689352773444</v>
      </c>
      <c r="K232" s="79">
        <f t="shared" si="58"/>
        <v>132.3287880793728</v>
      </c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</row>
    <row r="233" spans="1:40" ht="14.25" customHeight="1">
      <c r="A233" s="7">
        <v>51201</v>
      </c>
      <c r="B233" s="8" t="s">
        <v>263</v>
      </c>
      <c r="C233" s="8" t="s">
        <v>305</v>
      </c>
      <c r="D233" s="8" t="s">
        <v>306</v>
      </c>
      <c r="E233" s="89">
        <v>20</v>
      </c>
      <c r="F233" s="90">
        <v>691</v>
      </c>
      <c r="G233" s="75">
        <f t="shared" si="56"/>
        <v>1.265022137887413E-2</v>
      </c>
      <c r="H233" s="78">
        <f t="shared" si="52"/>
        <v>2.2737507906388363</v>
      </c>
      <c r="I233" s="75">
        <f t="shared" si="57"/>
        <v>3.7176521224511754E-2</v>
      </c>
      <c r="J233" s="79">
        <f t="shared" si="54"/>
        <v>60.746435680852208</v>
      </c>
      <c r="K233" s="79">
        <f t="shared" si="58"/>
        <v>37.430192654999544</v>
      </c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</row>
    <row r="234" spans="1:40" ht="14.25" customHeight="1">
      <c r="A234" s="7">
        <v>51202</v>
      </c>
      <c r="B234" s="8" t="s">
        <v>263</v>
      </c>
      <c r="C234" s="8" t="s">
        <v>305</v>
      </c>
      <c r="D234" s="8" t="s">
        <v>307</v>
      </c>
      <c r="E234" s="89">
        <v>8</v>
      </c>
      <c r="F234" s="90">
        <v>173</v>
      </c>
      <c r="G234" s="75">
        <f t="shared" si="56"/>
        <v>5.0600885515496522E-3</v>
      </c>
      <c r="H234" s="78">
        <f t="shared" si="52"/>
        <v>0.90950031625553451</v>
      </c>
      <c r="I234" s="75">
        <f t="shared" si="57"/>
        <v>9.3075805670630018E-3</v>
      </c>
      <c r="J234" s="79">
        <f t="shared" si="54"/>
        <v>15.208586646580946</v>
      </c>
      <c r="K234" s="79">
        <f t="shared" si="58"/>
        <v>59.801764449953012</v>
      </c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</row>
    <row r="235" spans="1:40" ht="14.25" customHeight="1">
      <c r="A235" s="7">
        <v>51203</v>
      </c>
      <c r="B235" s="8" t="s">
        <v>263</v>
      </c>
      <c r="C235" s="8" t="s">
        <v>305</v>
      </c>
      <c r="D235" s="8" t="s">
        <v>308</v>
      </c>
      <c r="E235" s="89">
        <v>10</v>
      </c>
      <c r="F235" s="90">
        <v>318</v>
      </c>
      <c r="G235" s="75">
        <f t="shared" si="56"/>
        <v>6.3251106894370648E-3</v>
      </c>
      <c r="H235" s="78">
        <f t="shared" si="52"/>
        <v>1.1368753953194182</v>
      </c>
      <c r="I235" s="75">
        <f t="shared" si="57"/>
        <v>1.7108731909399041E-2</v>
      </c>
      <c r="J235" s="79">
        <f t="shared" si="54"/>
        <v>27.955667939958033</v>
      </c>
      <c r="K235" s="79">
        <f t="shared" si="58"/>
        <v>40.667080384598563</v>
      </c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</row>
    <row r="236" spans="1:40" ht="14.25" customHeight="1">
      <c r="A236" s="19">
        <v>51204</v>
      </c>
      <c r="B236" s="8" t="s">
        <v>263</v>
      </c>
      <c r="C236" s="8"/>
      <c r="D236" s="8" t="s">
        <v>309</v>
      </c>
      <c r="E236" s="89">
        <v>8</v>
      </c>
      <c r="F236" s="90">
        <v>130</v>
      </c>
      <c r="G236" s="75">
        <f t="shared" si="56"/>
        <v>5.0600885515496522E-3</v>
      </c>
      <c r="H236" s="78">
        <f t="shared" si="52"/>
        <v>0.90950031625553451</v>
      </c>
      <c r="I236" s="75">
        <f t="shared" si="57"/>
        <v>6.9941356862323126E-3</v>
      </c>
      <c r="J236" s="79">
        <f t="shared" si="54"/>
        <v>11.428417711303599</v>
      </c>
      <c r="K236" s="79">
        <f t="shared" si="58"/>
        <v>79.582348075706719</v>
      </c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</row>
    <row r="237" spans="1:40" ht="14.25" customHeight="1">
      <c r="A237" s="7">
        <v>51301</v>
      </c>
      <c r="B237" s="8" t="s">
        <v>263</v>
      </c>
      <c r="C237" s="8" t="s">
        <v>310</v>
      </c>
      <c r="D237" s="8" t="s">
        <v>311</v>
      </c>
      <c r="E237" s="89">
        <v>3</v>
      </c>
      <c r="F237" s="90">
        <v>110</v>
      </c>
      <c r="G237" s="75">
        <f t="shared" si="56"/>
        <v>1.8975332068311196E-3</v>
      </c>
      <c r="H237" s="78">
        <f t="shared" si="52"/>
        <v>0.34106261859582543</v>
      </c>
      <c r="I237" s="75">
        <f t="shared" si="57"/>
        <v>5.9181148114273415E-3</v>
      </c>
      <c r="J237" s="79">
        <f t="shared" si="54"/>
        <v>9.6701996018722767</v>
      </c>
      <c r="K237" s="79">
        <f t="shared" si="58"/>
        <v>35.269449715370015</v>
      </c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</row>
    <row r="238" spans="1:40" ht="14.25" customHeight="1">
      <c r="A238" s="7">
        <v>51302</v>
      </c>
      <c r="B238" s="8" t="s">
        <v>263</v>
      </c>
      <c r="C238" s="8" t="s">
        <v>310</v>
      </c>
      <c r="D238" s="8" t="s">
        <v>312</v>
      </c>
      <c r="E238" s="89">
        <v>7</v>
      </c>
      <c r="F238" s="90">
        <v>129</v>
      </c>
      <c r="G238" s="75">
        <f t="shared" si="56"/>
        <v>4.4275774826059459E-3</v>
      </c>
      <c r="H238" s="78">
        <f t="shared" si="52"/>
        <v>0.79581277672359274</v>
      </c>
      <c r="I238" s="75">
        <f t="shared" si="57"/>
        <v>6.9403346424920642E-3</v>
      </c>
      <c r="J238" s="79">
        <f t="shared" si="54"/>
        <v>11.340506805832034</v>
      </c>
      <c r="K238" s="79">
        <f t="shared" si="58"/>
        <v>70.174357314818906</v>
      </c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</row>
    <row r="239" spans="1:40" ht="14.25" customHeight="1">
      <c r="A239" s="7">
        <v>51401</v>
      </c>
      <c r="B239" s="8" t="s">
        <v>263</v>
      </c>
      <c r="C239" s="8" t="s">
        <v>313</v>
      </c>
      <c r="D239" s="8" t="s">
        <v>314</v>
      </c>
      <c r="E239" s="89">
        <v>8</v>
      </c>
      <c r="F239" s="90">
        <v>82</v>
      </c>
      <c r="G239" s="75">
        <f t="shared" si="56"/>
        <v>5.0600885515496522E-3</v>
      </c>
      <c r="H239" s="78">
        <f t="shared" si="52"/>
        <v>0.90950031625553451</v>
      </c>
      <c r="I239" s="75">
        <f t="shared" si="57"/>
        <v>4.4116855867003821E-3</v>
      </c>
      <c r="J239" s="79">
        <f t="shared" si="54"/>
        <v>7.208694248668424</v>
      </c>
      <c r="K239" s="79">
        <f t="shared" si="58"/>
        <v>126.16713719319357</v>
      </c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</row>
    <row r="240" spans="1:40" ht="14.25" customHeight="1">
      <c r="A240" s="7">
        <v>51402</v>
      </c>
      <c r="B240" s="8" t="s">
        <v>263</v>
      </c>
      <c r="C240" s="8" t="s">
        <v>313</v>
      </c>
      <c r="D240" s="8" t="s">
        <v>315</v>
      </c>
      <c r="E240" s="89">
        <v>2</v>
      </c>
      <c r="F240" s="90">
        <v>26</v>
      </c>
      <c r="G240" s="75">
        <f t="shared" si="56"/>
        <v>1.2650221378874131E-3</v>
      </c>
      <c r="H240" s="78">
        <f t="shared" si="52"/>
        <v>0.22737507906388363</v>
      </c>
      <c r="I240" s="75">
        <f t="shared" si="57"/>
        <v>1.3988271372464625E-3</v>
      </c>
      <c r="J240" s="79">
        <f t="shared" si="54"/>
        <v>2.2856835422607196</v>
      </c>
      <c r="K240" s="79">
        <f t="shared" si="58"/>
        <v>99.477935094633395</v>
      </c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</row>
    <row r="241" spans="1:40" ht="14.25" customHeight="1">
      <c r="A241" s="7">
        <v>51501</v>
      </c>
      <c r="B241" s="8" t="s">
        <v>263</v>
      </c>
      <c r="C241" s="8" t="s">
        <v>316</v>
      </c>
      <c r="D241" s="8" t="s">
        <v>317</v>
      </c>
      <c r="E241" s="89">
        <v>35</v>
      </c>
      <c r="F241" s="90">
        <v>981</v>
      </c>
      <c r="G241" s="75">
        <f t="shared" si="56"/>
        <v>2.2137887413029727E-2</v>
      </c>
      <c r="H241" s="78">
        <f t="shared" si="52"/>
        <v>3.9790638836179633</v>
      </c>
      <c r="I241" s="75">
        <f t="shared" si="57"/>
        <v>5.2778823909183835E-2</v>
      </c>
      <c r="J241" s="79">
        <f t="shared" si="54"/>
        <v>86.240598267606387</v>
      </c>
      <c r="K241" s="79">
        <f t="shared" si="58"/>
        <v>46.139103433290714</v>
      </c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</row>
    <row r="242" spans="1:40" ht="14.25" customHeight="1">
      <c r="A242" s="7">
        <v>51601</v>
      </c>
      <c r="B242" s="8" t="s">
        <v>263</v>
      </c>
      <c r="C242" s="8" t="s">
        <v>318</v>
      </c>
      <c r="D242" s="8" t="s">
        <v>319</v>
      </c>
      <c r="E242" s="89">
        <v>0</v>
      </c>
      <c r="F242" s="90">
        <v>19</v>
      </c>
      <c r="G242" s="75">
        <f t="shared" si="56"/>
        <v>0</v>
      </c>
      <c r="H242" s="78">
        <f t="shared" si="52"/>
        <v>0</v>
      </c>
      <c r="I242" s="75">
        <f t="shared" si="57"/>
        <v>1.0222198310647227E-3</v>
      </c>
      <c r="J242" s="79">
        <f t="shared" si="54"/>
        <v>1.6703072039597568</v>
      </c>
      <c r="K242" s="79">
        <f t="shared" si="58"/>
        <v>0</v>
      </c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</row>
    <row r="243" spans="1:40" ht="14.25" customHeight="1">
      <c r="A243" s="7">
        <v>60101</v>
      </c>
      <c r="B243" s="8" t="s">
        <v>25</v>
      </c>
      <c r="C243" s="8" t="s">
        <v>164</v>
      </c>
      <c r="D243" s="8" t="s">
        <v>25</v>
      </c>
      <c r="E243" s="89">
        <v>75</v>
      </c>
      <c r="F243" s="90">
        <v>3785</v>
      </c>
      <c r="G243" s="75">
        <f>E243/$R$7</f>
        <v>0.28301886792452829</v>
      </c>
      <c r="H243" s="78">
        <f>$S$22*G243</f>
        <v>9.4075471698113216</v>
      </c>
      <c r="I243" s="75">
        <f>F243/$S$7</f>
        <v>0.40637749624221603</v>
      </c>
      <c r="J243" s="79">
        <f>I243*$U$22</f>
        <v>337.69969937728155</v>
      </c>
      <c r="K243" s="79">
        <f>1000*H243/J243</f>
        <v>27.857730365643928</v>
      </c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</row>
    <row r="244" spans="1:40" ht="14.25" customHeight="1">
      <c r="A244" s="7">
        <v>60201</v>
      </c>
      <c r="B244" s="8" t="s">
        <v>25</v>
      </c>
      <c r="C244" s="8" t="s">
        <v>320</v>
      </c>
      <c r="D244" s="8" t="s">
        <v>321</v>
      </c>
      <c r="E244" s="89">
        <v>9</v>
      </c>
      <c r="F244" s="90">
        <v>327</v>
      </c>
      <c r="G244" s="75">
        <f t="shared" ref="G244:G253" si="59">E244/$R$7</f>
        <v>3.3962264150943396E-2</v>
      </c>
      <c r="H244" s="78">
        <f t="shared" ref="H244:H253" si="60">$S$22*G244</f>
        <v>1.1289056603773586</v>
      </c>
      <c r="I244" s="75">
        <f t="shared" ref="I244:I253" si="61">F244/$S$7</f>
        <v>3.5108438909168996E-2</v>
      </c>
      <c r="J244" s="79">
        <f t="shared" ref="J244:J253" si="62">I244*$U$22</f>
        <v>29.175112733519434</v>
      </c>
      <c r="K244" s="79">
        <f t="shared" ref="K244:K253" si="63">1000*H244/J244</f>
        <v>38.694131902371474</v>
      </c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</row>
    <row r="245" spans="1:40" ht="14.25" customHeight="1">
      <c r="A245" s="7">
        <v>60202</v>
      </c>
      <c r="B245" s="8" t="s">
        <v>25</v>
      </c>
      <c r="C245" s="8" t="s">
        <v>320</v>
      </c>
      <c r="D245" s="8" t="s">
        <v>322</v>
      </c>
      <c r="E245" s="89">
        <v>22</v>
      </c>
      <c r="F245" s="90">
        <v>699</v>
      </c>
      <c r="G245" s="75">
        <f t="shared" si="59"/>
        <v>8.3018867924528297E-2</v>
      </c>
      <c r="H245" s="78">
        <f t="shared" si="60"/>
        <v>2.759547169811321</v>
      </c>
      <c r="I245" s="75">
        <f t="shared" si="61"/>
        <v>7.5048314365471339E-2</v>
      </c>
      <c r="J245" s="79">
        <f t="shared" si="62"/>
        <v>62.365149237706682</v>
      </c>
      <c r="K245" s="79">
        <f t="shared" si="63"/>
        <v>44.248225227413826</v>
      </c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</row>
    <row r="246" spans="1:40" ht="14.25" customHeight="1">
      <c r="A246" s="7">
        <v>60301</v>
      </c>
      <c r="B246" s="8" t="s">
        <v>25</v>
      </c>
      <c r="C246" s="8" t="s">
        <v>323</v>
      </c>
      <c r="D246" s="8" t="s">
        <v>324</v>
      </c>
      <c r="E246" s="89">
        <v>67</v>
      </c>
      <c r="F246" s="90">
        <v>1869</v>
      </c>
      <c r="G246" s="75">
        <f t="shared" si="59"/>
        <v>0.25283018867924528</v>
      </c>
      <c r="H246" s="78">
        <f t="shared" si="60"/>
        <v>8.4040754716981141</v>
      </c>
      <c r="I246" s="75">
        <f t="shared" si="61"/>
        <v>0.20066566459093838</v>
      </c>
      <c r="J246" s="79">
        <f t="shared" si="62"/>
        <v>166.75316727506979</v>
      </c>
      <c r="K246" s="79">
        <f t="shared" si="63"/>
        <v>50.398295930625807</v>
      </c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</row>
    <row r="247" spans="1:40" ht="14.25" customHeight="1">
      <c r="A247" s="7">
        <v>60302</v>
      </c>
      <c r="B247" s="8" t="s">
        <v>25</v>
      </c>
      <c r="C247" s="8" t="s">
        <v>323</v>
      </c>
      <c r="D247" s="8" t="s">
        <v>325</v>
      </c>
      <c r="E247" s="89">
        <v>5</v>
      </c>
      <c r="F247" s="90">
        <v>283</v>
      </c>
      <c r="G247" s="75">
        <f t="shared" si="59"/>
        <v>1.8867924528301886E-2</v>
      </c>
      <c r="H247" s="78">
        <f t="shared" si="60"/>
        <v>0.62716981132075478</v>
      </c>
      <c r="I247" s="75">
        <f t="shared" si="61"/>
        <v>3.0384367618638608E-2</v>
      </c>
      <c r="J247" s="79">
        <f t="shared" si="62"/>
        <v>25.249409491088684</v>
      </c>
      <c r="K247" s="79">
        <f t="shared" si="63"/>
        <v>24.838989265951064</v>
      </c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</row>
    <row r="248" spans="1:40" ht="14.25" customHeight="1">
      <c r="A248" s="7">
        <v>60303</v>
      </c>
      <c r="B248" s="8" t="s">
        <v>25</v>
      </c>
      <c r="C248" s="8" t="s">
        <v>323</v>
      </c>
      <c r="D248" s="8" t="s">
        <v>326</v>
      </c>
      <c r="E248" s="89">
        <v>41</v>
      </c>
      <c r="F248" s="90">
        <v>884</v>
      </c>
      <c r="G248" s="75">
        <f t="shared" si="59"/>
        <v>0.15471698113207547</v>
      </c>
      <c r="H248" s="78">
        <f t="shared" si="60"/>
        <v>5.1427924528301885</v>
      </c>
      <c r="I248" s="75">
        <f t="shared" si="61"/>
        <v>9.4910886837019537E-2</v>
      </c>
      <c r="J248" s="79">
        <f t="shared" si="62"/>
        <v>78.870946961563234</v>
      </c>
      <c r="K248" s="79">
        <f t="shared" si="63"/>
        <v>65.205156663536243</v>
      </c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</row>
    <row r="249" spans="1:40" ht="14.25" customHeight="1">
      <c r="A249" s="7">
        <v>60401</v>
      </c>
      <c r="B249" s="8" t="s">
        <v>25</v>
      </c>
      <c r="C249" s="8" t="s">
        <v>327</v>
      </c>
      <c r="D249" s="8" t="s">
        <v>328</v>
      </c>
      <c r="E249" s="89">
        <v>4</v>
      </c>
      <c r="F249" s="90">
        <v>287</v>
      </c>
      <c r="G249" s="75">
        <f t="shared" si="59"/>
        <v>1.509433962264151E-2</v>
      </c>
      <c r="H249" s="78">
        <f t="shared" si="60"/>
        <v>0.50173584905660384</v>
      </c>
      <c r="I249" s="75">
        <f t="shared" si="61"/>
        <v>3.0813828645050462E-2</v>
      </c>
      <c r="J249" s="79">
        <f t="shared" si="62"/>
        <v>25.606291604036933</v>
      </c>
      <c r="K249" s="79">
        <f t="shared" si="63"/>
        <v>19.594241009795546</v>
      </c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</row>
    <row r="250" spans="1:40" ht="14.25" customHeight="1">
      <c r="A250" s="7">
        <v>60402</v>
      </c>
      <c r="B250" s="8" t="s">
        <v>25</v>
      </c>
      <c r="C250" s="8" t="s">
        <v>327</v>
      </c>
      <c r="D250" s="8" t="s">
        <v>329</v>
      </c>
      <c r="E250" s="89">
        <v>10</v>
      </c>
      <c r="F250" s="90">
        <v>117</v>
      </c>
      <c r="G250" s="75">
        <f t="shared" si="59"/>
        <v>3.7735849056603772E-2</v>
      </c>
      <c r="H250" s="78">
        <f t="shared" si="60"/>
        <v>1.2543396226415096</v>
      </c>
      <c r="I250" s="75">
        <f t="shared" si="61"/>
        <v>1.2561735022546703E-2</v>
      </c>
      <c r="J250" s="79">
        <f t="shared" si="62"/>
        <v>10.438801803736311</v>
      </c>
      <c r="K250" s="79">
        <f t="shared" si="63"/>
        <v>120.16126431220772</v>
      </c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</row>
    <row r="251" spans="1:40" ht="14.25" customHeight="1">
      <c r="A251" s="7">
        <v>60501</v>
      </c>
      <c r="B251" s="8" t="s">
        <v>25</v>
      </c>
      <c r="C251" s="8" t="s">
        <v>330</v>
      </c>
      <c r="D251" s="8" t="s">
        <v>331</v>
      </c>
      <c r="E251" s="89">
        <v>14</v>
      </c>
      <c r="F251" s="90">
        <v>414</v>
      </c>
      <c r="G251" s="75">
        <f t="shared" si="59"/>
        <v>5.2830188679245285E-2</v>
      </c>
      <c r="H251" s="78">
        <f t="shared" si="60"/>
        <v>1.7560754716981133</v>
      </c>
      <c r="I251" s="75">
        <f t="shared" si="61"/>
        <v>4.4449216233626798E-2</v>
      </c>
      <c r="J251" s="79">
        <f t="shared" si="62"/>
        <v>36.937298690143869</v>
      </c>
      <c r="K251" s="79">
        <f t="shared" si="63"/>
        <v>47.54206544526479</v>
      </c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</row>
    <row r="252" spans="1:40" ht="14.25" customHeight="1">
      <c r="A252" s="7">
        <v>60502</v>
      </c>
      <c r="B252" s="8" t="s">
        <v>25</v>
      </c>
      <c r="C252" s="8" t="s">
        <v>330</v>
      </c>
      <c r="D252" s="8" t="s">
        <v>332</v>
      </c>
      <c r="E252" s="89">
        <v>9</v>
      </c>
      <c r="F252" s="90">
        <v>224</v>
      </c>
      <c r="G252" s="75">
        <f t="shared" si="59"/>
        <v>3.3962264150943396E-2</v>
      </c>
      <c r="H252" s="78">
        <f t="shared" si="60"/>
        <v>1.1289056603773586</v>
      </c>
      <c r="I252" s="75">
        <f t="shared" si="61"/>
        <v>2.4049817479063776E-2</v>
      </c>
      <c r="J252" s="79">
        <f t="shared" si="62"/>
        <v>19.985398325101997</v>
      </c>
      <c r="K252" s="79">
        <f t="shared" si="63"/>
        <v>56.486522911051217</v>
      </c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</row>
    <row r="253" spans="1:40" ht="14.25" customHeight="1">
      <c r="A253" s="7">
        <v>60601</v>
      </c>
      <c r="B253" s="8" t="s">
        <v>25</v>
      </c>
      <c r="C253" s="8" t="s">
        <v>333</v>
      </c>
      <c r="D253" s="8" t="s">
        <v>205</v>
      </c>
      <c r="E253" s="89">
        <v>9</v>
      </c>
      <c r="F253" s="90">
        <v>425</v>
      </c>
      <c r="G253" s="75">
        <f t="shared" si="59"/>
        <v>3.3962264150943396E-2</v>
      </c>
      <c r="H253" s="78">
        <f t="shared" si="60"/>
        <v>1.1289056603773586</v>
      </c>
      <c r="I253" s="75">
        <f t="shared" si="61"/>
        <v>4.5630234056259392E-2</v>
      </c>
      <c r="J253" s="79">
        <f t="shared" si="62"/>
        <v>37.918724500751551</v>
      </c>
      <c r="K253" s="79">
        <f t="shared" si="63"/>
        <v>29.771720310765822</v>
      </c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</row>
    <row r="254" spans="1:40" ht="14.25" customHeight="1">
      <c r="A254" s="7">
        <v>70101</v>
      </c>
      <c r="B254" s="8" t="s">
        <v>27</v>
      </c>
      <c r="C254" s="8" t="s">
        <v>334</v>
      </c>
      <c r="D254" s="8" t="s">
        <v>335</v>
      </c>
      <c r="E254" s="89">
        <v>998</v>
      </c>
      <c r="F254" s="90">
        <v>31778</v>
      </c>
      <c r="G254" s="75">
        <f>E254/$R$8</f>
        <v>0.45281306715063518</v>
      </c>
      <c r="H254" s="78">
        <f>$S$23*G254</f>
        <v>52.17629128856624</v>
      </c>
      <c r="I254" s="75">
        <f>F254/$S$8</f>
        <v>0.51003113664815591</v>
      </c>
      <c r="J254" s="79">
        <f>I254*$U$23</f>
        <v>1895.7857349211956</v>
      </c>
      <c r="K254" s="79">
        <f t="shared" ref="K254" si="64">1000*H254/J254</f>
        <v>27.522251237287168</v>
      </c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</row>
    <row r="255" spans="1:40" ht="14.25" customHeight="1">
      <c r="A255" s="7">
        <v>70102</v>
      </c>
      <c r="B255" s="8" t="s">
        <v>27</v>
      </c>
      <c r="C255" s="8" t="s">
        <v>334</v>
      </c>
      <c r="D255" s="8" t="s">
        <v>336</v>
      </c>
      <c r="E255" s="89">
        <v>86</v>
      </c>
      <c r="F255" s="90">
        <v>1538</v>
      </c>
      <c r="G255" s="75">
        <f t="shared" ref="G255:G279" si="65">E255/$R$8</f>
        <v>3.9019963702359349E-2</v>
      </c>
      <c r="H255" s="78">
        <f t="shared" ref="H255:H309" si="66">$S$23*G255</f>
        <v>4.4961533575317612</v>
      </c>
      <c r="I255" s="75">
        <f t="shared" ref="I255:I279" si="67">F255/$S$8</f>
        <v>2.468462106378198E-2</v>
      </c>
      <c r="J255" s="79">
        <f t="shared" ref="J255:J309" si="68">I255*$U$23</f>
        <v>91.752736494077624</v>
      </c>
      <c r="K255" s="79">
        <f t="shared" ref="K255:K280" si="69">1000*H255/J255</f>
        <v>49.002934727968302</v>
      </c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</row>
    <row r="256" spans="1:40" ht="14.25" customHeight="1">
      <c r="A256" s="7">
        <v>70103</v>
      </c>
      <c r="B256" s="8" t="s">
        <v>27</v>
      </c>
      <c r="C256" s="8" t="s">
        <v>334</v>
      </c>
      <c r="D256" s="8" t="s">
        <v>337</v>
      </c>
      <c r="E256" s="89">
        <v>6</v>
      </c>
      <c r="F256" s="90">
        <v>320</v>
      </c>
      <c r="G256" s="75">
        <f t="shared" si="65"/>
        <v>2.7223230490018148E-3</v>
      </c>
      <c r="H256" s="78">
        <f t="shared" si="66"/>
        <v>0.31368511796733212</v>
      </c>
      <c r="I256" s="75">
        <f t="shared" si="67"/>
        <v>5.1359419638558083E-3</v>
      </c>
      <c r="J256" s="79">
        <f t="shared" si="68"/>
        <v>19.090296279652041</v>
      </c>
      <c r="K256" s="79">
        <f t="shared" si="69"/>
        <v>16.431652676951</v>
      </c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</row>
    <row r="257" spans="1:40" ht="14.25" customHeight="1">
      <c r="A257" s="7">
        <v>70104</v>
      </c>
      <c r="B257" s="8" t="s">
        <v>27</v>
      </c>
      <c r="C257" s="8" t="s">
        <v>334</v>
      </c>
      <c r="D257" s="8" t="s">
        <v>338</v>
      </c>
      <c r="E257" s="89">
        <v>60</v>
      </c>
      <c r="F257" s="90">
        <v>2223</v>
      </c>
      <c r="G257" s="75">
        <f t="shared" si="65"/>
        <v>2.7223230490018149E-2</v>
      </c>
      <c r="H257" s="78">
        <f t="shared" si="66"/>
        <v>3.1368511796733212</v>
      </c>
      <c r="I257" s="75">
        <f t="shared" si="67"/>
        <v>3.5678746830160819E-2</v>
      </c>
      <c r="J257" s="79">
        <f t="shared" si="68"/>
        <v>132.61790196770775</v>
      </c>
      <c r="K257" s="79">
        <f t="shared" si="69"/>
        <v>23.653301199389652</v>
      </c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</row>
    <row r="258" spans="1:40" ht="14.25" customHeight="1">
      <c r="A258" s="7">
        <v>70105</v>
      </c>
      <c r="B258" s="8" t="s">
        <v>27</v>
      </c>
      <c r="C258" s="8" t="s">
        <v>334</v>
      </c>
      <c r="D258" s="8" t="s">
        <v>339</v>
      </c>
      <c r="E258" s="89">
        <v>39</v>
      </c>
      <c r="F258" s="90">
        <v>1116</v>
      </c>
      <c r="G258" s="75">
        <f t="shared" si="65"/>
        <v>1.7695099818511795E-2</v>
      </c>
      <c r="H258" s="78">
        <f t="shared" si="66"/>
        <v>2.0389532667876589</v>
      </c>
      <c r="I258" s="75">
        <f t="shared" si="67"/>
        <v>1.7911597598947133E-2</v>
      </c>
      <c r="J258" s="79">
        <f t="shared" si="68"/>
        <v>66.577408275286487</v>
      </c>
      <c r="K258" s="79">
        <f t="shared" si="69"/>
        <v>30.625302480338778</v>
      </c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</row>
    <row r="259" spans="1:40" ht="14.25" customHeight="1">
      <c r="A259" s="7">
        <v>70201</v>
      </c>
      <c r="B259" s="8" t="s">
        <v>27</v>
      </c>
      <c r="C259" s="8" t="s">
        <v>340</v>
      </c>
      <c r="D259" s="8" t="s">
        <v>340</v>
      </c>
      <c r="E259" s="89">
        <v>76</v>
      </c>
      <c r="F259" s="90">
        <v>2654</v>
      </c>
      <c r="G259" s="75">
        <f t="shared" si="65"/>
        <v>3.4482758620689655E-2</v>
      </c>
      <c r="H259" s="78">
        <f t="shared" si="66"/>
        <v>3.9733448275862071</v>
      </c>
      <c r="I259" s="75">
        <f t="shared" si="67"/>
        <v>4.2596218662729113E-2</v>
      </c>
      <c r="J259" s="79">
        <f t="shared" si="68"/>
        <v>158.33014476936413</v>
      </c>
      <c r="K259" s="79">
        <f t="shared" si="69"/>
        <v>25.095314814333598</v>
      </c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</row>
    <row r="260" spans="1:40" ht="14.25" customHeight="1">
      <c r="A260" s="7">
        <v>70202</v>
      </c>
      <c r="B260" s="8" t="s">
        <v>27</v>
      </c>
      <c r="C260" s="8" t="s">
        <v>340</v>
      </c>
      <c r="D260" s="8" t="s">
        <v>341</v>
      </c>
      <c r="E260" s="89">
        <v>7</v>
      </c>
      <c r="F260" s="90">
        <v>302</v>
      </c>
      <c r="G260" s="75">
        <f t="shared" si="65"/>
        <v>3.1760435571687841E-3</v>
      </c>
      <c r="H260" s="78">
        <f t="shared" si="66"/>
        <v>0.36596597096188749</v>
      </c>
      <c r="I260" s="75">
        <f t="shared" si="67"/>
        <v>4.8470452283889192E-3</v>
      </c>
      <c r="J260" s="79">
        <f t="shared" si="68"/>
        <v>18.016467113921614</v>
      </c>
      <c r="K260" s="79">
        <f t="shared" si="69"/>
        <v>20.312859821396376</v>
      </c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</row>
    <row r="261" spans="1:40" ht="14.25" customHeight="1">
      <c r="A261" s="7">
        <v>70301</v>
      </c>
      <c r="B261" s="8" t="s">
        <v>27</v>
      </c>
      <c r="C261" s="8" t="s">
        <v>342</v>
      </c>
      <c r="D261" s="8" t="s">
        <v>343</v>
      </c>
      <c r="E261" s="89">
        <v>68</v>
      </c>
      <c r="F261" s="90">
        <v>1559</v>
      </c>
      <c r="G261" s="75">
        <f t="shared" si="65"/>
        <v>3.0852994555353903E-2</v>
      </c>
      <c r="H261" s="78">
        <f t="shared" si="66"/>
        <v>3.5550980036297641</v>
      </c>
      <c r="I261" s="75">
        <f t="shared" si="67"/>
        <v>2.5021667255160016E-2</v>
      </c>
      <c r="J261" s="79">
        <f t="shared" si="68"/>
        <v>93.00553718742978</v>
      </c>
      <c r="K261" s="79">
        <f t="shared" si="69"/>
        <v>38.224584375716674</v>
      </c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</row>
    <row r="262" spans="1:40" ht="14.25" customHeight="1">
      <c r="A262" s="7">
        <v>70302</v>
      </c>
      <c r="B262" s="8" t="s">
        <v>27</v>
      </c>
      <c r="C262" s="8" t="s">
        <v>342</v>
      </c>
      <c r="D262" s="8" t="s">
        <v>344</v>
      </c>
      <c r="E262" s="89">
        <v>16</v>
      </c>
      <c r="F262" s="90">
        <v>283</v>
      </c>
      <c r="G262" s="75">
        <f t="shared" si="65"/>
        <v>7.2595281306715061E-3</v>
      </c>
      <c r="H262" s="78">
        <f t="shared" si="66"/>
        <v>0.83649364791288561</v>
      </c>
      <c r="I262" s="75">
        <f t="shared" si="67"/>
        <v>4.5420986742849808E-3</v>
      </c>
      <c r="J262" s="79">
        <f t="shared" si="68"/>
        <v>16.882980772317275</v>
      </c>
      <c r="K262" s="79">
        <f t="shared" si="69"/>
        <v>49.546561664304534</v>
      </c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</row>
    <row r="263" spans="1:40" ht="14.25" customHeight="1">
      <c r="A263" s="7">
        <v>70303</v>
      </c>
      <c r="B263" s="8" t="s">
        <v>27</v>
      </c>
      <c r="C263" s="8" t="s">
        <v>342</v>
      </c>
      <c r="D263" s="8" t="s">
        <v>345</v>
      </c>
      <c r="E263" s="89">
        <v>10</v>
      </c>
      <c r="F263" s="90">
        <v>144</v>
      </c>
      <c r="G263" s="75">
        <f t="shared" si="65"/>
        <v>4.5372050816696917E-3</v>
      </c>
      <c r="H263" s="78">
        <f t="shared" si="66"/>
        <v>0.5228085299455536</v>
      </c>
      <c r="I263" s="75">
        <f t="shared" si="67"/>
        <v>2.3111738837351139E-3</v>
      </c>
      <c r="J263" s="79">
        <f t="shared" si="68"/>
        <v>8.5906333258434184</v>
      </c>
      <c r="K263" s="79">
        <f t="shared" si="69"/>
        <v>60.857972877596289</v>
      </c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</row>
    <row r="264" spans="1:40" ht="14.25" customHeight="1">
      <c r="A264" s="7">
        <v>70401</v>
      </c>
      <c r="B264" s="8" t="s">
        <v>27</v>
      </c>
      <c r="C264" s="8" t="s">
        <v>346</v>
      </c>
      <c r="D264" s="8" t="s">
        <v>347</v>
      </c>
      <c r="E264" s="89">
        <v>9</v>
      </c>
      <c r="F264" s="90">
        <v>316</v>
      </c>
      <c r="G264" s="75">
        <f t="shared" si="65"/>
        <v>4.0834845735027219E-3</v>
      </c>
      <c r="H264" s="78">
        <f t="shared" si="66"/>
        <v>0.47052767695099817</v>
      </c>
      <c r="I264" s="75">
        <f t="shared" si="67"/>
        <v>5.0717426893076107E-3</v>
      </c>
      <c r="J264" s="79">
        <f t="shared" si="68"/>
        <v>18.851667576156387</v>
      </c>
      <c r="K264" s="79">
        <f t="shared" si="69"/>
        <v>24.959472420685064</v>
      </c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</row>
    <row r="265" spans="1:40" ht="14.25" customHeight="1">
      <c r="A265" s="7">
        <v>70402</v>
      </c>
      <c r="B265" s="8" t="s">
        <v>27</v>
      </c>
      <c r="C265" s="8" t="s">
        <v>346</v>
      </c>
      <c r="D265" s="8" t="s">
        <v>348</v>
      </c>
      <c r="E265" s="89">
        <v>15</v>
      </c>
      <c r="F265" s="90">
        <v>509</v>
      </c>
      <c r="G265" s="75">
        <f t="shared" si="65"/>
        <v>6.8058076225045372E-3</v>
      </c>
      <c r="H265" s="78">
        <f t="shared" si="66"/>
        <v>0.78421279491833029</v>
      </c>
      <c r="I265" s="75">
        <f t="shared" si="67"/>
        <v>8.1693576862581462E-3</v>
      </c>
      <c r="J265" s="79">
        <f t="shared" si="68"/>
        <v>30.365502519821529</v>
      </c>
      <c r="K265" s="79">
        <f t="shared" si="69"/>
        <v>25.825780238822784</v>
      </c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</row>
    <row r="266" spans="1:40" ht="14.25" customHeight="1">
      <c r="A266" s="7">
        <v>70403</v>
      </c>
      <c r="B266" s="8" t="s">
        <v>27</v>
      </c>
      <c r="C266" s="8" t="s">
        <v>346</v>
      </c>
      <c r="D266" s="8" t="s">
        <v>349</v>
      </c>
      <c r="E266" s="89">
        <v>85</v>
      </c>
      <c r="F266" s="90">
        <v>1215</v>
      </c>
      <c r="G266" s="75">
        <f t="shared" si="65"/>
        <v>3.8566243194192378E-2</v>
      </c>
      <c r="H266" s="78">
        <f t="shared" si="66"/>
        <v>4.4438725045372056</v>
      </c>
      <c r="I266" s="75">
        <f t="shared" si="67"/>
        <v>1.9500529644015021E-2</v>
      </c>
      <c r="J266" s="79">
        <f t="shared" si="68"/>
        <v>72.483468686803832</v>
      </c>
      <c r="K266" s="79">
        <f t="shared" si="69"/>
        <v>61.308772676689607</v>
      </c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</row>
    <row r="267" spans="1:40" ht="14.25" customHeight="1">
      <c r="A267" s="7">
        <v>70404</v>
      </c>
      <c r="B267" s="8" t="s">
        <v>27</v>
      </c>
      <c r="C267" s="8" t="s">
        <v>346</v>
      </c>
      <c r="D267" s="8" t="s">
        <v>350</v>
      </c>
      <c r="E267" s="89">
        <v>9</v>
      </c>
      <c r="F267" s="90">
        <v>233</v>
      </c>
      <c r="G267" s="75">
        <f t="shared" si="65"/>
        <v>4.0834845735027219E-3</v>
      </c>
      <c r="H267" s="78">
        <f t="shared" si="66"/>
        <v>0.47052767695099817</v>
      </c>
      <c r="I267" s="75">
        <f t="shared" si="67"/>
        <v>3.7396077424325107E-3</v>
      </c>
      <c r="J267" s="79">
        <f t="shared" si="68"/>
        <v>13.900121978621643</v>
      </c>
      <c r="K267" s="79">
        <f t="shared" si="69"/>
        <v>33.850614956808919</v>
      </c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</row>
    <row r="268" spans="1:40" ht="14.25" customHeight="1">
      <c r="A268" s="7">
        <v>70501</v>
      </c>
      <c r="B268" s="8" t="s">
        <v>27</v>
      </c>
      <c r="C268" s="8" t="s">
        <v>351</v>
      </c>
      <c r="D268" s="8" t="s">
        <v>352</v>
      </c>
      <c r="E268" s="89">
        <v>16</v>
      </c>
      <c r="F268" s="90">
        <v>751</v>
      </c>
      <c r="G268" s="75">
        <f t="shared" si="65"/>
        <v>7.2595281306715061E-3</v>
      </c>
      <c r="H268" s="78">
        <f t="shared" si="66"/>
        <v>0.83649364791288561</v>
      </c>
      <c r="I268" s="75">
        <f t="shared" si="67"/>
        <v>1.2053413796424101E-2</v>
      </c>
      <c r="J268" s="79">
        <f t="shared" si="68"/>
        <v>44.802539081308382</v>
      </c>
      <c r="K268" s="79">
        <f t="shared" si="69"/>
        <v>18.670675034618089</v>
      </c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</row>
    <row r="269" spans="1:40" ht="14.25" customHeight="1">
      <c r="A269" s="7">
        <v>70502</v>
      </c>
      <c r="B269" s="8" t="s">
        <v>27</v>
      </c>
      <c r="C269" s="8" t="s">
        <v>351</v>
      </c>
      <c r="D269" s="8" t="s">
        <v>353</v>
      </c>
      <c r="E269" s="89">
        <v>30</v>
      </c>
      <c r="F269" s="90">
        <v>1033</v>
      </c>
      <c r="G269" s="75">
        <f t="shared" si="65"/>
        <v>1.3611615245009074E-2</v>
      </c>
      <c r="H269" s="78">
        <f t="shared" si="66"/>
        <v>1.5684255898366606</v>
      </c>
      <c r="I269" s="75">
        <f t="shared" si="67"/>
        <v>1.6579462652072031E-2</v>
      </c>
      <c r="J269" s="79">
        <f t="shared" si="68"/>
        <v>61.625862677751741</v>
      </c>
      <c r="K269" s="79">
        <f t="shared" si="69"/>
        <v>25.450768909120615</v>
      </c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</row>
    <row r="270" spans="1:40" ht="14.25" customHeight="1">
      <c r="A270" s="7">
        <v>70503</v>
      </c>
      <c r="B270" s="8" t="s">
        <v>27</v>
      </c>
      <c r="C270" s="8" t="s">
        <v>351</v>
      </c>
      <c r="D270" s="8" t="s">
        <v>354</v>
      </c>
      <c r="E270" s="89">
        <v>17</v>
      </c>
      <c r="F270" s="90">
        <v>328</v>
      </c>
      <c r="G270" s="75">
        <f t="shared" si="65"/>
        <v>7.7132486388384758E-3</v>
      </c>
      <c r="H270" s="78">
        <f t="shared" si="66"/>
        <v>0.88877450090744103</v>
      </c>
      <c r="I270" s="75">
        <f t="shared" si="67"/>
        <v>5.2643405129522034E-3</v>
      </c>
      <c r="J270" s="79">
        <f t="shared" si="68"/>
        <v>19.56755368664334</v>
      </c>
      <c r="K270" s="79">
        <f t="shared" si="69"/>
        <v>45.42082853791333</v>
      </c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</row>
    <row r="271" spans="1:40" ht="14.25" customHeight="1">
      <c r="A271" s="7">
        <v>70601</v>
      </c>
      <c r="B271" s="8" t="s">
        <v>27</v>
      </c>
      <c r="C271" s="8" t="s">
        <v>355</v>
      </c>
      <c r="D271" s="8" t="s">
        <v>356</v>
      </c>
      <c r="E271" s="89">
        <v>8</v>
      </c>
      <c r="F271" s="90">
        <v>437</v>
      </c>
      <c r="G271" s="75">
        <f t="shared" si="65"/>
        <v>3.629764065335753E-3</v>
      </c>
      <c r="H271" s="78">
        <f t="shared" si="66"/>
        <v>0.4182468239564428</v>
      </c>
      <c r="I271" s="75">
        <f t="shared" si="67"/>
        <v>7.0137707443905881E-3</v>
      </c>
      <c r="J271" s="79">
        <f t="shared" si="68"/>
        <v>26.070185856899815</v>
      </c>
      <c r="K271" s="79">
        <f t="shared" si="69"/>
        <v>16.043108639586023</v>
      </c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</row>
    <row r="272" spans="1:40" ht="14.25" customHeight="1">
      <c r="A272" s="7">
        <v>70602</v>
      </c>
      <c r="B272" s="8" t="s">
        <v>27</v>
      </c>
      <c r="C272" s="8" t="s">
        <v>355</v>
      </c>
      <c r="D272" s="8" t="s">
        <v>357</v>
      </c>
      <c r="E272" s="89">
        <v>18</v>
      </c>
      <c r="F272" s="90">
        <v>498</v>
      </c>
      <c r="G272" s="75">
        <f t="shared" si="65"/>
        <v>8.1669691470054439E-3</v>
      </c>
      <c r="H272" s="78">
        <f t="shared" si="66"/>
        <v>0.94105535390199635</v>
      </c>
      <c r="I272" s="75">
        <f t="shared" si="67"/>
        <v>7.9928096812506011E-3</v>
      </c>
      <c r="J272" s="79">
        <f t="shared" si="68"/>
        <v>29.709273585208486</v>
      </c>
      <c r="K272" s="79">
        <f t="shared" si="69"/>
        <v>31.675475039905539</v>
      </c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</row>
    <row r="273" spans="1:40" ht="14.25" customHeight="1">
      <c r="A273" s="7">
        <v>70603</v>
      </c>
      <c r="B273" s="8" t="s">
        <v>27</v>
      </c>
      <c r="C273" s="8" t="s">
        <v>355</v>
      </c>
      <c r="D273" s="8" t="s">
        <v>358</v>
      </c>
      <c r="E273" s="89">
        <v>5</v>
      </c>
      <c r="F273" s="90">
        <v>150</v>
      </c>
      <c r="G273" s="75">
        <f t="shared" si="65"/>
        <v>2.2686025408348459E-3</v>
      </c>
      <c r="H273" s="78">
        <f t="shared" si="66"/>
        <v>0.2614042649727768</v>
      </c>
      <c r="I273" s="75">
        <f t="shared" si="67"/>
        <v>2.4074727955574102E-3</v>
      </c>
      <c r="J273" s="79">
        <f t="shared" si="68"/>
        <v>8.9485763810868946</v>
      </c>
      <c r="K273" s="79">
        <f t="shared" si="69"/>
        <v>29.211826981246219</v>
      </c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</row>
    <row r="274" spans="1:40" ht="14.25" customHeight="1">
      <c r="A274" s="7">
        <v>70701</v>
      </c>
      <c r="B274" s="8" t="s">
        <v>27</v>
      </c>
      <c r="C274" s="8" t="s">
        <v>359</v>
      </c>
      <c r="D274" s="8" t="s">
        <v>360</v>
      </c>
      <c r="E274" s="89">
        <v>4</v>
      </c>
      <c r="F274" s="90">
        <v>129</v>
      </c>
      <c r="G274" s="75">
        <f t="shared" si="65"/>
        <v>1.8148820326678765E-3</v>
      </c>
      <c r="H274" s="78">
        <f t="shared" si="66"/>
        <v>0.2091234119782214</v>
      </c>
      <c r="I274" s="75">
        <f t="shared" si="67"/>
        <v>2.070426604179373E-3</v>
      </c>
      <c r="J274" s="79">
        <f t="shared" si="68"/>
        <v>7.695775687734729</v>
      </c>
      <c r="K274" s="79">
        <f t="shared" si="69"/>
        <v>27.173792540694155</v>
      </c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</row>
    <row r="275" spans="1:40" ht="14.25" customHeight="1">
      <c r="A275" s="7">
        <v>70702</v>
      </c>
      <c r="B275" s="8" t="s">
        <v>27</v>
      </c>
      <c r="C275" s="8" t="s">
        <v>359</v>
      </c>
      <c r="D275" s="8" t="s">
        <v>361</v>
      </c>
      <c r="E275" s="89">
        <v>44</v>
      </c>
      <c r="F275" s="90">
        <v>892</v>
      </c>
      <c r="G275" s="75">
        <f t="shared" si="65"/>
        <v>1.9963702359346643E-2</v>
      </c>
      <c r="H275" s="78">
        <f t="shared" si="66"/>
        <v>2.3003575317604357</v>
      </c>
      <c r="I275" s="75">
        <f t="shared" si="67"/>
        <v>1.4316438224248065E-2</v>
      </c>
      <c r="J275" s="79">
        <f t="shared" si="68"/>
        <v>53.214200879530061</v>
      </c>
      <c r="K275" s="79">
        <f t="shared" si="69"/>
        <v>43.228264142651355</v>
      </c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</row>
    <row r="276" spans="1:40" ht="14.25" customHeight="1">
      <c r="A276" s="7">
        <v>70703</v>
      </c>
      <c r="B276" s="8" t="s">
        <v>27</v>
      </c>
      <c r="C276" s="8" t="s">
        <v>359</v>
      </c>
      <c r="D276" s="8" t="s">
        <v>362</v>
      </c>
      <c r="E276" s="89">
        <v>17</v>
      </c>
      <c r="F276" s="90">
        <v>671</v>
      </c>
      <c r="G276" s="75">
        <f t="shared" si="65"/>
        <v>7.7132486388384758E-3</v>
      </c>
      <c r="H276" s="78">
        <f t="shared" si="66"/>
        <v>0.88877450090744103</v>
      </c>
      <c r="I276" s="75">
        <f t="shared" si="67"/>
        <v>1.0769428305460148E-2</v>
      </c>
      <c r="J276" s="79">
        <f t="shared" si="68"/>
        <v>40.029965011395369</v>
      </c>
      <c r="K276" s="79">
        <f t="shared" si="69"/>
        <v>22.202729896327234</v>
      </c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</row>
    <row r="277" spans="1:40" ht="14.25" customHeight="1">
      <c r="A277" s="7">
        <v>70704</v>
      </c>
      <c r="B277" s="8" t="s">
        <v>27</v>
      </c>
      <c r="C277" s="8" t="s">
        <v>359</v>
      </c>
      <c r="D277" s="8" t="s">
        <v>363</v>
      </c>
      <c r="E277" s="89">
        <v>2</v>
      </c>
      <c r="F277" s="90">
        <v>112</v>
      </c>
      <c r="G277" s="75">
        <f t="shared" si="65"/>
        <v>9.0744101633393826E-4</v>
      </c>
      <c r="H277" s="78">
        <f t="shared" si="66"/>
        <v>0.1045617059891107</v>
      </c>
      <c r="I277" s="75">
        <f t="shared" si="67"/>
        <v>1.7975796873495329E-3</v>
      </c>
      <c r="J277" s="79">
        <f t="shared" si="68"/>
        <v>6.6816036978782138</v>
      </c>
      <c r="K277" s="79">
        <f t="shared" si="69"/>
        <v>15.649193025667618</v>
      </c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</row>
    <row r="278" spans="1:40" ht="14.25" customHeight="1">
      <c r="A278" s="7">
        <v>70705</v>
      </c>
      <c r="B278" s="8" t="s">
        <v>27</v>
      </c>
      <c r="C278" s="8" t="s">
        <v>359</v>
      </c>
      <c r="D278" s="8" t="s">
        <v>364</v>
      </c>
      <c r="E278" s="89">
        <v>35</v>
      </c>
      <c r="F278" s="90">
        <v>338</v>
      </c>
      <c r="G278" s="75">
        <f t="shared" si="65"/>
        <v>1.588021778584392E-2</v>
      </c>
      <c r="H278" s="78">
        <f t="shared" si="66"/>
        <v>1.8298298548094374</v>
      </c>
      <c r="I278" s="75">
        <f t="shared" si="67"/>
        <v>5.4248386993226974E-3</v>
      </c>
      <c r="J278" s="79">
        <f t="shared" si="68"/>
        <v>20.164125445382467</v>
      </c>
      <c r="K278" s="79">
        <f t="shared" si="69"/>
        <v>90.746799793812215</v>
      </c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</row>
    <row r="279" spans="1:40" ht="14.25" customHeight="1">
      <c r="A279" s="7">
        <v>70706</v>
      </c>
      <c r="B279" s="8" t="s">
        <v>27</v>
      </c>
      <c r="C279" s="8" t="s">
        <v>359</v>
      </c>
      <c r="D279" s="8" t="s">
        <v>365</v>
      </c>
      <c r="E279" s="89">
        <v>20</v>
      </c>
      <c r="F279" s="90">
        <v>668</v>
      </c>
      <c r="G279" s="75">
        <f t="shared" si="65"/>
        <v>9.0744101633393835E-3</v>
      </c>
      <c r="H279" s="78">
        <f t="shared" si="66"/>
        <v>1.0456170598911072</v>
      </c>
      <c r="I279" s="75">
        <f t="shared" si="67"/>
        <v>1.0721278849549E-2</v>
      </c>
      <c r="J279" s="79">
        <f t="shared" si="68"/>
        <v>39.850993483773628</v>
      </c>
      <c r="K279" s="79">
        <f t="shared" si="69"/>
        <v>26.238167947227147</v>
      </c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</row>
    <row r="280" spans="1:40" ht="14.25" customHeight="1">
      <c r="A280" s="7">
        <v>70707</v>
      </c>
      <c r="B280" s="8" t="s">
        <v>27</v>
      </c>
      <c r="C280" s="8" t="s">
        <v>359</v>
      </c>
      <c r="D280" s="8" t="s">
        <v>366</v>
      </c>
      <c r="E280" s="89">
        <v>2</v>
      </c>
      <c r="F280" s="90">
        <v>113</v>
      </c>
      <c r="G280" s="75">
        <f>E280/$R$8</f>
        <v>9.0744101633393826E-4</v>
      </c>
      <c r="H280" s="78">
        <f>$S$23*G280</f>
        <v>0.1045617059891107</v>
      </c>
      <c r="I280" s="75">
        <f>F280/$S$8</f>
        <v>1.8136295059865823E-3</v>
      </c>
      <c r="J280" s="79">
        <f>I280*$U$23</f>
        <v>6.7412608737521262</v>
      </c>
      <c r="K280" s="79">
        <f t="shared" si="69"/>
        <v>15.510704591812152</v>
      </c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</row>
    <row r="281" spans="1:40" ht="14.25" customHeight="1">
      <c r="A281" s="7">
        <v>70801</v>
      </c>
      <c r="B281" s="8" t="s">
        <v>27</v>
      </c>
      <c r="C281" s="8" t="s">
        <v>367</v>
      </c>
      <c r="D281" s="8" t="s">
        <v>367</v>
      </c>
      <c r="E281" s="89">
        <v>8</v>
      </c>
      <c r="F281" s="90">
        <v>324</v>
      </c>
      <c r="G281" s="75">
        <f t="shared" ref="G281:G299" si="70">E281/$R$8</f>
        <v>3.629764065335753E-3</v>
      </c>
      <c r="H281" s="78">
        <f t="shared" si="66"/>
        <v>0.4182468239564428</v>
      </c>
      <c r="I281" s="75">
        <f t="shared" ref="I281:I299" si="71">F281/$S$8</f>
        <v>5.2001412384040059E-3</v>
      </c>
      <c r="J281" s="79">
        <f t="shared" si="68"/>
        <v>19.32892498314769</v>
      </c>
      <c r="K281" s="79">
        <f t="shared" ref="K281:K310" si="72">1000*H281/J281</f>
        <v>21.638390356478681</v>
      </c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</row>
    <row r="282" spans="1:40" ht="14.25" customHeight="1">
      <c r="A282" s="7">
        <v>70802</v>
      </c>
      <c r="B282" s="8" t="s">
        <v>27</v>
      </c>
      <c r="C282" s="8" t="s">
        <v>367</v>
      </c>
      <c r="D282" s="8" t="s">
        <v>368</v>
      </c>
      <c r="E282" s="89">
        <v>0</v>
      </c>
      <c r="F282" s="90">
        <v>33</v>
      </c>
      <c r="G282" s="75">
        <f t="shared" si="70"/>
        <v>0</v>
      </c>
      <c r="H282" s="78">
        <f t="shared" si="66"/>
        <v>0</v>
      </c>
      <c r="I282" s="75">
        <f t="shared" si="71"/>
        <v>5.2964401502263029E-4</v>
      </c>
      <c r="J282" s="79">
        <f t="shared" si="68"/>
        <v>1.9686868038391168</v>
      </c>
      <c r="K282" s="79">
        <f t="shared" si="72"/>
        <v>0</v>
      </c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</row>
    <row r="283" spans="1:40" ht="14.25" customHeight="1">
      <c r="A283" s="7">
        <v>70803</v>
      </c>
      <c r="B283" s="8" t="s">
        <v>27</v>
      </c>
      <c r="C283" s="8" t="s">
        <v>367</v>
      </c>
      <c r="D283" s="8" t="s">
        <v>369</v>
      </c>
      <c r="E283" s="89">
        <v>0</v>
      </c>
      <c r="F283" s="90">
        <v>70</v>
      </c>
      <c r="G283" s="75">
        <f t="shared" si="70"/>
        <v>0</v>
      </c>
      <c r="H283" s="78">
        <f t="shared" si="66"/>
        <v>0</v>
      </c>
      <c r="I283" s="75">
        <f t="shared" si="71"/>
        <v>1.1234873045934581E-3</v>
      </c>
      <c r="J283" s="79">
        <f t="shared" si="68"/>
        <v>4.1760023111738835</v>
      </c>
      <c r="K283" s="79">
        <f t="shared" si="72"/>
        <v>0</v>
      </c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</row>
    <row r="284" spans="1:40" ht="14.25" customHeight="1">
      <c r="A284" s="7">
        <v>70804</v>
      </c>
      <c r="B284" s="8" t="s">
        <v>27</v>
      </c>
      <c r="C284" s="8" t="s">
        <v>367</v>
      </c>
      <c r="D284" s="8" t="s">
        <v>370</v>
      </c>
      <c r="E284" s="89">
        <v>0</v>
      </c>
      <c r="F284" s="90">
        <v>46</v>
      </c>
      <c r="G284" s="75">
        <f t="shared" si="70"/>
        <v>0</v>
      </c>
      <c r="H284" s="78">
        <f t="shared" si="66"/>
        <v>0</v>
      </c>
      <c r="I284" s="75">
        <f t="shared" si="71"/>
        <v>7.382916573042725E-4</v>
      </c>
      <c r="J284" s="79">
        <f t="shared" si="68"/>
        <v>2.7442300901999808</v>
      </c>
      <c r="K284" s="79">
        <f t="shared" si="72"/>
        <v>0</v>
      </c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</row>
    <row r="285" spans="1:40" ht="14.25" customHeight="1">
      <c r="A285" s="7">
        <v>70805</v>
      </c>
      <c r="B285" s="8" t="s">
        <v>27</v>
      </c>
      <c r="C285" s="8" t="s">
        <v>367</v>
      </c>
      <c r="D285" s="8" t="s">
        <v>371</v>
      </c>
      <c r="E285" s="89">
        <v>0</v>
      </c>
      <c r="F285" s="90">
        <v>40</v>
      </c>
      <c r="G285" s="75">
        <f t="shared" si="70"/>
        <v>0</v>
      </c>
      <c r="H285" s="78">
        <f t="shared" si="66"/>
        <v>0</v>
      </c>
      <c r="I285" s="75">
        <f t="shared" si="71"/>
        <v>6.4199274548197604E-4</v>
      </c>
      <c r="J285" s="79">
        <f t="shared" si="68"/>
        <v>2.3862870349565051</v>
      </c>
      <c r="K285" s="79">
        <f t="shared" si="72"/>
        <v>0</v>
      </c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</row>
    <row r="286" spans="1:40" ht="14.25" customHeight="1">
      <c r="A286" s="7">
        <v>70901</v>
      </c>
      <c r="B286" s="8" t="s">
        <v>27</v>
      </c>
      <c r="C286" s="8" t="s">
        <v>372</v>
      </c>
      <c r="D286" s="8" t="s">
        <v>373</v>
      </c>
      <c r="E286" s="89">
        <v>2</v>
      </c>
      <c r="F286" s="90">
        <v>215</v>
      </c>
      <c r="G286" s="75">
        <f t="shared" si="70"/>
        <v>9.0744101633393826E-4</v>
      </c>
      <c r="H286" s="78">
        <f t="shared" si="66"/>
        <v>0.1045617059891107</v>
      </c>
      <c r="I286" s="75">
        <f t="shared" si="71"/>
        <v>3.4507110069656212E-3</v>
      </c>
      <c r="J286" s="79">
        <f t="shared" si="68"/>
        <v>12.826292812891214</v>
      </c>
      <c r="K286" s="79">
        <f t="shared" si="72"/>
        <v>8.1521377622082465</v>
      </c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</row>
    <row r="287" spans="1:40" ht="14.25" customHeight="1">
      <c r="A287" s="7">
        <v>70902</v>
      </c>
      <c r="B287" s="8" t="s">
        <v>27</v>
      </c>
      <c r="C287" s="8" t="s">
        <v>372</v>
      </c>
      <c r="D287" s="8" t="s">
        <v>374</v>
      </c>
      <c r="E287" s="89">
        <v>8</v>
      </c>
      <c r="F287" s="90">
        <v>219</v>
      </c>
      <c r="G287" s="75">
        <f t="shared" si="70"/>
        <v>3.629764065335753E-3</v>
      </c>
      <c r="H287" s="78">
        <f t="shared" si="66"/>
        <v>0.4182468239564428</v>
      </c>
      <c r="I287" s="75">
        <f t="shared" si="71"/>
        <v>3.5149102815138188E-3</v>
      </c>
      <c r="J287" s="79">
        <f t="shared" si="68"/>
        <v>13.064921516386864</v>
      </c>
      <c r="K287" s="79">
        <f t="shared" si="72"/>
        <v>32.012961075338325</v>
      </c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</row>
    <row r="288" spans="1:40" ht="14.25" customHeight="1">
      <c r="A288" s="7">
        <v>70903</v>
      </c>
      <c r="B288" s="8" t="s">
        <v>27</v>
      </c>
      <c r="C288" s="8" t="s">
        <v>372</v>
      </c>
      <c r="D288" s="8" t="s">
        <v>375</v>
      </c>
      <c r="E288" s="89">
        <v>11</v>
      </c>
      <c r="F288" s="90">
        <v>255</v>
      </c>
      <c r="G288" s="75">
        <f t="shared" si="70"/>
        <v>4.9909255898366606E-3</v>
      </c>
      <c r="H288" s="78">
        <f t="shared" si="66"/>
        <v>0.57508938294010892</v>
      </c>
      <c r="I288" s="75">
        <f t="shared" si="71"/>
        <v>4.0927037524475978E-3</v>
      </c>
      <c r="J288" s="79">
        <f t="shared" si="68"/>
        <v>15.212579847847721</v>
      </c>
      <c r="K288" s="79">
        <f t="shared" si="72"/>
        <v>37.803540799259807</v>
      </c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</row>
    <row r="289" spans="1:40" ht="14.25" customHeight="1">
      <c r="A289" s="7">
        <v>70904</v>
      </c>
      <c r="B289" s="8" t="s">
        <v>27</v>
      </c>
      <c r="C289" s="8" t="s">
        <v>372</v>
      </c>
      <c r="D289" s="8" t="s">
        <v>376</v>
      </c>
      <c r="E289" s="89">
        <v>2</v>
      </c>
      <c r="F289" s="90">
        <v>47</v>
      </c>
      <c r="G289" s="75">
        <f t="shared" si="70"/>
        <v>9.0744101633393826E-4</v>
      </c>
      <c r="H289" s="78">
        <f t="shared" si="66"/>
        <v>0.1045617059891107</v>
      </c>
      <c r="I289" s="75">
        <f t="shared" si="71"/>
        <v>7.543414759413219E-4</v>
      </c>
      <c r="J289" s="79">
        <f t="shared" si="68"/>
        <v>2.8038872660738936</v>
      </c>
      <c r="K289" s="79">
        <f t="shared" si="72"/>
        <v>37.291694018612191</v>
      </c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</row>
    <row r="290" spans="1:40" ht="14.25" customHeight="1">
      <c r="A290" s="7">
        <v>71001</v>
      </c>
      <c r="B290" s="8" t="s">
        <v>27</v>
      </c>
      <c r="C290" s="8" t="s">
        <v>377</v>
      </c>
      <c r="D290" s="8" t="s">
        <v>378</v>
      </c>
      <c r="E290" s="89">
        <v>93</v>
      </c>
      <c r="F290" s="90">
        <v>2711</v>
      </c>
      <c r="G290" s="75">
        <f t="shared" si="70"/>
        <v>4.2196007259528129E-2</v>
      </c>
      <c r="H290" s="78">
        <f t="shared" si="66"/>
        <v>4.8621193284936481</v>
      </c>
      <c r="I290" s="75">
        <f t="shared" si="71"/>
        <v>4.351105832504093E-2</v>
      </c>
      <c r="J290" s="79">
        <f t="shared" si="68"/>
        <v>161.73060379417714</v>
      </c>
      <c r="K290" s="79">
        <f t="shared" si="72"/>
        <v>30.063075351411637</v>
      </c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</row>
    <row r="291" spans="1:40" ht="14.25" customHeight="1">
      <c r="A291" s="7">
        <v>71002</v>
      </c>
      <c r="B291" s="8" t="s">
        <v>27</v>
      </c>
      <c r="C291" s="8" t="s">
        <v>377</v>
      </c>
      <c r="D291" s="8" t="s">
        <v>379</v>
      </c>
      <c r="E291" s="89">
        <v>12</v>
      </c>
      <c r="F291" s="90">
        <v>365</v>
      </c>
      <c r="G291" s="75">
        <f t="shared" si="70"/>
        <v>5.4446460980036296E-3</v>
      </c>
      <c r="H291" s="78">
        <f t="shared" si="66"/>
        <v>0.62737023593466423</v>
      </c>
      <c r="I291" s="75">
        <f t="shared" si="71"/>
        <v>5.8581838025230318E-3</v>
      </c>
      <c r="J291" s="79">
        <f t="shared" si="68"/>
        <v>21.774869193978109</v>
      </c>
      <c r="K291" s="79">
        <f t="shared" si="72"/>
        <v>28.811664967804489</v>
      </c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</row>
    <row r="292" spans="1:40" ht="14.25" customHeight="1">
      <c r="A292" s="7">
        <v>71003</v>
      </c>
      <c r="B292" s="8" t="s">
        <v>27</v>
      </c>
      <c r="C292" s="8" t="s">
        <v>377</v>
      </c>
      <c r="D292" s="8" t="s">
        <v>380</v>
      </c>
      <c r="E292" s="89">
        <v>47</v>
      </c>
      <c r="F292" s="90">
        <v>637</v>
      </c>
      <c r="G292" s="75">
        <f t="shared" si="70"/>
        <v>2.132486388384755E-2</v>
      </c>
      <c r="H292" s="78">
        <f t="shared" si="66"/>
        <v>2.4572000907441018</v>
      </c>
      <c r="I292" s="75">
        <f t="shared" si="71"/>
        <v>1.0223734471800468E-2</v>
      </c>
      <c r="J292" s="79">
        <f t="shared" si="68"/>
        <v>38.00162103168234</v>
      </c>
      <c r="K292" s="79">
        <f t="shared" si="72"/>
        <v>64.660401952209071</v>
      </c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</row>
    <row r="293" spans="1:40" ht="14.25" customHeight="1">
      <c r="A293" s="7">
        <v>71004</v>
      </c>
      <c r="B293" s="8" t="s">
        <v>27</v>
      </c>
      <c r="C293" s="8" t="s">
        <v>377</v>
      </c>
      <c r="D293" s="8" t="s">
        <v>381</v>
      </c>
      <c r="E293" s="89">
        <v>20</v>
      </c>
      <c r="F293" s="90">
        <v>341</v>
      </c>
      <c r="G293" s="75">
        <f t="shared" si="70"/>
        <v>9.0744101633393835E-3</v>
      </c>
      <c r="H293" s="78">
        <f t="shared" si="66"/>
        <v>1.0456170598911072</v>
      </c>
      <c r="I293" s="75">
        <f t="shared" si="71"/>
        <v>5.4729881552338456E-3</v>
      </c>
      <c r="J293" s="79">
        <f t="shared" si="68"/>
        <v>20.343096973004204</v>
      </c>
      <c r="K293" s="79">
        <f t="shared" si="72"/>
        <v>51.39910905791124</v>
      </c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</row>
    <row r="294" spans="1:40" ht="14.25" customHeight="1">
      <c r="A294" s="7">
        <v>71005</v>
      </c>
      <c r="B294" s="8" t="s">
        <v>27</v>
      </c>
      <c r="C294" s="8" t="s">
        <v>377</v>
      </c>
      <c r="D294" s="8" t="s">
        <v>382</v>
      </c>
      <c r="E294" s="89">
        <v>12</v>
      </c>
      <c r="F294" s="90">
        <v>420</v>
      </c>
      <c r="G294" s="75">
        <f t="shared" si="70"/>
        <v>5.4446460980036296E-3</v>
      </c>
      <c r="H294" s="78">
        <f t="shared" si="66"/>
        <v>0.62737023593466423</v>
      </c>
      <c r="I294" s="75">
        <f t="shared" si="71"/>
        <v>6.7409238275607485E-3</v>
      </c>
      <c r="J294" s="79">
        <f t="shared" si="68"/>
        <v>25.056013867043301</v>
      </c>
      <c r="K294" s="79">
        <f t="shared" si="72"/>
        <v>25.038708841068189</v>
      </c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</row>
    <row r="295" spans="1:40" ht="14.25" customHeight="1">
      <c r="A295" s="7">
        <v>71101</v>
      </c>
      <c r="B295" s="8" t="s">
        <v>27</v>
      </c>
      <c r="C295" s="8" t="s">
        <v>383</v>
      </c>
      <c r="D295" s="8" t="s">
        <v>384</v>
      </c>
      <c r="E295" s="89">
        <v>25</v>
      </c>
      <c r="F295" s="90">
        <v>534</v>
      </c>
      <c r="G295" s="75">
        <f t="shared" si="70"/>
        <v>1.1343012704174229E-2</v>
      </c>
      <c r="H295" s="78">
        <f t="shared" si="66"/>
        <v>1.307021324863884</v>
      </c>
      <c r="I295" s="75">
        <f t="shared" si="71"/>
        <v>8.570603152184381E-3</v>
      </c>
      <c r="J295" s="79">
        <f t="shared" si="68"/>
        <v>31.856931916669343</v>
      </c>
      <c r="K295" s="79">
        <f t="shared" si="72"/>
        <v>41.027846883772781</v>
      </c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</row>
    <row r="296" spans="1:40" ht="14.25" customHeight="1">
      <c r="A296" s="7">
        <v>71102</v>
      </c>
      <c r="B296" s="8" t="s">
        <v>27</v>
      </c>
      <c r="C296" s="8" t="s">
        <v>383</v>
      </c>
      <c r="D296" s="8" t="s">
        <v>385</v>
      </c>
      <c r="E296" s="89">
        <v>31</v>
      </c>
      <c r="F296" s="90">
        <v>353</v>
      </c>
      <c r="G296" s="75">
        <f t="shared" si="70"/>
        <v>1.4065335753176044E-2</v>
      </c>
      <c r="H296" s="78">
        <f t="shared" si="66"/>
        <v>1.6207064428312161</v>
      </c>
      <c r="I296" s="75">
        <f t="shared" si="71"/>
        <v>5.6655859788784383E-3</v>
      </c>
      <c r="J296" s="79">
        <f t="shared" si="68"/>
        <v>21.058983083491157</v>
      </c>
      <c r="K296" s="79">
        <f t="shared" si="72"/>
        <v>76.960337372688343</v>
      </c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</row>
    <row r="297" spans="1:40" ht="14.25" customHeight="1">
      <c r="A297" s="7">
        <v>71103</v>
      </c>
      <c r="B297" s="8" t="s">
        <v>27</v>
      </c>
      <c r="C297" s="8" t="s">
        <v>383</v>
      </c>
      <c r="D297" s="8" t="s">
        <v>386</v>
      </c>
      <c r="E297" s="89">
        <v>60</v>
      </c>
      <c r="F297" s="90">
        <v>1209</v>
      </c>
      <c r="G297" s="75">
        <f t="shared" si="70"/>
        <v>2.7223230490018149E-2</v>
      </c>
      <c r="H297" s="78">
        <f t="shared" si="66"/>
        <v>3.1368511796733212</v>
      </c>
      <c r="I297" s="75">
        <f t="shared" si="71"/>
        <v>1.9404230732192725E-2</v>
      </c>
      <c r="J297" s="79">
        <f t="shared" si="68"/>
        <v>72.12552563156035</v>
      </c>
      <c r="K297" s="79">
        <f t="shared" si="72"/>
        <v>43.491553818232589</v>
      </c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</row>
    <row r="298" spans="1:40" ht="14.25" customHeight="1">
      <c r="A298" s="7">
        <v>71104</v>
      </c>
      <c r="B298" s="8" t="s">
        <v>27</v>
      </c>
      <c r="C298" s="8" t="s">
        <v>383</v>
      </c>
      <c r="D298" s="8" t="s">
        <v>387</v>
      </c>
      <c r="E298" s="89">
        <v>21</v>
      </c>
      <c r="F298" s="90">
        <v>155</v>
      </c>
      <c r="G298" s="75">
        <f t="shared" si="70"/>
        <v>9.5281306715063515E-3</v>
      </c>
      <c r="H298" s="78">
        <f t="shared" si="66"/>
        <v>1.0978979128856623</v>
      </c>
      <c r="I298" s="75">
        <f t="shared" si="71"/>
        <v>2.4877218887426572E-3</v>
      </c>
      <c r="J298" s="79">
        <f t="shared" si="68"/>
        <v>9.2468622604564565</v>
      </c>
      <c r="K298" s="79">
        <f t="shared" si="72"/>
        <v>118.73194192377494</v>
      </c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</row>
    <row r="299" spans="1:40" ht="14.25" customHeight="1">
      <c r="A299" s="7">
        <v>71105</v>
      </c>
      <c r="B299" s="8" t="s">
        <v>27</v>
      </c>
      <c r="C299" s="8" t="s">
        <v>383</v>
      </c>
      <c r="D299" s="8" t="s">
        <v>388</v>
      </c>
      <c r="E299" s="89">
        <v>7</v>
      </c>
      <c r="F299" s="90">
        <v>216</v>
      </c>
      <c r="G299" s="75">
        <f t="shared" si="70"/>
        <v>3.1760435571687841E-3</v>
      </c>
      <c r="H299" s="78">
        <f t="shared" si="66"/>
        <v>0.36596597096188749</v>
      </c>
      <c r="I299" s="75">
        <f t="shared" si="71"/>
        <v>3.4667608256026706E-3</v>
      </c>
      <c r="J299" s="79">
        <f t="shared" si="68"/>
        <v>12.885949988765127</v>
      </c>
      <c r="K299" s="79">
        <f t="shared" si="72"/>
        <v>28.400387342878268</v>
      </c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</row>
    <row r="300" spans="1:40" ht="14.25" customHeight="1">
      <c r="A300" s="7">
        <v>71106</v>
      </c>
      <c r="B300" s="8" t="s">
        <v>27</v>
      </c>
      <c r="C300" s="8" t="s">
        <v>383</v>
      </c>
      <c r="D300" s="8" t="s">
        <v>389</v>
      </c>
      <c r="E300" s="89">
        <v>23</v>
      </c>
      <c r="F300" s="90">
        <v>581</v>
      </c>
      <c r="G300" s="75">
        <f>E300/$R$8</f>
        <v>1.0435571687840291E-2</v>
      </c>
      <c r="H300" s="78">
        <f>$S$23*G300</f>
        <v>1.2024596188747732</v>
      </c>
      <c r="I300" s="75">
        <f>F300/$S$8</f>
        <v>9.3249446281257024E-3</v>
      </c>
      <c r="J300" s="79">
        <f>I300*$U$23</f>
        <v>34.660819182743239</v>
      </c>
      <c r="K300" s="79">
        <f t="shared" si="72"/>
        <v>34.69218694846797</v>
      </c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</row>
    <row r="301" spans="1:40" ht="14.25" customHeight="1">
      <c r="A301" s="7">
        <v>71201</v>
      </c>
      <c r="B301" s="8" t="s">
        <v>27</v>
      </c>
      <c r="C301" s="8" t="s">
        <v>390</v>
      </c>
      <c r="D301" s="8" t="s">
        <v>391</v>
      </c>
      <c r="E301" s="89">
        <v>12</v>
      </c>
      <c r="F301" s="90">
        <v>356</v>
      </c>
      <c r="G301" s="75">
        <f t="shared" ref="G301:G309" si="73">E301/$R$8</f>
        <v>5.4446460980036296E-3</v>
      </c>
      <c r="H301" s="78">
        <f t="shared" si="66"/>
        <v>0.62737023593466423</v>
      </c>
      <c r="I301" s="75">
        <f t="shared" ref="I301:I309" si="74">F301/$S$8</f>
        <v>5.7137354347895864E-3</v>
      </c>
      <c r="J301" s="79">
        <f t="shared" si="68"/>
        <v>21.237954611112894</v>
      </c>
      <c r="K301" s="79">
        <f t="shared" si="72"/>
        <v>29.540049756316403</v>
      </c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</row>
    <row r="302" spans="1:40" ht="14.25" customHeight="1">
      <c r="A302" s="7">
        <v>71301</v>
      </c>
      <c r="B302" s="8" t="s">
        <v>27</v>
      </c>
      <c r="C302" s="8" t="s">
        <v>392</v>
      </c>
      <c r="D302" s="8" t="s">
        <v>393</v>
      </c>
      <c r="E302" s="89">
        <v>17</v>
      </c>
      <c r="F302" s="90">
        <v>448</v>
      </c>
      <c r="G302" s="75">
        <f t="shared" si="73"/>
        <v>7.7132486388384758E-3</v>
      </c>
      <c r="H302" s="78">
        <f t="shared" si="66"/>
        <v>0.88877450090744103</v>
      </c>
      <c r="I302" s="75">
        <f t="shared" si="74"/>
        <v>7.1903187493981315E-3</v>
      </c>
      <c r="J302" s="79">
        <f t="shared" si="68"/>
        <v>26.726414791512855</v>
      </c>
      <c r="K302" s="79">
        <f t="shared" si="72"/>
        <v>33.254535179543687</v>
      </c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</row>
    <row r="303" spans="1:40" ht="14.25" customHeight="1">
      <c r="A303" s="7">
        <v>71302</v>
      </c>
      <c r="B303" s="8" t="s">
        <v>27</v>
      </c>
      <c r="C303" s="8" t="s">
        <v>392</v>
      </c>
      <c r="D303" s="8" t="s">
        <v>394</v>
      </c>
      <c r="E303" s="89">
        <v>6</v>
      </c>
      <c r="F303" s="90">
        <v>175</v>
      </c>
      <c r="G303" s="75">
        <f t="shared" si="73"/>
        <v>2.7223230490018148E-3</v>
      </c>
      <c r="H303" s="78">
        <f t="shared" si="66"/>
        <v>0.31368511796733212</v>
      </c>
      <c r="I303" s="75">
        <f t="shared" si="74"/>
        <v>2.808718261483645E-3</v>
      </c>
      <c r="J303" s="79">
        <f t="shared" si="68"/>
        <v>10.440005777934708</v>
      </c>
      <c r="K303" s="79">
        <f t="shared" si="72"/>
        <v>30.04645060928183</v>
      </c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</row>
    <row r="304" spans="1:40" ht="14.25" customHeight="1">
      <c r="A304" s="7">
        <v>71401</v>
      </c>
      <c r="B304" s="8" t="s">
        <v>27</v>
      </c>
      <c r="C304" s="8" t="s">
        <v>395</v>
      </c>
      <c r="D304" s="8" t="s">
        <v>396</v>
      </c>
      <c r="E304" s="89">
        <v>9</v>
      </c>
      <c r="F304" s="90">
        <v>383</v>
      </c>
      <c r="G304" s="75">
        <f t="shared" si="73"/>
        <v>4.0834845735027219E-3</v>
      </c>
      <c r="H304" s="78">
        <f t="shared" si="66"/>
        <v>0.47052767695099817</v>
      </c>
      <c r="I304" s="75">
        <f t="shared" si="74"/>
        <v>6.1470805379899209E-3</v>
      </c>
      <c r="J304" s="79">
        <f t="shared" si="68"/>
        <v>22.848698359708536</v>
      </c>
      <c r="K304" s="79">
        <f t="shared" si="72"/>
        <v>20.593193955447724</v>
      </c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</row>
    <row r="305" spans="1:40" ht="14.25" customHeight="1">
      <c r="A305" s="7">
        <v>71402</v>
      </c>
      <c r="B305" s="8" t="s">
        <v>27</v>
      </c>
      <c r="C305" s="8" t="s">
        <v>395</v>
      </c>
      <c r="D305" s="8" t="s">
        <v>397</v>
      </c>
      <c r="E305" s="89">
        <v>17</v>
      </c>
      <c r="F305" s="90">
        <v>424</v>
      </c>
      <c r="G305" s="75">
        <f t="shared" si="73"/>
        <v>7.7132486388384758E-3</v>
      </c>
      <c r="H305" s="78">
        <f t="shared" si="66"/>
        <v>0.88877450090744103</v>
      </c>
      <c r="I305" s="75">
        <f t="shared" si="74"/>
        <v>6.805123102108946E-3</v>
      </c>
      <c r="J305" s="79">
        <f t="shared" si="68"/>
        <v>25.294642570538951</v>
      </c>
      <c r="K305" s="79">
        <f t="shared" si="72"/>
        <v>35.136867359517865</v>
      </c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</row>
    <row r="306" spans="1:40" ht="14.25" customHeight="1">
      <c r="A306" s="7">
        <v>71403</v>
      </c>
      <c r="B306" s="8" t="s">
        <v>27</v>
      </c>
      <c r="C306" s="8" t="s">
        <v>395</v>
      </c>
      <c r="D306" s="8" t="s">
        <v>398</v>
      </c>
      <c r="E306" s="89">
        <v>6</v>
      </c>
      <c r="F306" s="90">
        <v>131</v>
      </c>
      <c r="G306" s="75">
        <f t="shared" si="73"/>
        <v>2.7223230490018148E-3</v>
      </c>
      <c r="H306" s="78">
        <f t="shared" si="66"/>
        <v>0.31368511796733212</v>
      </c>
      <c r="I306" s="75">
        <f t="shared" si="74"/>
        <v>2.1025262414534718E-3</v>
      </c>
      <c r="J306" s="79">
        <f t="shared" si="68"/>
        <v>7.8150900394825547</v>
      </c>
      <c r="K306" s="79">
        <f t="shared" si="72"/>
        <v>40.13838821850625</v>
      </c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</row>
    <row r="307" spans="1:40" ht="14.25" customHeight="1">
      <c r="A307" s="7">
        <v>71501</v>
      </c>
      <c r="B307" s="8" t="s">
        <v>27</v>
      </c>
      <c r="C307" s="8" t="s">
        <v>399</v>
      </c>
      <c r="D307" s="8" t="s">
        <v>400</v>
      </c>
      <c r="E307" s="89">
        <v>27</v>
      </c>
      <c r="F307" s="90">
        <v>725</v>
      </c>
      <c r="G307" s="75">
        <f t="shared" si="73"/>
        <v>1.2250453720508167E-2</v>
      </c>
      <c r="H307" s="78">
        <f t="shared" si="66"/>
        <v>1.4115830308529946</v>
      </c>
      <c r="I307" s="75">
        <f t="shared" si="74"/>
        <v>1.1636118511860817E-2</v>
      </c>
      <c r="J307" s="79">
        <f t="shared" si="68"/>
        <v>43.251452508586652</v>
      </c>
      <c r="K307" s="79">
        <f t="shared" si="72"/>
        <v>32.636661868702674</v>
      </c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</row>
    <row r="308" spans="1:40" ht="14.25" customHeight="1">
      <c r="A308" s="7">
        <v>71502</v>
      </c>
      <c r="B308" s="8" t="s">
        <v>27</v>
      </c>
      <c r="C308" s="8" t="s">
        <v>399</v>
      </c>
      <c r="D308" s="8" t="s">
        <v>401</v>
      </c>
      <c r="E308" s="89">
        <v>10</v>
      </c>
      <c r="F308" s="90">
        <v>181</v>
      </c>
      <c r="G308" s="75">
        <f t="shared" si="73"/>
        <v>4.5372050816696917E-3</v>
      </c>
      <c r="H308" s="78">
        <f t="shared" si="66"/>
        <v>0.5228085299455536</v>
      </c>
      <c r="I308" s="75">
        <f t="shared" si="74"/>
        <v>2.9050171733059418E-3</v>
      </c>
      <c r="J308" s="79">
        <f t="shared" si="68"/>
        <v>10.797948833178186</v>
      </c>
      <c r="K308" s="79">
        <f t="shared" si="72"/>
        <v>48.41739278659594</v>
      </c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</row>
    <row r="309" spans="1:40" ht="14.25" customHeight="1">
      <c r="A309" s="7">
        <v>71503</v>
      </c>
      <c r="B309" s="8" t="s">
        <v>27</v>
      </c>
      <c r="C309" s="8" t="s">
        <v>399</v>
      </c>
      <c r="D309" s="8" t="s">
        <v>332</v>
      </c>
      <c r="E309" s="89">
        <v>16</v>
      </c>
      <c r="F309" s="90">
        <v>402</v>
      </c>
      <c r="G309" s="75">
        <f t="shared" si="73"/>
        <v>7.2595281306715061E-3</v>
      </c>
      <c r="H309" s="78">
        <f t="shared" si="66"/>
        <v>0.83649364791288561</v>
      </c>
      <c r="I309" s="75">
        <f t="shared" si="74"/>
        <v>6.4520270920938594E-3</v>
      </c>
      <c r="J309" s="79">
        <f t="shared" si="68"/>
        <v>23.982184701312875</v>
      </c>
      <c r="K309" s="79">
        <f t="shared" si="72"/>
        <v>34.879793410443249</v>
      </c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</row>
    <row r="310" spans="1:40" ht="14.25" customHeight="1">
      <c r="A310" s="7">
        <v>80101</v>
      </c>
      <c r="B310" s="8" t="s">
        <v>29</v>
      </c>
      <c r="C310" s="8" t="s">
        <v>164</v>
      </c>
      <c r="D310" s="8" t="s">
        <v>402</v>
      </c>
      <c r="E310" s="89">
        <v>113</v>
      </c>
      <c r="F310" s="90">
        <v>2690</v>
      </c>
      <c r="G310" s="75">
        <f>E310/$R$9</f>
        <v>0.15395095367847411</v>
      </c>
      <c r="H310" s="78">
        <f>$S$24*G310</f>
        <v>11.015190735694823</v>
      </c>
      <c r="I310" s="75">
        <f>F310/$S$9</f>
        <v>0.22368202228504905</v>
      </c>
      <c r="J310" s="79">
        <f>I310*$U$24</f>
        <v>320.08897388990516</v>
      </c>
      <c r="K310" s="79">
        <f t="shared" si="72"/>
        <v>34.412902768351856</v>
      </c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</row>
    <row r="311" spans="1:40" ht="14.25" customHeight="1">
      <c r="A311" s="7">
        <v>80102</v>
      </c>
      <c r="B311" s="8" t="s">
        <v>29</v>
      </c>
      <c r="C311" s="8" t="s">
        <v>164</v>
      </c>
      <c r="D311" s="8" t="s">
        <v>385</v>
      </c>
      <c r="E311" s="89">
        <v>10</v>
      </c>
      <c r="F311" s="90">
        <v>171</v>
      </c>
      <c r="G311" s="75">
        <f t="shared" ref="G311:G329" si="75">E311/$R$9</f>
        <v>1.3623978201634877E-2</v>
      </c>
      <c r="H311" s="78">
        <f t="shared" ref="H311:H329" si="76">$S$24*G311</f>
        <v>0.97479564032697541</v>
      </c>
      <c r="I311" s="75">
        <f t="shared" ref="I311:I329" si="77">F311/$S$9</f>
        <v>1.4219191751205722E-2</v>
      </c>
      <c r="J311" s="79">
        <f t="shared" ref="J311:J329" si="78">I311*$U$24</f>
        <v>20.347663395975388</v>
      </c>
      <c r="K311" s="79">
        <f t="shared" ref="K311:K329" si="79">1000*H311/J311</f>
        <v>47.907006389725446</v>
      </c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</row>
    <row r="312" spans="1:40" ht="14.25" customHeight="1">
      <c r="A312" s="7">
        <v>80201</v>
      </c>
      <c r="B312" s="8" t="s">
        <v>29</v>
      </c>
      <c r="C312" s="8" t="s">
        <v>403</v>
      </c>
      <c r="D312" s="8" t="s">
        <v>404</v>
      </c>
      <c r="E312" s="89">
        <v>229</v>
      </c>
      <c r="F312" s="90">
        <v>2939</v>
      </c>
      <c r="G312" s="75">
        <f t="shared" si="75"/>
        <v>0.31198910081743869</v>
      </c>
      <c r="H312" s="78">
        <f t="shared" si="76"/>
        <v>22.322820163487737</v>
      </c>
      <c r="I312" s="75">
        <f t="shared" si="77"/>
        <v>0.24438716115083986</v>
      </c>
      <c r="J312" s="79">
        <f t="shared" si="78"/>
        <v>349.71802760685182</v>
      </c>
      <c r="K312" s="79">
        <f t="shared" si="79"/>
        <v>63.830910623179953</v>
      </c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</row>
    <row r="313" spans="1:40" ht="14.25" customHeight="1">
      <c r="A313" s="7">
        <v>80202</v>
      </c>
      <c r="B313" s="8" t="s">
        <v>29</v>
      </c>
      <c r="C313" s="8" t="s">
        <v>403</v>
      </c>
      <c r="D313" s="8" t="s">
        <v>405</v>
      </c>
      <c r="E313" s="89">
        <v>59</v>
      </c>
      <c r="F313" s="90">
        <v>1203</v>
      </c>
      <c r="G313" s="75">
        <f t="shared" si="75"/>
        <v>8.038147138964577E-2</v>
      </c>
      <c r="H313" s="78">
        <f t="shared" si="76"/>
        <v>5.7512942779291549</v>
      </c>
      <c r="I313" s="75">
        <f t="shared" si="77"/>
        <v>0.10003326126725429</v>
      </c>
      <c r="J313" s="79">
        <f t="shared" si="78"/>
        <v>143.14759687344088</v>
      </c>
      <c r="K313" s="79">
        <f t="shared" si="79"/>
        <v>40.177372191682466</v>
      </c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</row>
    <row r="314" spans="1:40" ht="14.25" customHeight="1">
      <c r="A314" s="7">
        <v>80301</v>
      </c>
      <c r="B314" s="8" t="s">
        <v>29</v>
      </c>
      <c r="C314" s="8" t="s">
        <v>406</v>
      </c>
      <c r="D314" s="8" t="s">
        <v>407</v>
      </c>
      <c r="E314" s="89">
        <v>21</v>
      </c>
      <c r="F314" s="90">
        <v>325</v>
      </c>
      <c r="G314" s="75">
        <f t="shared" si="75"/>
        <v>2.8610354223433242E-2</v>
      </c>
      <c r="H314" s="78">
        <f t="shared" si="76"/>
        <v>2.0470708446866483</v>
      </c>
      <c r="I314" s="75">
        <f t="shared" si="77"/>
        <v>2.7024779644104439E-2</v>
      </c>
      <c r="J314" s="79">
        <f t="shared" si="78"/>
        <v>38.672459670713451</v>
      </c>
      <c r="K314" s="79">
        <f t="shared" si="79"/>
        <v>52.933556906308951</v>
      </c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</row>
    <row r="315" spans="1:40" ht="14.25" customHeight="1">
      <c r="A315" s="7">
        <v>80302</v>
      </c>
      <c r="B315" s="8" t="s">
        <v>29</v>
      </c>
      <c r="C315" s="8" t="s">
        <v>406</v>
      </c>
      <c r="D315" s="8" t="s">
        <v>408</v>
      </c>
      <c r="E315" s="89">
        <v>132</v>
      </c>
      <c r="F315" s="90">
        <v>1125</v>
      </c>
      <c r="G315" s="75">
        <f t="shared" si="75"/>
        <v>0.17983651226158037</v>
      </c>
      <c r="H315" s="78">
        <f t="shared" si="76"/>
        <v>12.867302452316075</v>
      </c>
      <c r="I315" s="75">
        <f t="shared" si="77"/>
        <v>9.3547314152669217E-2</v>
      </c>
      <c r="J315" s="79">
        <f t="shared" si="78"/>
        <v>133.86620655246966</v>
      </c>
      <c r="K315" s="79">
        <f t="shared" si="79"/>
        <v>96.120617620345115</v>
      </c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</row>
    <row r="316" spans="1:40" ht="14.25" customHeight="1">
      <c r="A316" s="7">
        <v>80303</v>
      </c>
      <c r="B316" s="8" t="s">
        <v>29</v>
      </c>
      <c r="C316" s="8" t="s">
        <v>406</v>
      </c>
      <c r="D316" s="8" t="s">
        <v>409</v>
      </c>
      <c r="E316" s="89">
        <v>11</v>
      </c>
      <c r="F316" s="90">
        <v>330</v>
      </c>
      <c r="G316" s="75">
        <f t="shared" si="75"/>
        <v>1.4986376021798364E-2</v>
      </c>
      <c r="H316" s="78">
        <f t="shared" si="76"/>
        <v>1.0722752043596728</v>
      </c>
      <c r="I316" s="75">
        <f t="shared" si="77"/>
        <v>2.7440545484782971E-2</v>
      </c>
      <c r="J316" s="79">
        <f t="shared" si="78"/>
        <v>39.267420588724434</v>
      </c>
      <c r="K316" s="79">
        <f t="shared" si="79"/>
        <v>27.3069936421435</v>
      </c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</row>
    <row r="317" spans="1:40" ht="14.25" customHeight="1">
      <c r="A317" s="7">
        <v>80304</v>
      </c>
      <c r="B317" s="8" t="s">
        <v>29</v>
      </c>
      <c r="C317" s="8" t="s">
        <v>406</v>
      </c>
      <c r="D317" s="8" t="s">
        <v>410</v>
      </c>
      <c r="E317" s="89">
        <v>32</v>
      </c>
      <c r="F317" s="90">
        <v>552</v>
      </c>
      <c r="G317" s="75">
        <f t="shared" si="75"/>
        <v>4.3596730245231606E-2</v>
      </c>
      <c r="H317" s="78">
        <f t="shared" si="76"/>
        <v>3.1193460490463214</v>
      </c>
      <c r="I317" s="75">
        <f t="shared" si="77"/>
        <v>4.5900548810909693E-2</v>
      </c>
      <c r="J317" s="79">
        <f t="shared" si="78"/>
        <v>65.683685348411771</v>
      </c>
      <c r="K317" s="79">
        <f t="shared" si="79"/>
        <v>47.490423725466968</v>
      </c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</row>
    <row r="318" spans="1:40" ht="14.25" customHeight="1">
      <c r="A318" s="7">
        <v>80401</v>
      </c>
      <c r="B318" s="8" t="s">
        <v>29</v>
      </c>
      <c r="C318" s="8" t="s">
        <v>411</v>
      </c>
      <c r="D318" s="8" t="s">
        <v>412</v>
      </c>
      <c r="E318" s="89">
        <v>32</v>
      </c>
      <c r="F318" s="90">
        <v>434</v>
      </c>
      <c r="G318" s="75">
        <f t="shared" si="75"/>
        <v>4.3596730245231606E-2</v>
      </c>
      <c r="H318" s="78">
        <f t="shared" si="76"/>
        <v>3.1193460490463214</v>
      </c>
      <c r="I318" s="75">
        <f t="shared" si="77"/>
        <v>3.6088474970896393E-2</v>
      </c>
      <c r="J318" s="79">
        <f t="shared" si="78"/>
        <v>51.642607683352736</v>
      </c>
      <c r="K318" s="79">
        <f t="shared" si="79"/>
        <v>60.402566581699915</v>
      </c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</row>
    <row r="319" spans="1:40" ht="14.25" customHeight="1">
      <c r="A319" s="7">
        <v>80402</v>
      </c>
      <c r="B319" s="8" t="s">
        <v>29</v>
      </c>
      <c r="C319" s="8" t="s">
        <v>411</v>
      </c>
      <c r="D319" s="8" t="s">
        <v>413</v>
      </c>
      <c r="E319" s="89">
        <v>4</v>
      </c>
      <c r="F319" s="90">
        <v>183</v>
      </c>
      <c r="G319" s="75">
        <f t="shared" si="75"/>
        <v>5.4495912806539508E-3</v>
      </c>
      <c r="H319" s="78">
        <f t="shared" si="76"/>
        <v>0.38991825613079018</v>
      </c>
      <c r="I319" s="75">
        <f t="shared" si="77"/>
        <v>1.5217029768834192E-2</v>
      </c>
      <c r="J319" s="79">
        <f t="shared" si="78"/>
        <v>21.775569599201731</v>
      </c>
      <c r="K319" s="79">
        <f t="shared" si="79"/>
        <v>17.906225339110492</v>
      </c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</row>
    <row r="320" spans="1:40" ht="14.25" customHeight="1">
      <c r="A320" s="7">
        <v>80501</v>
      </c>
      <c r="B320" s="8" t="s">
        <v>29</v>
      </c>
      <c r="C320" s="8" t="s">
        <v>414</v>
      </c>
      <c r="D320" s="8" t="s">
        <v>415</v>
      </c>
      <c r="E320" s="89">
        <v>43</v>
      </c>
      <c r="F320" s="90">
        <v>570</v>
      </c>
      <c r="G320" s="75">
        <f t="shared" si="75"/>
        <v>5.858310626702997E-2</v>
      </c>
      <c r="H320" s="78">
        <f t="shared" si="76"/>
        <v>4.1916212534059945</v>
      </c>
      <c r="I320" s="75">
        <f t="shared" si="77"/>
        <v>4.7397305837352403E-2</v>
      </c>
      <c r="J320" s="79">
        <f t="shared" si="78"/>
        <v>67.825544653251285</v>
      </c>
      <c r="K320" s="79">
        <f t="shared" si="79"/>
        <v>61.800038242745828</v>
      </c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</row>
    <row r="321" spans="1:40" ht="14.25" customHeight="1">
      <c r="A321" s="7">
        <v>80601</v>
      </c>
      <c r="B321" s="8" t="s">
        <v>29</v>
      </c>
      <c r="C321" s="8" t="s">
        <v>416</v>
      </c>
      <c r="D321" s="8" t="s">
        <v>417</v>
      </c>
      <c r="E321" s="89">
        <v>6</v>
      </c>
      <c r="F321" s="90">
        <v>128</v>
      </c>
      <c r="G321" s="75">
        <f t="shared" si="75"/>
        <v>8.1743869209809257E-3</v>
      </c>
      <c r="H321" s="78">
        <f t="shared" si="76"/>
        <v>0.58487738419618518</v>
      </c>
      <c r="I321" s="75">
        <f t="shared" si="77"/>
        <v>1.0643605521370364E-2</v>
      </c>
      <c r="J321" s="79">
        <f t="shared" si="78"/>
        <v>15.230999501080991</v>
      </c>
      <c r="K321" s="79">
        <f t="shared" si="79"/>
        <v>38.400459809264298</v>
      </c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</row>
    <row r="322" spans="1:40" ht="14.25" customHeight="1">
      <c r="A322" s="7">
        <v>80602</v>
      </c>
      <c r="B322" s="8" t="s">
        <v>29</v>
      </c>
      <c r="C322" s="8" t="s">
        <v>416</v>
      </c>
      <c r="D322" s="8" t="s">
        <v>418</v>
      </c>
      <c r="E322" s="89">
        <v>12</v>
      </c>
      <c r="F322" s="90">
        <v>356</v>
      </c>
      <c r="G322" s="75">
        <f t="shared" si="75"/>
        <v>1.6348773841961851E-2</v>
      </c>
      <c r="H322" s="78">
        <f t="shared" si="76"/>
        <v>1.1697547683923704</v>
      </c>
      <c r="I322" s="75">
        <f t="shared" si="77"/>
        <v>2.9602527856311324E-2</v>
      </c>
      <c r="J322" s="79">
        <f t="shared" si="78"/>
        <v>42.361217362381502</v>
      </c>
      <c r="K322" s="79">
        <f t="shared" si="79"/>
        <v>27.613813795426015</v>
      </c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</row>
    <row r="323" spans="1:40" ht="14.25" customHeight="1">
      <c r="A323" s="7">
        <v>80701</v>
      </c>
      <c r="B323" s="8" t="s">
        <v>29</v>
      </c>
      <c r="C323" s="8" t="s">
        <v>419</v>
      </c>
      <c r="D323" s="8" t="s">
        <v>420</v>
      </c>
      <c r="E323" s="89">
        <v>9</v>
      </c>
      <c r="F323" s="90">
        <v>172</v>
      </c>
      <c r="G323" s="75">
        <f t="shared" si="75"/>
        <v>1.226158038147139E-2</v>
      </c>
      <c r="H323" s="78">
        <f t="shared" si="76"/>
        <v>0.87731607629427799</v>
      </c>
      <c r="I323" s="75">
        <f t="shared" si="77"/>
        <v>1.4302344919341427E-2</v>
      </c>
      <c r="J323" s="79">
        <f t="shared" si="78"/>
        <v>20.466655579577584</v>
      </c>
      <c r="K323" s="79">
        <f t="shared" si="79"/>
        <v>42.865629554527594</v>
      </c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</row>
    <row r="324" spans="1:40" ht="14.25" customHeight="1">
      <c r="A324" s="7">
        <v>80702</v>
      </c>
      <c r="B324" s="8" t="s">
        <v>29</v>
      </c>
      <c r="C324" s="8" t="s">
        <v>419</v>
      </c>
      <c r="D324" s="8" t="s">
        <v>386</v>
      </c>
      <c r="E324" s="89">
        <v>3</v>
      </c>
      <c r="F324" s="90">
        <v>122</v>
      </c>
      <c r="G324" s="75">
        <f t="shared" si="75"/>
        <v>4.0871934604904629E-3</v>
      </c>
      <c r="H324" s="78">
        <f t="shared" si="76"/>
        <v>0.29243869209809259</v>
      </c>
      <c r="I324" s="75">
        <f t="shared" si="77"/>
        <v>1.0144686512556128E-2</v>
      </c>
      <c r="J324" s="79">
        <f t="shared" si="78"/>
        <v>14.517046399467819</v>
      </c>
      <c r="K324" s="79">
        <f t="shared" si="79"/>
        <v>20.144503506499305</v>
      </c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</row>
    <row r="325" spans="1:40" ht="14.25" customHeight="1">
      <c r="A325" s="7">
        <v>80703</v>
      </c>
      <c r="B325" s="8" t="s">
        <v>29</v>
      </c>
      <c r="C325" s="8" t="s">
        <v>419</v>
      </c>
      <c r="D325" s="8" t="s">
        <v>421</v>
      </c>
      <c r="E325" s="89">
        <v>3</v>
      </c>
      <c r="F325" s="90">
        <v>31</v>
      </c>
      <c r="G325" s="75">
        <f t="shared" si="75"/>
        <v>4.0871934604904629E-3</v>
      </c>
      <c r="H325" s="78">
        <f t="shared" si="76"/>
        <v>0.29243869209809259</v>
      </c>
      <c r="I325" s="75">
        <f t="shared" si="77"/>
        <v>2.5777482122068852E-3</v>
      </c>
      <c r="J325" s="79">
        <f t="shared" si="78"/>
        <v>3.6887576916680529</v>
      </c>
      <c r="K325" s="79">
        <f t="shared" si="79"/>
        <v>79.278368638481126</v>
      </c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</row>
    <row r="326" spans="1:40" ht="14.25" customHeight="1">
      <c r="A326" s="7">
        <v>80801</v>
      </c>
      <c r="B326" s="8" t="s">
        <v>29</v>
      </c>
      <c r="C326" s="8" t="s">
        <v>422</v>
      </c>
      <c r="D326" s="8" t="s">
        <v>423</v>
      </c>
      <c r="E326" s="89">
        <v>2</v>
      </c>
      <c r="F326" s="90">
        <v>299</v>
      </c>
      <c r="G326" s="75">
        <f t="shared" si="75"/>
        <v>2.7247956403269754E-3</v>
      </c>
      <c r="H326" s="78">
        <f t="shared" si="76"/>
        <v>0.19495912806539509</v>
      </c>
      <c r="I326" s="75">
        <f t="shared" si="77"/>
        <v>2.4862797272576086E-2</v>
      </c>
      <c r="J326" s="79">
        <f t="shared" si="78"/>
        <v>35.578662897056375</v>
      </c>
      <c r="K326" s="79">
        <f t="shared" si="79"/>
        <v>5.4796642760154191</v>
      </c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</row>
    <row r="327" spans="1:40" ht="14.25" customHeight="1">
      <c r="A327" s="7">
        <v>80802</v>
      </c>
      <c r="B327" s="8" t="s">
        <v>29</v>
      </c>
      <c r="C327" s="8" t="s">
        <v>422</v>
      </c>
      <c r="D327" s="8" t="s">
        <v>424</v>
      </c>
      <c r="E327" s="89">
        <v>4</v>
      </c>
      <c r="F327" s="90">
        <v>156</v>
      </c>
      <c r="G327" s="75">
        <f t="shared" si="75"/>
        <v>5.4495912806539508E-3</v>
      </c>
      <c r="H327" s="78">
        <f t="shared" si="76"/>
        <v>0.38991825613079018</v>
      </c>
      <c r="I327" s="75">
        <f t="shared" si="77"/>
        <v>1.2971894229170132E-2</v>
      </c>
      <c r="J327" s="79">
        <f t="shared" si="78"/>
        <v>18.56278064194246</v>
      </c>
      <c r="K327" s="79">
        <f t="shared" si="79"/>
        <v>21.005379724725771</v>
      </c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</row>
    <row r="328" spans="1:40" ht="14.25" customHeight="1">
      <c r="A328" s="7">
        <v>80803</v>
      </c>
      <c r="B328" s="8" t="s">
        <v>29</v>
      </c>
      <c r="C328" s="8" t="s">
        <v>422</v>
      </c>
      <c r="D328" s="8" t="s">
        <v>425</v>
      </c>
      <c r="E328" s="89">
        <v>4</v>
      </c>
      <c r="F328" s="90">
        <v>117</v>
      </c>
      <c r="G328" s="75">
        <f t="shared" si="75"/>
        <v>5.4495912806539508E-3</v>
      </c>
      <c r="H328" s="78">
        <f t="shared" si="76"/>
        <v>0.38991825613079018</v>
      </c>
      <c r="I328" s="75">
        <f t="shared" si="77"/>
        <v>9.728920671877599E-3</v>
      </c>
      <c r="J328" s="79">
        <f t="shared" si="78"/>
        <v>13.922085481456843</v>
      </c>
      <c r="K328" s="79">
        <f t="shared" si="79"/>
        <v>28.007172966301031</v>
      </c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</row>
    <row r="329" spans="1:40" ht="14.25" customHeight="1">
      <c r="A329" s="19">
        <v>80901</v>
      </c>
      <c r="B329" s="8" t="s">
        <v>29</v>
      </c>
      <c r="C329" s="8"/>
      <c r="D329" s="8" t="s">
        <v>426</v>
      </c>
      <c r="E329" s="89">
        <v>5</v>
      </c>
      <c r="F329" s="91">
        <v>123</v>
      </c>
      <c r="G329" s="75">
        <f t="shared" si="75"/>
        <v>6.8119891008174387E-3</v>
      </c>
      <c r="H329" s="78">
        <f t="shared" si="76"/>
        <v>0.4873978201634877</v>
      </c>
      <c r="I329" s="75">
        <f t="shared" si="77"/>
        <v>1.0227839680691835E-2</v>
      </c>
      <c r="J329" s="79">
        <f t="shared" si="78"/>
        <v>14.636038583070016</v>
      </c>
      <c r="K329" s="79">
        <f t="shared" si="79"/>
        <v>33.301211758711588</v>
      </c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</row>
    <row r="330" spans="1:40" ht="14.25" customHeight="1">
      <c r="A330" s="7">
        <v>90101</v>
      </c>
      <c r="B330" s="8" t="s">
        <v>31</v>
      </c>
      <c r="C330" s="8" t="s">
        <v>427</v>
      </c>
      <c r="D330" s="8" t="s">
        <v>428</v>
      </c>
      <c r="E330" s="89">
        <v>39</v>
      </c>
      <c r="F330" s="90">
        <v>1353</v>
      </c>
      <c r="G330" s="75">
        <f>E330/$R$10</f>
        <v>0.42857142857142855</v>
      </c>
      <c r="H330" s="78">
        <f>$S$25*G330</f>
        <v>2.5032857142857141</v>
      </c>
      <c r="I330" s="75">
        <f>F330/$S$10</f>
        <v>0.3974735605170388</v>
      </c>
      <c r="J330" s="79">
        <f>I330*$U$25</f>
        <v>39.34988249118684</v>
      </c>
      <c r="K330" s="79">
        <f t="shared" ref="K330" si="80">1000*H330/J330</f>
        <v>63.61609122584732</v>
      </c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</row>
    <row r="331" spans="1:40" ht="14.25" customHeight="1">
      <c r="A331" s="7">
        <v>90102</v>
      </c>
      <c r="B331" s="8" t="s">
        <v>31</v>
      </c>
      <c r="C331" s="8" t="s">
        <v>427</v>
      </c>
      <c r="D331" s="8" t="s">
        <v>429</v>
      </c>
      <c r="E331" s="89">
        <v>4</v>
      </c>
      <c r="F331" s="90">
        <v>201</v>
      </c>
      <c r="G331" s="75">
        <f t="shared" ref="G331:G344" si="81">E331/$R$10</f>
        <v>4.3956043956043959E-2</v>
      </c>
      <c r="H331" s="78">
        <f t="shared" ref="H331:H344" si="82">$S$25*G331</f>
        <v>0.2567472527472528</v>
      </c>
      <c r="I331" s="75">
        <f t="shared" ref="I331:I344" si="83">F331/$S$10</f>
        <v>5.9048178613396007E-2</v>
      </c>
      <c r="J331" s="79">
        <f t="shared" ref="J331:J344" si="84">I331*$U$25</f>
        <v>5.8457696827262051</v>
      </c>
      <c r="K331" s="79">
        <f t="shared" ref="K331:K344" si="85">1000*H331/J331</f>
        <v>43.920179323164398</v>
      </c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</row>
    <row r="332" spans="1:40" ht="14.25" customHeight="1">
      <c r="A332" s="7">
        <v>90103</v>
      </c>
      <c r="B332" s="8" t="s">
        <v>31</v>
      </c>
      <c r="C332" s="8" t="s">
        <v>427</v>
      </c>
      <c r="D332" s="8" t="s">
        <v>430</v>
      </c>
      <c r="E332" s="89">
        <v>0</v>
      </c>
      <c r="F332" s="90">
        <v>74</v>
      </c>
      <c r="G332" s="75">
        <f t="shared" si="81"/>
        <v>0</v>
      </c>
      <c r="H332" s="78">
        <f t="shared" si="82"/>
        <v>0</v>
      </c>
      <c r="I332" s="75">
        <f t="shared" si="83"/>
        <v>2.1739130434782608E-2</v>
      </c>
      <c r="J332" s="79">
        <f t="shared" si="84"/>
        <v>2.152173913043478</v>
      </c>
      <c r="K332" s="79">
        <f t="shared" si="85"/>
        <v>0</v>
      </c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</row>
    <row r="333" spans="1:40" ht="14.25" customHeight="1">
      <c r="A333" s="7">
        <v>90104</v>
      </c>
      <c r="B333" s="8" t="s">
        <v>31</v>
      </c>
      <c r="C333" s="8" t="s">
        <v>427</v>
      </c>
      <c r="D333" s="8" t="s">
        <v>431</v>
      </c>
      <c r="E333" s="89">
        <v>2</v>
      </c>
      <c r="F333" s="90">
        <v>115</v>
      </c>
      <c r="G333" s="75">
        <f t="shared" si="81"/>
        <v>2.197802197802198E-2</v>
      </c>
      <c r="H333" s="78">
        <f t="shared" si="82"/>
        <v>0.1283736263736264</v>
      </c>
      <c r="I333" s="75">
        <f t="shared" si="83"/>
        <v>3.3783783783783786E-2</v>
      </c>
      <c r="J333" s="79">
        <f t="shared" si="84"/>
        <v>3.3445945945945947</v>
      </c>
      <c r="K333" s="79">
        <f t="shared" si="85"/>
        <v>38.382417582417588</v>
      </c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</row>
    <row r="334" spans="1:40" ht="14.25" customHeight="1">
      <c r="A334" s="7">
        <v>90201</v>
      </c>
      <c r="B334" s="8" t="s">
        <v>31</v>
      </c>
      <c r="C334" s="8" t="s">
        <v>432</v>
      </c>
      <c r="D334" s="8" t="s">
        <v>433</v>
      </c>
      <c r="E334" s="89">
        <v>5</v>
      </c>
      <c r="F334" s="90">
        <v>213</v>
      </c>
      <c r="G334" s="75">
        <f t="shared" si="81"/>
        <v>5.4945054945054944E-2</v>
      </c>
      <c r="H334" s="78">
        <f t="shared" si="82"/>
        <v>0.32093406593406593</v>
      </c>
      <c r="I334" s="75">
        <f t="shared" si="83"/>
        <v>6.2573443008225621E-2</v>
      </c>
      <c r="J334" s="79">
        <f t="shared" si="84"/>
        <v>6.1947708578143361</v>
      </c>
      <c r="K334" s="79">
        <f t="shared" si="85"/>
        <v>51.80725377908476</v>
      </c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</row>
    <row r="335" spans="1:40" ht="14.25" customHeight="1">
      <c r="A335" s="7">
        <v>90202</v>
      </c>
      <c r="B335" s="8" t="s">
        <v>31</v>
      </c>
      <c r="C335" s="8" t="s">
        <v>432</v>
      </c>
      <c r="D335" s="8" t="s">
        <v>382</v>
      </c>
      <c r="E335" s="89">
        <v>4</v>
      </c>
      <c r="F335" s="90">
        <v>68</v>
      </c>
      <c r="G335" s="75">
        <f t="shared" si="81"/>
        <v>4.3956043956043959E-2</v>
      </c>
      <c r="H335" s="78">
        <f t="shared" si="82"/>
        <v>0.2567472527472528</v>
      </c>
      <c r="I335" s="75">
        <f t="shared" si="83"/>
        <v>1.9976498237367801E-2</v>
      </c>
      <c r="J335" s="79">
        <f t="shared" si="84"/>
        <v>1.9776733254994123</v>
      </c>
      <c r="K335" s="79">
        <f t="shared" si="85"/>
        <v>129.82288299935362</v>
      </c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</row>
    <row r="336" spans="1:40" ht="14.25" customHeight="1">
      <c r="A336" s="7">
        <v>90203</v>
      </c>
      <c r="B336" s="8" t="s">
        <v>31</v>
      </c>
      <c r="C336" s="8" t="s">
        <v>432</v>
      </c>
      <c r="D336" s="8" t="s">
        <v>434</v>
      </c>
      <c r="E336" s="89">
        <v>6</v>
      </c>
      <c r="F336" s="90">
        <v>214</v>
      </c>
      <c r="G336" s="75">
        <f t="shared" si="81"/>
        <v>6.5934065934065936E-2</v>
      </c>
      <c r="H336" s="78">
        <f t="shared" si="82"/>
        <v>0.38512087912087917</v>
      </c>
      <c r="I336" s="75">
        <f t="shared" si="83"/>
        <v>6.2867215041128091E-2</v>
      </c>
      <c r="J336" s="79">
        <f t="shared" si="84"/>
        <v>6.2238542890716806</v>
      </c>
      <c r="K336" s="79">
        <f t="shared" si="85"/>
        <v>61.878196569785359</v>
      </c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</row>
    <row r="337" spans="1:40" ht="14.25" customHeight="1">
      <c r="A337" s="7">
        <v>90301</v>
      </c>
      <c r="B337" s="8" t="s">
        <v>31</v>
      </c>
      <c r="C337" s="8" t="s">
        <v>435</v>
      </c>
      <c r="D337" s="8" t="s">
        <v>436</v>
      </c>
      <c r="E337" s="89">
        <v>2</v>
      </c>
      <c r="F337" s="90">
        <v>218</v>
      </c>
      <c r="G337" s="75">
        <f t="shared" si="81"/>
        <v>2.197802197802198E-2</v>
      </c>
      <c r="H337" s="78">
        <f t="shared" si="82"/>
        <v>0.1283736263736264</v>
      </c>
      <c r="I337" s="75">
        <f t="shared" si="83"/>
        <v>6.4042303172737958E-2</v>
      </c>
      <c r="J337" s="79">
        <f t="shared" si="84"/>
        <v>6.3401880141010576</v>
      </c>
      <c r="K337" s="79">
        <f t="shared" si="85"/>
        <v>20.247605605403773</v>
      </c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</row>
    <row r="338" spans="1:40" ht="14.25" customHeight="1">
      <c r="A338" s="7">
        <v>90302</v>
      </c>
      <c r="B338" s="8" t="s">
        <v>31</v>
      </c>
      <c r="C338" s="8" t="s">
        <v>435</v>
      </c>
      <c r="D338" s="8" t="s">
        <v>437</v>
      </c>
      <c r="E338" s="89">
        <v>4</v>
      </c>
      <c r="F338" s="90">
        <v>286</v>
      </c>
      <c r="G338" s="75">
        <f t="shared" si="81"/>
        <v>4.3956043956043959E-2</v>
      </c>
      <c r="H338" s="78">
        <f t="shared" si="82"/>
        <v>0.2567472527472528</v>
      </c>
      <c r="I338" s="75">
        <f t="shared" si="83"/>
        <v>8.4018801410105759E-2</v>
      </c>
      <c r="J338" s="79">
        <f t="shared" si="84"/>
        <v>8.3178613396004693</v>
      </c>
      <c r="K338" s="79">
        <f t="shared" si="85"/>
        <v>30.866979174671489</v>
      </c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</row>
    <row r="339" spans="1:40" ht="14.25" customHeight="1">
      <c r="A339" s="7">
        <v>90303</v>
      </c>
      <c r="B339" s="8" t="s">
        <v>31</v>
      </c>
      <c r="C339" s="8" t="s">
        <v>435</v>
      </c>
      <c r="D339" s="8" t="s">
        <v>438</v>
      </c>
      <c r="E339" s="89">
        <v>10</v>
      </c>
      <c r="F339" s="90">
        <v>312</v>
      </c>
      <c r="G339" s="75">
        <f t="shared" si="81"/>
        <v>0.10989010989010989</v>
      </c>
      <c r="H339" s="78">
        <f t="shared" si="82"/>
        <v>0.64186813186813185</v>
      </c>
      <c r="I339" s="75">
        <f t="shared" si="83"/>
        <v>9.1656874265569913E-2</v>
      </c>
      <c r="J339" s="79">
        <f t="shared" si="84"/>
        <v>9.074030552291422</v>
      </c>
      <c r="K339" s="79">
        <f t="shared" si="85"/>
        <v>70.736827275288817</v>
      </c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</row>
    <row r="340" spans="1:40" ht="14.25" customHeight="1">
      <c r="A340" s="7">
        <v>90401</v>
      </c>
      <c r="B340" s="8" t="s">
        <v>31</v>
      </c>
      <c r="C340" s="8" t="s">
        <v>439</v>
      </c>
      <c r="D340" s="8" t="s">
        <v>440</v>
      </c>
      <c r="E340" s="89">
        <v>2</v>
      </c>
      <c r="F340" s="90">
        <v>72</v>
      </c>
      <c r="G340" s="75">
        <f t="shared" si="81"/>
        <v>2.197802197802198E-2</v>
      </c>
      <c r="H340" s="78">
        <f t="shared" si="82"/>
        <v>0.1283736263736264</v>
      </c>
      <c r="I340" s="75">
        <f t="shared" si="83"/>
        <v>2.1151586368977675E-2</v>
      </c>
      <c r="J340" s="79">
        <f t="shared" si="84"/>
        <v>2.09400705052879</v>
      </c>
      <c r="K340" s="79">
        <f t="shared" si="85"/>
        <v>61.305250305250304</v>
      </c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</row>
    <row r="341" spans="1:40" ht="14.25" customHeight="1">
      <c r="A341" s="7">
        <v>90402</v>
      </c>
      <c r="B341" s="8" t="s">
        <v>31</v>
      </c>
      <c r="C341" s="8" t="s">
        <v>439</v>
      </c>
      <c r="D341" s="8" t="s">
        <v>102</v>
      </c>
      <c r="E341" s="89">
        <v>3</v>
      </c>
      <c r="F341" s="90">
        <v>51</v>
      </c>
      <c r="G341" s="75">
        <f t="shared" si="81"/>
        <v>3.2967032967032968E-2</v>
      </c>
      <c r="H341" s="78">
        <f t="shared" si="82"/>
        <v>0.19256043956043958</v>
      </c>
      <c r="I341" s="75">
        <f t="shared" si="83"/>
        <v>1.4982373678025853E-2</v>
      </c>
      <c r="J341" s="79">
        <f t="shared" si="84"/>
        <v>1.4832549941245594</v>
      </c>
      <c r="K341" s="79">
        <f t="shared" si="85"/>
        <v>129.8228829993536</v>
      </c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</row>
    <row r="342" spans="1:40" ht="14.25" customHeight="1">
      <c r="A342" s="7">
        <v>90501</v>
      </c>
      <c r="B342" s="8" t="s">
        <v>31</v>
      </c>
      <c r="C342" s="8" t="s">
        <v>441</v>
      </c>
      <c r="D342" s="8" t="s">
        <v>442</v>
      </c>
      <c r="E342" s="89">
        <v>2</v>
      </c>
      <c r="F342" s="90">
        <v>57</v>
      </c>
      <c r="G342" s="75">
        <f t="shared" si="81"/>
        <v>2.197802197802198E-2</v>
      </c>
      <c r="H342" s="78">
        <f t="shared" si="82"/>
        <v>0.1283736263736264</v>
      </c>
      <c r="I342" s="75">
        <f t="shared" si="83"/>
        <v>1.6745005875440658E-2</v>
      </c>
      <c r="J342" s="79">
        <f t="shared" si="84"/>
        <v>1.6577555816686251</v>
      </c>
      <c r="K342" s="79">
        <f t="shared" si="85"/>
        <v>77.43821091189514</v>
      </c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</row>
    <row r="343" spans="1:40" ht="14.25" customHeight="1">
      <c r="A343" s="7">
        <v>90502</v>
      </c>
      <c r="B343" s="8" t="s">
        <v>31</v>
      </c>
      <c r="C343" s="8" t="s">
        <v>441</v>
      </c>
      <c r="D343" s="8" t="s">
        <v>443</v>
      </c>
      <c r="E343" s="89">
        <v>2</v>
      </c>
      <c r="F343" s="90">
        <v>92</v>
      </c>
      <c r="G343" s="75">
        <f t="shared" si="81"/>
        <v>2.197802197802198E-2</v>
      </c>
      <c r="H343" s="78">
        <f t="shared" si="82"/>
        <v>0.1283736263736264</v>
      </c>
      <c r="I343" s="75">
        <f t="shared" si="83"/>
        <v>2.7027027027027029E-2</v>
      </c>
      <c r="J343" s="79">
        <f t="shared" si="84"/>
        <v>2.6756756756756759</v>
      </c>
      <c r="K343" s="79">
        <f t="shared" si="85"/>
        <v>47.978021978021985</v>
      </c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</row>
    <row r="344" spans="1:40" ht="14.25" customHeight="1">
      <c r="A344" s="7">
        <v>90503</v>
      </c>
      <c r="B344" s="8" t="s">
        <v>31</v>
      </c>
      <c r="C344" s="8" t="s">
        <v>441</v>
      </c>
      <c r="D344" s="8" t="s">
        <v>444</v>
      </c>
      <c r="E344" s="92">
        <v>6</v>
      </c>
      <c r="F344" s="93">
        <v>78</v>
      </c>
      <c r="G344" s="75">
        <f t="shared" si="81"/>
        <v>6.5934065934065936E-2</v>
      </c>
      <c r="H344" s="78">
        <f t="shared" si="82"/>
        <v>0.38512087912087917</v>
      </c>
      <c r="I344" s="75">
        <f t="shared" si="83"/>
        <v>2.2914218566392478E-2</v>
      </c>
      <c r="J344" s="79">
        <f t="shared" si="84"/>
        <v>2.2685076380728555</v>
      </c>
      <c r="K344" s="79">
        <f t="shared" si="85"/>
        <v>169.76838546069317</v>
      </c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</row>
    <row r="345" spans="1:40" ht="14.25" customHeight="1"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</row>
    <row r="346" spans="1:40" ht="14.25" customHeight="1"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</row>
    <row r="347" spans="1:40" ht="14.25" customHeight="1"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</row>
    <row r="348" spans="1:40" ht="14.25" customHeight="1"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</row>
    <row r="349" spans="1:40" ht="14.25" customHeight="1"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</row>
    <row r="350" spans="1:40" ht="14.25" customHeight="1"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</row>
    <row r="351" spans="1:40" ht="14.25" customHeight="1"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</row>
    <row r="352" spans="1:40" ht="14.25" customHeight="1"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</row>
    <row r="353" spans="4:34" ht="14.25" customHeight="1"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</row>
    <row r="354" spans="4:34" ht="14.25" customHeight="1"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</row>
    <row r="355" spans="4:34" ht="14.25" customHeight="1"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</row>
    <row r="356" spans="4:34" ht="14.25" customHeight="1"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</row>
    <row r="357" spans="4:34" ht="14.25" customHeight="1"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</row>
    <row r="358" spans="4:34" ht="14.25" customHeight="1"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</row>
    <row r="359" spans="4:34" ht="14.25" customHeight="1"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</row>
    <row r="360" spans="4:34" ht="14.25" customHeight="1"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</row>
    <row r="361" spans="4:34" ht="14.25" customHeight="1"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</row>
    <row r="362" spans="4:34" ht="14.25" customHeight="1"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</row>
    <row r="363" spans="4:34" ht="14.25" customHeight="1"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</row>
    <row r="364" spans="4:34" ht="14.25" customHeight="1"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</row>
    <row r="365" spans="4:34" ht="14.25" customHeight="1"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</row>
    <row r="366" spans="4:34" ht="14.25" customHeight="1"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</row>
    <row r="367" spans="4:34" ht="14.25" customHeight="1"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</row>
    <row r="368" spans="4:34" ht="14.25" customHeight="1"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</row>
    <row r="369" spans="4:34" ht="14.25" customHeight="1"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</row>
    <row r="370" spans="4:34" ht="14.25" customHeight="1"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</row>
    <row r="371" spans="4:34" ht="14.25" customHeight="1"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</row>
    <row r="372" spans="4:34" ht="14.25" customHeight="1"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</row>
    <row r="373" spans="4:34" ht="14.25" customHeight="1"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</row>
    <row r="374" spans="4:34" ht="14.25" customHeight="1"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</row>
    <row r="375" spans="4:34" ht="14.25" customHeight="1"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</row>
    <row r="376" spans="4:34" ht="14.25" customHeight="1"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</row>
    <row r="377" spans="4:34" ht="14.25" customHeight="1"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</row>
    <row r="378" spans="4:34" ht="14.25" customHeight="1"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</row>
    <row r="379" spans="4:34" ht="14.25" customHeight="1"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</row>
    <row r="380" spans="4:34" ht="14.25" customHeight="1"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</row>
    <row r="381" spans="4:34" ht="14.25" customHeight="1"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</row>
    <row r="382" spans="4:34" ht="14.25" customHeight="1"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</row>
    <row r="383" spans="4:34" ht="14.25" customHeight="1"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</row>
    <row r="384" spans="4:34" ht="14.25" customHeight="1"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</row>
    <row r="385" spans="4:34" ht="14.25" customHeight="1"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</row>
    <row r="386" spans="4:34" ht="14.25" customHeight="1"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</row>
    <row r="387" spans="4:34" ht="14.25" customHeight="1"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</row>
    <row r="388" spans="4:34" ht="14.25" customHeight="1"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</row>
    <row r="389" spans="4:34" ht="14.25" customHeight="1"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</row>
    <row r="390" spans="4:34" ht="14.25" customHeight="1"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</row>
    <row r="391" spans="4:34" ht="14.25" customHeight="1"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</row>
    <row r="392" spans="4:34" ht="14.25" customHeight="1"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</row>
    <row r="393" spans="4:34" ht="14.25" customHeight="1"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</row>
    <row r="394" spans="4:34" ht="14.25" customHeight="1"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</row>
    <row r="395" spans="4:34" ht="14.25" customHeight="1"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</row>
    <row r="396" spans="4:34" ht="14.25" customHeight="1"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</row>
    <row r="397" spans="4:34" ht="14.25" customHeight="1"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</row>
    <row r="398" spans="4:34" ht="14.25" customHeight="1"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</row>
    <row r="399" spans="4:34" ht="14.25" customHeight="1"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</row>
    <row r="400" spans="4:34" ht="14.25" customHeight="1"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</row>
    <row r="401" spans="4:34" ht="14.25" customHeight="1"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</row>
    <row r="402" spans="4:34" ht="14.25" customHeight="1"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</row>
    <row r="403" spans="4:34" ht="14.25" customHeight="1"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</row>
    <row r="404" spans="4:34" ht="14.25" customHeight="1"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</row>
    <row r="405" spans="4:34" ht="14.25" customHeight="1"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</row>
    <row r="406" spans="4:34" ht="14.25" customHeight="1"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</row>
    <row r="407" spans="4:34" ht="14.25" customHeight="1"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</row>
    <row r="408" spans="4:34" ht="14.25" customHeight="1"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</row>
    <row r="409" spans="4:34" ht="14.25" customHeight="1"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</row>
    <row r="410" spans="4:34" ht="14.25" customHeight="1"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</row>
    <row r="411" spans="4:34" ht="14.25" customHeight="1"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</row>
    <row r="412" spans="4:34" ht="14.25" customHeight="1"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</row>
    <row r="413" spans="4:34" ht="14.25" customHeight="1"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</row>
    <row r="414" spans="4:34" ht="14.25" customHeight="1"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</row>
    <row r="415" spans="4:34" ht="14.25" customHeight="1"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</row>
    <row r="416" spans="4:34" ht="14.25" customHeight="1"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</row>
    <row r="417" spans="4:34" ht="14.25" customHeight="1"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</row>
    <row r="418" spans="4:34" ht="14.25" customHeight="1"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</row>
    <row r="419" spans="4:34" ht="14.25" customHeight="1"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</row>
    <row r="420" spans="4:34" ht="14.25" customHeight="1"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</row>
    <row r="421" spans="4:34" ht="14.25" customHeight="1"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</row>
    <row r="422" spans="4:34" ht="14.25" customHeight="1"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</row>
    <row r="423" spans="4:34" ht="14.25" customHeight="1"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</row>
    <row r="424" spans="4:34" ht="14.25" customHeight="1"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</row>
    <row r="425" spans="4:34" ht="14.25" customHeight="1"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</row>
    <row r="426" spans="4:34" ht="14.25" customHeight="1"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</row>
    <row r="427" spans="4:34" ht="14.25" customHeight="1"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</row>
    <row r="428" spans="4:34" ht="14.25" customHeight="1"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</row>
    <row r="429" spans="4:34" ht="14.25" customHeight="1"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</row>
    <row r="430" spans="4:34" ht="14.25" customHeight="1"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</row>
    <row r="431" spans="4:34" ht="14.25" customHeight="1"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</row>
    <row r="432" spans="4:34" ht="14.25" customHeight="1"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</row>
    <row r="433" spans="4:34" ht="14.25" customHeight="1"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</row>
    <row r="434" spans="4:34" ht="14.25" customHeight="1"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</row>
    <row r="435" spans="4:34" ht="14.25" customHeight="1"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</row>
    <row r="436" spans="4:34" ht="14.25" customHeight="1"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</row>
    <row r="437" spans="4:34" ht="14.25" customHeight="1"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</row>
    <row r="438" spans="4:34" ht="14.25" customHeight="1"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</row>
    <row r="439" spans="4:34" ht="14.25" customHeight="1"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</row>
    <row r="440" spans="4:34" ht="14.25" customHeight="1"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</row>
    <row r="441" spans="4:34" ht="14.25" customHeight="1"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</row>
    <row r="442" spans="4:34" ht="14.25" customHeight="1"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</row>
    <row r="443" spans="4:34" ht="14.25" customHeight="1"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</row>
    <row r="444" spans="4:34" ht="14.25" customHeight="1"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</row>
    <row r="445" spans="4:34" ht="14.25" customHeight="1"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</row>
    <row r="446" spans="4:34" ht="14.25" customHeight="1"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</row>
    <row r="447" spans="4:34" ht="14.25" customHeight="1"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</row>
    <row r="448" spans="4:34" ht="14.25" customHeight="1"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</row>
    <row r="449" spans="4:34" ht="14.25" customHeight="1"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</row>
    <row r="450" spans="4:34" ht="14.25" customHeight="1"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</row>
    <row r="451" spans="4:34" ht="14.25" customHeight="1"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</row>
    <row r="452" spans="4:34" ht="14.25" customHeight="1"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</row>
    <row r="453" spans="4:34" ht="14.25" customHeight="1"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</row>
    <row r="454" spans="4:34" ht="14.25" customHeight="1"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</row>
    <row r="455" spans="4:34" ht="14.25" customHeight="1"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</row>
    <row r="456" spans="4:34" ht="14.25" customHeight="1"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</row>
    <row r="457" spans="4:34" ht="14.25" customHeight="1"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</row>
    <row r="458" spans="4:34" ht="14.25" customHeight="1"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</row>
    <row r="459" spans="4:34" ht="14.25" customHeight="1"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</row>
    <row r="460" spans="4:34" ht="14.25" customHeight="1"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</row>
    <row r="461" spans="4:34" ht="14.25" customHeight="1"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</row>
    <row r="462" spans="4:34" ht="14.25" customHeight="1"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</row>
    <row r="463" spans="4:34" ht="14.25" customHeight="1"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</row>
    <row r="464" spans="4:34" ht="14.25" customHeight="1"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</row>
    <row r="465" spans="4:34" ht="14.25" customHeight="1"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</row>
    <row r="466" spans="4:34" ht="14.25" customHeight="1"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</row>
    <row r="467" spans="4:34" ht="14.25" customHeight="1"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</row>
    <row r="468" spans="4:34" ht="14.25" customHeight="1"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</row>
    <row r="469" spans="4:34" ht="14.25" customHeight="1"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</row>
    <row r="470" spans="4:34" ht="14.25" customHeight="1"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</row>
    <row r="471" spans="4:34" ht="14.25" customHeight="1"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</row>
    <row r="472" spans="4:34" ht="14.25" customHeight="1"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</row>
    <row r="473" spans="4:34" ht="14.25" customHeight="1"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</row>
    <row r="474" spans="4:34" ht="14.25" customHeight="1"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</row>
    <row r="475" spans="4:34" ht="14.25" customHeight="1"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</row>
    <row r="476" spans="4:34" ht="14.25" customHeight="1"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</row>
    <row r="477" spans="4:34" ht="14.25" customHeight="1"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</row>
    <row r="478" spans="4:34" ht="14.25" customHeight="1"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</row>
    <row r="479" spans="4:34" ht="14.25" customHeight="1"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</row>
    <row r="480" spans="4:34" ht="14.25" customHeight="1"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</row>
    <row r="481" spans="4:34" ht="14.25" customHeight="1"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</row>
    <row r="482" spans="4:34" ht="14.25" customHeight="1"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</row>
    <row r="483" spans="4:34" ht="14.25" customHeight="1"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</row>
    <row r="484" spans="4:34" ht="14.25" customHeight="1"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</row>
    <row r="485" spans="4:34" ht="14.25" customHeight="1"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</row>
    <row r="486" spans="4:34" ht="14.25" customHeight="1"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</row>
    <row r="487" spans="4:34" ht="14.25" customHeight="1"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</row>
    <row r="488" spans="4:34" ht="14.25" customHeight="1"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</row>
    <row r="489" spans="4:34" ht="14.25" customHeight="1"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</row>
    <row r="490" spans="4:34" ht="14.25" customHeight="1"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</row>
    <row r="491" spans="4:34" ht="14.25" customHeight="1"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</row>
    <row r="492" spans="4:34" ht="14.25" customHeight="1"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</row>
    <row r="493" spans="4:34" ht="14.25" customHeight="1"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</row>
    <row r="494" spans="4:34" ht="14.25" customHeight="1"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</row>
    <row r="495" spans="4:34" ht="14.25" customHeight="1"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</row>
    <row r="496" spans="4:34" ht="14.25" customHeight="1"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</row>
    <row r="497" spans="4:34" ht="14.25" customHeight="1"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</row>
    <row r="498" spans="4:34" ht="14.25" customHeight="1"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</row>
    <row r="499" spans="4:34" ht="14.25" customHeight="1"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</row>
    <row r="500" spans="4:34" ht="14.25" customHeight="1"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</row>
    <row r="501" spans="4:34" ht="14.25" customHeight="1"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</row>
    <row r="502" spans="4:34" ht="14.25" customHeight="1"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</row>
    <row r="503" spans="4:34" ht="14.25" customHeight="1"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</row>
    <row r="504" spans="4:34" ht="14.25" customHeight="1"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</row>
    <row r="505" spans="4:34" ht="14.25" customHeight="1"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</row>
    <row r="506" spans="4:34" ht="14.25" customHeight="1"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</row>
    <row r="507" spans="4:34" ht="14.25" customHeight="1"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</row>
    <row r="508" spans="4:34" ht="14.25" customHeight="1"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</row>
    <row r="509" spans="4:34" ht="14.25" customHeight="1"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</row>
    <row r="510" spans="4:34" ht="14.25" customHeight="1"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</row>
    <row r="511" spans="4:34" ht="14.25" customHeight="1"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</row>
    <row r="512" spans="4:34" ht="14.25" customHeight="1"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</row>
    <row r="513" spans="4:34" ht="14.25" customHeight="1"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</row>
    <row r="514" spans="4:34" ht="14.25" customHeight="1"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</row>
    <row r="515" spans="4:34" ht="14.25" customHeight="1"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</row>
    <row r="516" spans="4:34" ht="14.25" customHeight="1"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</row>
    <row r="517" spans="4:34" ht="14.25" customHeight="1"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</row>
    <row r="518" spans="4:34" ht="14.25" customHeight="1"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</row>
    <row r="519" spans="4:34" ht="14.25" customHeight="1"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</row>
    <row r="520" spans="4:34" ht="14.25" customHeight="1"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</row>
    <row r="521" spans="4:34" ht="14.25" customHeight="1"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</row>
    <row r="522" spans="4:34" ht="14.25" customHeight="1"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</row>
    <row r="523" spans="4:34" ht="14.25" customHeight="1"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</row>
    <row r="524" spans="4:34" ht="14.25" customHeight="1"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</row>
    <row r="525" spans="4:34" ht="14.25" customHeight="1"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</row>
    <row r="526" spans="4:34" ht="14.25" customHeight="1"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</row>
    <row r="527" spans="4:34" ht="14.25" customHeight="1"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</row>
    <row r="528" spans="4:34" ht="14.25" customHeight="1"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</row>
    <row r="529" spans="4:34" ht="14.25" customHeight="1"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</row>
    <row r="530" spans="4:34" ht="14.25" customHeight="1"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</row>
    <row r="531" spans="4:34" ht="14.25" customHeight="1"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</row>
    <row r="532" spans="4:34" ht="14.25" customHeight="1"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</row>
    <row r="533" spans="4:34" ht="14.25" customHeight="1"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</row>
    <row r="534" spans="4:34" ht="14.25" customHeight="1"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</row>
    <row r="535" spans="4:34" ht="14.25" customHeight="1"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</row>
    <row r="536" spans="4:34" ht="14.25" customHeight="1"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</row>
    <row r="537" spans="4:34" ht="14.25" customHeight="1"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</row>
    <row r="538" spans="4:34" ht="14.25" customHeight="1"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</row>
    <row r="539" spans="4:34" ht="14.25" customHeight="1"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</row>
    <row r="540" spans="4:34" ht="14.25" customHeight="1"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</row>
    <row r="541" spans="4:34" ht="14.25" customHeight="1"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</row>
    <row r="542" spans="4:34" ht="14.25" customHeight="1"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</row>
    <row r="543" spans="4:34" ht="14.25" customHeight="1"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</row>
    <row r="544" spans="4:34" ht="14.25" customHeight="1"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</row>
    <row r="545" spans="4:34" ht="14.25" customHeight="1"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</row>
    <row r="546" spans="4:34" ht="14.25" customHeight="1"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</row>
    <row r="547" spans="4:34" ht="14.25" customHeight="1"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</row>
    <row r="548" spans="4:34" ht="14.25" customHeight="1"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</row>
    <row r="549" spans="4:34" ht="14.25" customHeight="1"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</row>
    <row r="550" spans="4:34" ht="14.25" customHeight="1"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</row>
    <row r="551" spans="4:34" ht="14.25" customHeight="1"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</row>
    <row r="552" spans="4:34" ht="14.25" customHeight="1"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</row>
    <row r="553" spans="4:34" ht="14.25" customHeight="1"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</row>
    <row r="554" spans="4:34" ht="14.25" customHeight="1"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</row>
    <row r="555" spans="4:34" ht="14.25" customHeight="1"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</row>
    <row r="556" spans="4:34" ht="14.25" customHeight="1"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</row>
    <row r="557" spans="4:34" ht="14.25" customHeight="1"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</row>
    <row r="558" spans="4:34" ht="14.25" customHeight="1"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</row>
    <row r="559" spans="4:34" ht="14.25" customHeight="1"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</row>
    <row r="560" spans="4:34" ht="14.25" customHeight="1"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</row>
    <row r="561" spans="4:34" ht="14.25" customHeight="1"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</row>
    <row r="562" spans="4:34" ht="14.25" customHeight="1"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</row>
    <row r="563" spans="4:34" ht="14.25" customHeight="1"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</row>
    <row r="564" spans="4:34" ht="14.25" customHeight="1"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</row>
    <row r="565" spans="4:34" ht="14.25" customHeight="1"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</row>
    <row r="566" spans="4:34" ht="14.25" customHeight="1"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</row>
    <row r="567" spans="4:34" ht="14.25" customHeight="1"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</row>
    <row r="568" spans="4:34" ht="14.25" customHeight="1"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</row>
    <row r="569" spans="4:34" ht="14.25" customHeight="1"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</row>
    <row r="570" spans="4:34" ht="14.25" customHeight="1"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</row>
    <row r="571" spans="4:34" ht="14.25" customHeight="1"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</row>
    <row r="572" spans="4:34" ht="14.25" customHeight="1"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</row>
    <row r="573" spans="4:34" ht="14.25" customHeight="1"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</row>
    <row r="574" spans="4:34" ht="14.25" customHeight="1"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</row>
    <row r="575" spans="4:34" ht="14.25" customHeight="1"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</row>
    <row r="576" spans="4:34" ht="14.25" customHeight="1"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</row>
    <row r="577" spans="4:34" ht="14.25" customHeight="1"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</row>
    <row r="578" spans="4:34" ht="14.25" customHeight="1"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</row>
    <row r="579" spans="4:34" ht="14.25" customHeight="1"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</row>
    <row r="580" spans="4:34" ht="14.25" customHeight="1"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</row>
    <row r="581" spans="4:34" ht="14.25" customHeight="1"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</row>
    <row r="582" spans="4:34" ht="14.25" customHeight="1"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</row>
    <row r="583" spans="4:34" ht="14.25" customHeight="1"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</row>
    <row r="584" spans="4:34" ht="14.25" customHeight="1"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</row>
    <row r="585" spans="4:34" ht="14.25" customHeight="1"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</row>
    <row r="586" spans="4:34" ht="14.25" customHeight="1"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</row>
    <row r="587" spans="4:34" ht="14.25" customHeight="1"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</row>
    <row r="588" spans="4:34" ht="14.25" customHeight="1"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</row>
    <row r="589" spans="4:34" ht="14.25" customHeight="1"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</row>
    <row r="590" spans="4:34" ht="14.25" customHeight="1"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</row>
    <row r="591" spans="4:34" ht="14.25" customHeight="1"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</row>
    <row r="592" spans="4:34" ht="14.25" customHeight="1"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</row>
    <row r="593" spans="4:34" ht="14.25" customHeight="1"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</row>
    <row r="594" spans="4:34" ht="14.25" customHeight="1"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</row>
    <row r="595" spans="4:34" ht="14.25" customHeight="1"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</row>
    <row r="596" spans="4:34" ht="14.25" customHeight="1"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</row>
    <row r="597" spans="4:34" ht="14.25" customHeight="1"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</row>
    <row r="598" spans="4:34" ht="14.25" customHeight="1"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</row>
    <row r="599" spans="4:34" ht="14.25" customHeight="1"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</row>
    <row r="600" spans="4:34" ht="14.25" customHeight="1"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</row>
    <row r="601" spans="4:34" ht="14.25" customHeight="1"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</row>
    <row r="602" spans="4:34" ht="14.25" customHeight="1"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</row>
    <row r="603" spans="4:34" ht="14.25" customHeight="1"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</row>
    <row r="604" spans="4:34" ht="14.25" customHeight="1"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</row>
    <row r="605" spans="4:34" ht="14.25" customHeight="1"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</row>
    <row r="606" spans="4:34" ht="14.25" customHeight="1"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</row>
    <row r="607" spans="4:34" ht="14.25" customHeight="1"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</row>
    <row r="608" spans="4:34" ht="14.25" customHeight="1"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</row>
    <row r="609" spans="4:34" ht="14.25" customHeight="1"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</row>
    <row r="610" spans="4:34" ht="14.25" customHeight="1"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</row>
    <row r="611" spans="4:34" ht="14.25" customHeight="1"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</row>
    <row r="612" spans="4:34" ht="14.25" customHeight="1"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</row>
    <row r="613" spans="4:34" ht="14.25" customHeight="1"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</row>
    <row r="614" spans="4:34" ht="14.25" customHeight="1"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</row>
    <row r="615" spans="4:34" ht="14.25" customHeight="1"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</row>
    <row r="616" spans="4:34" ht="14.25" customHeight="1"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</row>
    <row r="617" spans="4:34" ht="14.25" customHeight="1"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</row>
    <row r="618" spans="4:34" ht="14.25" customHeight="1"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</row>
    <row r="619" spans="4:34" ht="14.25" customHeight="1"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</row>
    <row r="620" spans="4:34" ht="14.25" customHeight="1"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</row>
    <row r="621" spans="4:34" ht="14.25" customHeight="1"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</row>
    <row r="622" spans="4:34" ht="14.25" customHeight="1"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</row>
    <row r="623" spans="4:34" ht="14.25" customHeight="1"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</row>
    <row r="624" spans="4:34" ht="14.25" customHeight="1"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</row>
    <row r="625" spans="4:34" ht="14.25" customHeight="1"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</row>
    <row r="626" spans="4:34" ht="14.25" customHeight="1"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</row>
    <row r="627" spans="4:34" ht="14.25" customHeight="1"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</row>
    <row r="628" spans="4:34" ht="14.25" customHeight="1"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</row>
    <row r="629" spans="4:34" ht="14.25" customHeight="1"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</row>
    <row r="630" spans="4:34" ht="14.25" customHeight="1"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</row>
    <row r="631" spans="4:34" ht="14.25" customHeight="1"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</row>
    <row r="632" spans="4:34" ht="14.25" customHeight="1"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</row>
    <row r="633" spans="4:34" ht="14.25" customHeight="1"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</row>
    <row r="634" spans="4:34" ht="14.25" customHeight="1"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</row>
    <row r="635" spans="4:34" ht="14.25" customHeight="1"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</row>
    <row r="636" spans="4:34" ht="14.25" customHeight="1"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</row>
    <row r="637" spans="4:34" ht="14.25" customHeight="1"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</row>
    <row r="638" spans="4:34" ht="14.25" customHeight="1"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</row>
    <row r="639" spans="4:34" ht="14.25" customHeight="1"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</row>
    <row r="640" spans="4:34" ht="14.25" customHeight="1"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</row>
    <row r="641" spans="4:34" ht="14.25" customHeight="1"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</row>
    <row r="642" spans="4:34" ht="14.25" customHeight="1"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</row>
    <row r="643" spans="4:34" ht="14.25" customHeight="1"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</row>
    <row r="644" spans="4:34" ht="14.25" customHeight="1"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</row>
    <row r="645" spans="4:34" ht="14.25" customHeight="1"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</row>
    <row r="646" spans="4:34" ht="14.25" customHeight="1"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</row>
    <row r="647" spans="4:34" ht="14.25" customHeight="1"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</row>
    <row r="648" spans="4:34" ht="14.25" customHeight="1"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</row>
    <row r="649" spans="4:34" ht="14.25" customHeight="1"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</row>
    <row r="650" spans="4:34" ht="14.25" customHeight="1"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</row>
    <row r="651" spans="4:34" ht="14.25" customHeight="1"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</row>
    <row r="652" spans="4:34" ht="14.25" customHeight="1"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</row>
    <row r="653" spans="4:34" ht="14.25" customHeight="1"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</row>
    <row r="654" spans="4:34" ht="14.25" customHeight="1"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</row>
    <row r="655" spans="4:34" ht="14.25" customHeight="1"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</row>
    <row r="656" spans="4:34" ht="14.25" customHeight="1"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</row>
    <row r="657" spans="4:34" ht="14.25" customHeight="1"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</row>
    <row r="658" spans="4:34" ht="14.25" customHeight="1"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</row>
    <row r="659" spans="4:34" ht="14.25" customHeight="1"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</row>
    <row r="660" spans="4:34" ht="14.25" customHeight="1"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</row>
    <row r="661" spans="4:34" ht="14.25" customHeight="1"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</row>
    <row r="662" spans="4:34" ht="14.25" customHeight="1"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</row>
    <row r="663" spans="4:34" ht="14.25" customHeight="1"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</row>
    <row r="664" spans="4:34" ht="14.25" customHeight="1"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</row>
    <row r="665" spans="4:34" ht="14.25" customHeight="1"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</row>
    <row r="666" spans="4:34" ht="14.25" customHeight="1"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</row>
    <row r="667" spans="4:34" ht="14.25" customHeight="1"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</row>
    <row r="668" spans="4:34" ht="14.25" customHeight="1"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</row>
    <row r="669" spans="4:34" ht="14.25" customHeight="1"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</row>
    <row r="670" spans="4:34" ht="14.25" customHeight="1"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</row>
    <row r="671" spans="4:34" ht="14.25" customHeight="1"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</row>
    <row r="672" spans="4:34" ht="14.25" customHeight="1"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</row>
    <row r="673" spans="4:34" ht="14.25" customHeight="1"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</row>
    <row r="674" spans="4:34" ht="14.25" customHeight="1"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</row>
    <row r="675" spans="4:34" ht="14.25" customHeight="1"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</row>
    <row r="676" spans="4:34" ht="14.25" customHeight="1"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</row>
    <row r="677" spans="4:34" ht="14.25" customHeight="1"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</row>
    <row r="678" spans="4:34" ht="14.25" customHeight="1"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</row>
    <row r="679" spans="4:34" ht="14.25" customHeight="1"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</row>
    <row r="680" spans="4:34" ht="14.25" customHeight="1"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</row>
    <row r="681" spans="4:34" ht="14.25" customHeight="1"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</row>
    <row r="682" spans="4:34" ht="14.25" customHeight="1"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</row>
    <row r="683" spans="4:34" ht="14.25" customHeight="1"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</row>
    <row r="684" spans="4:34" ht="14.25" customHeight="1"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</row>
    <row r="685" spans="4:34" ht="14.25" customHeight="1"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</row>
    <row r="686" spans="4:34" ht="14.25" customHeight="1"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</row>
    <row r="687" spans="4:34" ht="14.25" customHeight="1"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</row>
    <row r="688" spans="4:34" ht="14.25" customHeight="1"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</row>
    <row r="689" spans="4:34" ht="14.25" customHeight="1"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</row>
    <row r="690" spans="4:34" ht="14.25" customHeight="1"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</row>
    <row r="691" spans="4:34" ht="14.25" customHeight="1"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</row>
    <row r="692" spans="4:34" ht="14.25" customHeight="1"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</row>
    <row r="693" spans="4:34" ht="14.25" customHeight="1"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</row>
    <row r="694" spans="4:34" ht="14.25" customHeight="1"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</row>
    <row r="695" spans="4:34" ht="14.25" customHeight="1"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</row>
    <row r="696" spans="4:34" ht="14.25" customHeight="1"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</row>
    <row r="697" spans="4:34" ht="14.25" customHeight="1"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</row>
    <row r="698" spans="4:34" ht="14.25" customHeight="1"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</row>
    <row r="699" spans="4:34" ht="14.25" customHeight="1"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</row>
    <row r="700" spans="4:34" ht="14.25" customHeight="1"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</row>
    <row r="701" spans="4:34" ht="14.25" customHeight="1"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</row>
    <row r="702" spans="4:34" ht="14.25" customHeight="1"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</row>
    <row r="703" spans="4:34" ht="14.25" customHeight="1"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</row>
    <row r="704" spans="4:34" ht="14.25" customHeight="1"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</row>
    <row r="705" spans="4:34" ht="14.25" customHeight="1"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</row>
    <row r="706" spans="4:34" ht="14.25" customHeight="1"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</row>
    <row r="707" spans="4:34" ht="14.25" customHeight="1"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</row>
    <row r="708" spans="4:34" ht="14.25" customHeight="1"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</row>
    <row r="709" spans="4:34" ht="14.25" customHeight="1"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</row>
    <row r="710" spans="4:34" ht="14.25" customHeight="1"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</row>
    <row r="711" spans="4:34" ht="14.25" customHeight="1"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</row>
    <row r="712" spans="4:34" ht="14.25" customHeight="1"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</row>
    <row r="713" spans="4:34" ht="14.25" customHeight="1"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</row>
    <row r="714" spans="4:34" ht="14.25" customHeight="1"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</row>
    <row r="715" spans="4:34" ht="14.25" customHeight="1"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</row>
    <row r="716" spans="4:34" ht="14.25" customHeight="1"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</row>
    <row r="717" spans="4:34" ht="14.25" customHeight="1"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</row>
    <row r="718" spans="4:34" ht="14.25" customHeight="1"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</row>
    <row r="719" spans="4:34" ht="14.25" customHeight="1"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</row>
    <row r="720" spans="4:34" ht="14.25" customHeight="1"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</row>
    <row r="721" spans="4:34" ht="14.25" customHeight="1"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</row>
    <row r="722" spans="4:34" ht="14.25" customHeight="1"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</row>
    <row r="723" spans="4:34" ht="14.25" customHeight="1"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</row>
    <row r="724" spans="4:34" ht="14.25" customHeight="1"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</row>
    <row r="725" spans="4:34" ht="14.25" customHeight="1"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</row>
    <row r="726" spans="4:34" ht="14.25" customHeight="1"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</row>
    <row r="727" spans="4:34" ht="14.25" customHeight="1"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</row>
    <row r="728" spans="4:34" ht="14.25" customHeight="1"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</row>
    <row r="729" spans="4:34" ht="14.25" customHeight="1"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</row>
    <row r="730" spans="4:34" ht="14.25" customHeight="1"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</row>
    <row r="731" spans="4:34" ht="14.25" customHeight="1"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</row>
    <row r="732" spans="4:34" ht="14.25" customHeight="1"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</row>
    <row r="733" spans="4:34" ht="14.25" customHeight="1"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</row>
    <row r="734" spans="4:34" ht="14.25" customHeight="1"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</row>
    <row r="735" spans="4:34" ht="14.25" customHeight="1"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</row>
    <row r="736" spans="4:34" ht="14.25" customHeight="1"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</row>
    <row r="737" spans="4:34" ht="14.25" customHeight="1"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</row>
    <row r="738" spans="4:34" ht="14.25" customHeight="1"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</row>
    <row r="739" spans="4:34" ht="14.25" customHeight="1"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</row>
    <row r="740" spans="4:34" ht="14.25" customHeight="1"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</row>
    <row r="741" spans="4:34" ht="14.25" customHeight="1"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</row>
    <row r="742" spans="4:34" ht="14.25" customHeight="1"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</row>
    <row r="743" spans="4:34" ht="14.25" customHeight="1"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</row>
    <row r="744" spans="4:34" ht="14.25" customHeight="1"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</row>
    <row r="745" spans="4:34" ht="14.25" customHeight="1"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</row>
    <row r="746" spans="4:34" ht="14.25" customHeight="1"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</row>
    <row r="747" spans="4:34" ht="14.25" customHeight="1"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</row>
    <row r="748" spans="4:34" ht="14.25" customHeight="1"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</row>
    <row r="749" spans="4:34" ht="14.25" customHeight="1"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</row>
    <row r="750" spans="4:34" ht="14.25" customHeight="1"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</row>
    <row r="751" spans="4:34" ht="14.25" customHeight="1"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</row>
    <row r="752" spans="4:34" ht="14.25" customHeight="1"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</row>
    <row r="753" spans="4:34" ht="14.25" customHeight="1"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</row>
    <row r="754" spans="4:34" ht="14.25" customHeight="1"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</row>
    <row r="755" spans="4:34" ht="14.25" customHeight="1"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</row>
    <row r="756" spans="4:34" ht="14.25" customHeight="1"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</row>
    <row r="757" spans="4:34" ht="14.25" customHeight="1"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</row>
    <row r="758" spans="4:34" ht="14.25" customHeight="1"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</row>
    <row r="759" spans="4:34" ht="14.25" customHeight="1"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</row>
    <row r="760" spans="4:34" ht="14.25" customHeight="1"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</row>
    <row r="761" spans="4:34" ht="14.25" customHeight="1"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</row>
    <row r="762" spans="4:34" ht="14.25" customHeight="1"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</row>
    <row r="763" spans="4:34" ht="14.25" customHeight="1"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</row>
    <row r="764" spans="4:34" ht="14.25" customHeight="1"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</row>
    <row r="765" spans="4:34" ht="14.25" customHeight="1"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</row>
    <row r="766" spans="4:34" ht="14.25" customHeight="1"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</row>
    <row r="767" spans="4:34" ht="14.25" customHeight="1"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</row>
    <row r="768" spans="4:34" ht="14.25" customHeight="1"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</row>
    <row r="769" spans="4:34" ht="14.25" customHeight="1"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</row>
    <row r="770" spans="4:34" ht="14.25" customHeight="1"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</row>
    <row r="771" spans="4:34" ht="14.25" customHeight="1"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</row>
    <row r="772" spans="4:34" ht="14.25" customHeight="1"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</row>
    <row r="773" spans="4:34" ht="14.25" customHeight="1"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</row>
    <row r="774" spans="4:34" ht="14.25" customHeight="1"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</row>
    <row r="775" spans="4:34" ht="14.25" customHeight="1"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</row>
    <row r="776" spans="4:34" ht="14.25" customHeight="1"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</row>
    <row r="777" spans="4:34" ht="14.25" customHeight="1"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</row>
    <row r="778" spans="4:34" ht="14.25" customHeight="1"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</row>
    <row r="779" spans="4:34" ht="14.25" customHeight="1"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</row>
    <row r="780" spans="4:34" ht="14.25" customHeight="1"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</row>
    <row r="781" spans="4:34" ht="14.25" customHeight="1"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</row>
    <row r="782" spans="4:34" ht="14.25" customHeight="1"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</row>
    <row r="783" spans="4:34" ht="14.25" customHeight="1"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</row>
    <row r="784" spans="4:34" ht="14.25" customHeight="1"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</row>
    <row r="785" spans="4:34" ht="14.25" customHeight="1"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</row>
    <row r="786" spans="4:34" ht="14.25" customHeight="1"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</row>
    <row r="787" spans="4:34" ht="14.25" customHeight="1"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</row>
    <row r="788" spans="4:34" ht="14.25" customHeight="1"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</row>
    <row r="789" spans="4:34" ht="14.25" customHeight="1"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</row>
    <row r="790" spans="4:34" ht="14.25" customHeight="1"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</row>
    <row r="791" spans="4:34" ht="14.25" customHeight="1"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</row>
    <row r="792" spans="4:34" ht="14.25" customHeight="1"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</row>
    <row r="793" spans="4:34" ht="14.25" customHeight="1"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</row>
    <row r="794" spans="4:34" ht="14.25" customHeight="1"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</row>
    <row r="795" spans="4:34" ht="14.25" customHeight="1"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</row>
    <row r="796" spans="4:34" ht="14.25" customHeight="1"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</row>
    <row r="797" spans="4:34" ht="14.25" customHeight="1"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</row>
    <row r="798" spans="4:34" ht="14.25" customHeight="1"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</row>
    <row r="799" spans="4:34" ht="14.25" customHeight="1"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</row>
    <row r="800" spans="4:34" ht="14.25" customHeight="1"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</row>
    <row r="801" spans="4:34" ht="14.25" customHeight="1"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</row>
    <row r="802" spans="4:34" ht="14.25" customHeight="1"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</row>
    <row r="803" spans="4:34" ht="14.25" customHeight="1"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</row>
    <row r="804" spans="4:34" ht="14.25" customHeight="1"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</row>
    <row r="805" spans="4:34" ht="14.25" customHeight="1"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</row>
    <row r="806" spans="4:34" ht="14.25" customHeight="1"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</row>
    <row r="807" spans="4:34" ht="14.25" customHeight="1"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</row>
    <row r="808" spans="4:34" ht="14.25" customHeight="1"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</row>
    <row r="809" spans="4:34" ht="14.25" customHeight="1"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</row>
    <row r="810" spans="4:34" ht="14.25" customHeight="1"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</row>
    <row r="811" spans="4:34" ht="14.25" customHeight="1"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</row>
    <row r="812" spans="4:34" ht="14.25" customHeight="1"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</row>
    <row r="813" spans="4:34" ht="14.25" customHeight="1"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</row>
    <row r="814" spans="4:34" ht="14.25" customHeight="1"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</row>
    <row r="815" spans="4:34" ht="14.25" customHeight="1"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</row>
    <row r="816" spans="4:34" ht="14.25" customHeight="1"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</row>
    <row r="817" spans="4:34" ht="14.25" customHeight="1"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</row>
    <row r="818" spans="4:34" ht="14.25" customHeight="1"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</row>
    <row r="819" spans="4:34" ht="14.25" customHeight="1"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</row>
    <row r="820" spans="4:34" ht="14.25" customHeight="1"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</row>
    <row r="821" spans="4:34" ht="14.25" customHeight="1"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</row>
    <row r="822" spans="4:34" ht="14.25" customHeight="1"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</row>
    <row r="823" spans="4:34" ht="14.25" customHeight="1"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</row>
    <row r="824" spans="4:34" ht="14.25" customHeight="1"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</row>
    <row r="825" spans="4:34" ht="14.25" customHeight="1"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</row>
    <row r="826" spans="4:34" ht="14.25" customHeight="1"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</row>
    <row r="827" spans="4:34" ht="14.25" customHeight="1"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</row>
    <row r="828" spans="4:34" ht="14.25" customHeight="1"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</row>
    <row r="829" spans="4:34" ht="14.25" customHeight="1"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</row>
    <row r="830" spans="4:34" ht="14.25" customHeight="1"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</row>
    <row r="831" spans="4:34" ht="14.25" customHeight="1"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</row>
    <row r="832" spans="4:34" ht="14.25" customHeight="1"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</row>
    <row r="833" spans="4:34" ht="14.25" customHeight="1"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</row>
    <row r="834" spans="4:34" ht="14.25" customHeight="1"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</row>
    <row r="835" spans="4:34" ht="14.25" customHeight="1"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</row>
    <row r="836" spans="4:34" ht="14.25" customHeight="1"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</row>
    <row r="837" spans="4:34" ht="14.25" customHeight="1"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</row>
    <row r="838" spans="4:34" ht="14.25" customHeight="1"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</row>
    <row r="839" spans="4:34" ht="14.25" customHeight="1"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</row>
    <row r="840" spans="4:34" ht="14.25" customHeight="1"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</row>
    <row r="841" spans="4:34" ht="14.25" customHeight="1"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</row>
    <row r="842" spans="4:34" ht="14.25" customHeight="1"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</row>
    <row r="843" spans="4:34" ht="14.25" customHeight="1"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</row>
    <row r="844" spans="4:34" ht="14.25" customHeight="1"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</row>
    <row r="845" spans="4:34" ht="14.25" customHeight="1"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</row>
    <row r="846" spans="4:34" ht="14.25" customHeight="1"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</row>
    <row r="847" spans="4:34" ht="14.25" customHeight="1"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</row>
    <row r="848" spans="4:34" ht="14.25" customHeight="1"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</row>
    <row r="849" spans="4:34" ht="14.25" customHeight="1"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</row>
    <row r="850" spans="4:34" ht="14.25" customHeight="1"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</row>
    <row r="851" spans="4:34" ht="14.25" customHeight="1"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</row>
    <row r="852" spans="4:34" ht="14.25" customHeight="1"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</row>
    <row r="853" spans="4:34" ht="14.25" customHeight="1"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</row>
    <row r="854" spans="4:34" ht="14.25" customHeight="1"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</row>
    <row r="855" spans="4:34" ht="14.25" customHeight="1"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</row>
    <row r="856" spans="4:34" ht="14.25" customHeight="1"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</row>
    <row r="857" spans="4:34" ht="14.25" customHeight="1"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</row>
    <row r="858" spans="4:34" ht="14.25" customHeight="1"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</row>
    <row r="859" spans="4:34" ht="14.25" customHeight="1"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</row>
    <row r="860" spans="4:34" ht="14.25" customHeight="1"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</row>
    <row r="861" spans="4:34" ht="14.25" customHeight="1"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</row>
    <row r="862" spans="4:34" ht="14.25" customHeight="1"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</row>
    <row r="863" spans="4:34" ht="14.25" customHeight="1"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</row>
    <row r="864" spans="4:34" ht="14.25" customHeight="1"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</row>
    <row r="865" spans="4:34" ht="14.25" customHeight="1"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</row>
    <row r="866" spans="4:34" ht="14.25" customHeight="1"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</row>
    <row r="867" spans="4:34" ht="14.25" customHeight="1"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</row>
    <row r="868" spans="4:34" ht="14.25" customHeight="1"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</row>
    <row r="869" spans="4:34" ht="14.25" customHeight="1"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</row>
    <row r="870" spans="4:34" ht="14.25" customHeight="1"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</row>
    <row r="871" spans="4:34" ht="14.25" customHeight="1"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</row>
    <row r="872" spans="4:34" ht="14.25" customHeight="1"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</row>
    <row r="873" spans="4:34" ht="14.25" customHeight="1"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</row>
    <row r="874" spans="4:34" ht="14.25" customHeight="1"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</row>
    <row r="875" spans="4:34" ht="14.25" customHeight="1"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</row>
    <row r="876" spans="4:34" ht="14.25" customHeight="1"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</row>
    <row r="877" spans="4:34" ht="14.25" customHeight="1"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</row>
    <row r="878" spans="4:34" ht="14.25" customHeight="1"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</row>
    <row r="879" spans="4:34" ht="14.25" customHeight="1"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</row>
    <row r="880" spans="4:34" ht="14.25" customHeight="1"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</row>
    <row r="881" spans="4:34" ht="14.25" customHeight="1"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</row>
    <row r="882" spans="4:34" ht="14.25" customHeight="1"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</row>
    <row r="883" spans="4:34" ht="14.25" customHeight="1"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</row>
    <row r="884" spans="4:34" ht="14.25" customHeight="1"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</row>
    <row r="885" spans="4:34" ht="14.25" customHeight="1"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</row>
    <row r="886" spans="4:34" ht="14.25" customHeight="1"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</row>
    <row r="887" spans="4:34" ht="14.25" customHeight="1"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</row>
    <row r="888" spans="4:34" ht="14.25" customHeight="1"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</row>
    <row r="889" spans="4:34" ht="14.25" customHeight="1"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</row>
    <row r="890" spans="4:34" ht="14.25" customHeight="1"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</row>
    <row r="891" spans="4:34" ht="14.25" customHeight="1"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</row>
    <row r="892" spans="4:34" ht="14.25" customHeight="1"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</row>
    <row r="893" spans="4:34" ht="14.25" customHeight="1"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</row>
    <row r="894" spans="4:34" ht="14.25" customHeight="1"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</row>
    <row r="895" spans="4:34" ht="14.25" customHeight="1"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</row>
    <row r="896" spans="4:34" ht="14.25" customHeight="1"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</row>
    <row r="897" spans="4:34" ht="14.25" customHeight="1"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</row>
    <row r="898" spans="4:34" ht="14.25" customHeight="1"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</row>
    <row r="899" spans="4:34" ht="14.25" customHeight="1"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</row>
    <row r="900" spans="4:34" ht="14.25" customHeight="1"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</row>
    <row r="901" spans="4:34" ht="14.25" customHeight="1"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</row>
    <row r="902" spans="4:34" ht="14.25" customHeight="1"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</row>
    <row r="903" spans="4:34" ht="14.25" customHeight="1"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</row>
    <row r="904" spans="4:34" ht="14.25" customHeight="1"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</row>
    <row r="905" spans="4:34" ht="14.25" customHeight="1"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</row>
    <row r="906" spans="4:34" ht="14.25" customHeight="1"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</row>
    <row r="907" spans="4:34" ht="14.25" customHeight="1"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</row>
    <row r="908" spans="4:34" ht="14.25" customHeight="1"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</row>
    <row r="909" spans="4:34" ht="14.25" customHeight="1"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</row>
    <row r="910" spans="4:34" ht="14.25" customHeight="1"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</row>
    <row r="911" spans="4:34" ht="14.25" customHeight="1"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</row>
    <row r="912" spans="4:34" ht="14.25" customHeight="1"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</row>
    <row r="913" spans="4:34" ht="14.25" customHeight="1"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</row>
    <row r="914" spans="4:34" ht="14.25" customHeight="1"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</row>
    <row r="915" spans="4:34" ht="14.25" customHeight="1"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</row>
    <row r="916" spans="4:34" ht="14.25" customHeight="1"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</row>
    <row r="917" spans="4:34" ht="14.25" customHeight="1"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</row>
    <row r="918" spans="4:34" ht="14.25" customHeight="1"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</row>
    <row r="919" spans="4:34" ht="14.25" customHeight="1"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</row>
    <row r="920" spans="4:34" ht="14.25" customHeight="1"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</row>
    <row r="921" spans="4:34" ht="14.25" customHeight="1"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</row>
    <row r="922" spans="4:34" ht="14.25" customHeight="1"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</row>
    <row r="923" spans="4:34" ht="14.25" customHeight="1"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</row>
    <row r="924" spans="4:34" ht="14.25" customHeight="1"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</row>
    <row r="925" spans="4:34" ht="14.25" customHeight="1"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</row>
    <row r="926" spans="4:34" ht="14.25" customHeight="1"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</row>
    <row r="927" spans="4:34" ht="14.25" customHeight="1"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</row>
    <row r="928" spans="4:34" ht="14.25" customHeight="1"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</row>
    <row r="929" spans="4:34" ht="14.25" customHeight="1"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</row>
    <row r="930" spans="4:34" ht="14.25" customHeight="1"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</row>
    <row r="931" spans="4:34" ht="14.25" customHeight="1"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</row>
    <row r="932" spans="4:34" ht="14.25" customHeight="1"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</row>
    <row r="933" spans="4:34" ht="14.25" customHeight="1"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</row>
    <row r="934" spans="4:34" ht="14.25" customHeight="1"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</row>
    <row r="935" spans="4:34" ht="14.25" customHeight="1"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</row>
    <row r="936" spans="4:34" ht="14.25" customHeight="1"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</row>
    <row r="937" spans="4:34" ht="14.25" customHeight="1"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</row>
    <row r="938" spans="4:34" ht="14.25" customHeight="1"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</row>
    <row r="939" spans="4:34" ht="14.25" customHeight="1"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</row>
    <row r="940" spans="4:34" ht="14.25" customHeight="1"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</row>
    <row r="941" spans="4:34" ht="14.25" customHeight="1"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</row>
    <row r="942" spans="4:34" ht="14.25" customHeight="1"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</row>
    <row r="943" spans="4:34" ht="14.25" customHeight="1"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</row>
    <row r="944" spans="4:34" ht="14.25" customHeight="1"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</row>
    <row r="945" spans="4:34" ht="14.25" customHeight="1"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</row>
    <row r="946" spans="4:34" ht="14.25" customHeight="1"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</row>
    <row r="947" spans="4:34" ht="14.25" customHeight="1"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</row>
    <row r="948" spans="4:34" ht="14.25" customHeight="1"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</row>
    <row r="949" spans="4:34" ht="14.25" customHeight="1"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</row>
    <row r="950" spans="4:34" ht="14.25" customHeight="1"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</row>
    <row r="951" spans="4:34" ht="14.25" customHeight="1"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</row>
    <row r="952" spans="4:34" ht="14.25" customHeight="1"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</row>
    <row r="953" spans="4:34" ht="14.25" customHeight="1"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</row>
    <row r="954" spans="4:34" ht="14.25" customHeight="1"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</row>
    <row r="955" spans="4:34" ht="14.25" customHeight="1"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</row>
    <row r="956" spans="4:34" ht="14.25" customHeight="1"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</row>
    <row r="957" spans="4:34" ht="14.25" customHeight="1"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</row>
    <row r="958" spans="4:34" ht="14.25" customHeight="1"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</row>
    <row r="959" spans="4:34" ht="14.25" customHeight="1"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</row>
    <row r="960" spans="4:34" ht="14.25" customHeight="1"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</row>
    <row r="961" spans="4:34" ht="14.25" customHeight="1"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</row>
    <row r="962" spans="4:34" ht="14.25" customHeight="1"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</row>
    <row r="963" spans="4:34" ht="14.25" customHeight="1"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</row>
    <row r="964" spans="4:34" ht="14.25" customHeight="1"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</row>
    <row r="965" spans="4:34" ht="14.25" customHeight="1"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</row>
    <row r="966" spans="4:34" ht="14.25" customHeight="1"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</row>
    <row r="967" spans="4:34" ht="14.25" customHeight="1"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</row>
    <row r="968" spans="4:34" ht="14.25" customHeight="1"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</row>
    <row r="969" spans="4:34" ht="14.25" customHeight="1"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</row>
    <row r="970" spans="4:34" ht="14.25" customHeight="1"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</row>
    <row r="971" spans="4:34" ht="14.25" customHeight="1"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</row>
    <row r="972" spans="4:34" ht="14.25" customHeight="1"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</row>
    <row r="973" spans="4:34" ht="14.25" customHeight="1"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</row>
    <row r="974" spans="4:34" ht="14.25" customHeight="1"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</row>
    <row r="975" spans="4:34" ht="14.25" customHeight="1"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</row>
    <row r="976" spans="4:34" ht="14.25" customHeight="1"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</row>
    <row r="977" spans="4:34" ht="14.25" customHeight="1"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</row>
    <row r="978" spans="4:34" ht="14.25" customHeight="1"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</row>
    <row r="979" spans="4:34" ht="14.25" customHeight="1"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</row>
    <row r="980" spans="4:34" ht="14.25" customHeight="1"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</row>
    <row r="981" spans="4:34" ht="14.25" customHeight="1"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</row>
    <row r="982" spans="4:34" ht="14.25" customHeight="1"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</row>
    <row r="983" spans="4:34" ht="14.25" customHeight="1"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</row>
    <row r="984" spans="4:34" ht="14.25" customHeight="1"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</row>
    <row r="985" spans="4:34" ht="14.25" customHeight="1"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</row>
    <row r="986" spans="4:34" ht="14.25" customHeight="1"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</row>
    <row r="987" spans="4:34" ht="14.25" customHeight="1"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</row>
    <row r="988" spans="4:34" ht="14.25" customHeight="1"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</row>
    <row r="989" spans="4:34" ht="14.25" customHeight="1"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</row>
    <row r="990" spans="4:34" ht="14.25" customHeight="1"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</row>
    <row r="991" spans="4:34" ht="14.25" customHeight="1"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</row>
    <row r="992" spans="4:34" ht="14.25" customHeight="1"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</row>
    <row r="993" spans="4:34" ht="14.25" customHeight="1"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</row>
    <row r="994" spans="4:34" ht="14.25" customHeight="1"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</row>
    <row r="995" spans="4:34" ht="14.25" customHeight="1"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</row>
    <row r="996" spans="4:34" ht="14.25" customHeight="1"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</row>
    <row r="997" spans="4:34" ht="14.25" customHeight="1"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</row>
    <row r="998" spans="4:34" ht="14.25" customHeight="1"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</row>
    <row r="999" spans="4:34" ht="14.25" customHeight="1"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</row>
    <row r="1000" spans="4:34" ht="14.25" customHeight="1"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83C23-67EE-48CF-9022-B11DDBAD4172}">
  <sheetPr>
    <tabColor rgb="FFC00000"/>
  </sheetPr>
  <dimension ref="A1:AN1000"/>
  <sheetViews>
    <sheetView topLeftCell="G1" workbookViewId="0">
      <selection activeCell="S1" sqref="S1:S12"/>
    </sheetView>
  </sheetViews>
  <sheetFormatPr baseColWidth="10" defaultColWidth="12.59765625" defaultRowHeight="15" customHeight="1"/>
  <cols>
    <col min="4" max="4" width="14.09765625" customWidth="1"/>
    <col min="5" max="6" width="21" customWidth="1"/>
    <col min="7" max="7" width="14.19921875" customWidth="1"/>
    <col min="8" max="13" width="11" customWidth="1"/>
    <col min="14" max="15" width="14.69921875" customWidth="1"/>
    <col min="16" max="34" width="11" customWidth="1"/>
  </cols>
  <sheetData>
    <row r="1" spans="1:40" ht="45" customHeight="1">
      <c r="A1" s="1" t="s">
        <v>0</v>
      </c>
      <c r="B1" s="2" t="s">
        <v>1</v>
      </c>
      <c r="C1" s="2" t="s">
        <v>2</v>
      </c>
      <c r="D1" s="2" t="s">
        <v>3</v>
      </c>
      <c r="E1" s="87" t="s">
        <v>453</v>
      </c>
      <c r="F1" s="88" t="s">
        <v>454</v>
      </c>
      <c r="G1" s="76" t="s">
        <v>492</v>
      </c>
      <c r="H1" s="77" t="s">
        <v>493</v>
      </c>
      <c r="I1" s="76" t="s">
        <v>496</v>
      </c>
      <c r="J1" s="77" t="s">
        <v>495</v>
      </c>
      <c r="K1" s="94" t="s">
        <v>499</v>
      </c>
      <c r="M1" s="2" t="s">
        <v>463</v>
      </c>
      <c r="N1" s="2" t="s">
        <v>7</v>
      </c>
      <c r="O1" s="2" t="s">
        <v>488</v>
      </c>
      <c r="P1" s="2" t="s">
        <v>489</v>
      </c>
      <c r="Q1" s="73" t="s">
        <v>7</v>
      </c>
      <c r="R1" s="95" t="s">
        <v>500</v>
      </c>
      <c r="S1" s="95" t="s">
        <v>502</v>
      </c>
      <c r="T1" s="49" t="s">
        <v>465</v>
      </c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</row>
    <row r="2" spans="1:40" ht="14.25" customHeight="1">
      <c r="A2" s="7">
        <v>10101</v>
      </c>
      <c r="B2" s="8" t="s">
        <v>11</v>
      </c>
      <c r="C2" s="8" t="s">
        <v>12</v>
      </c>
      <c r="D2" s="8" t="s">
        <v>13</v>
      </c>
      <c r="E2" s="89">
        <v>44.6</v>
      </c>
      <c r="F2" s="90">
        <v>3417.8</v>
      </c>
      <c r="G2" s="75">
        <f t="shared" ref="G2:G30" si="0">E2/$R$2</f>
        <v>0.39539007092198586</v>
      </c>
      <c r="H2" s="78">
        <f>$S$17*G2</f>
        <v>1.170354609929078</v>
      </c>
      <c r="I2" s="75">
        <f t="shared" ref="I2:I30" si="1">F2/$S$2</f>
        <v>0.47726637993632354</v>
      </c>
      <c r="J2" s="79">
        <f>I2*$U$17</f>
        <v>176.5885605764397</v>
      </c>
      <c r="K2" s="79">
        <f>1000*H2/J2</f>
        <v>6.6275788539681075</v>
      </c>
      <c r="M2" s="50">
        <v>1</v>
      </c>
      <c r="N2" s="8" t="s">
        <v>11</v>
      </c>
      <c r="O2" s="9">
        <v>48.945001729505364</v>
      </c>
      <c r="P2" s="9">
        <v>15.751550019549795</v>
      </c>
      <c r="Q2" s="33" t="s">
        <v>11</v>
      </c>
      <c r="R2" s="99">
        <v>112.8</v>
      </c>
      <c r="S2" s="99">
        <v>7161.2</v>
      </c>
      <c r="T2" s="8">
        <v>8</v>
      </c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</row>
    <row r="3" spans="1:40" ht="14.25" customHeight="1">
      <c r="A3" s="7">
        <v>10102</v>
      </c>
      <c r="B3" s="8" t="s">
        <v>11</v>
      </c>
      <c r="C3" s="8" t="s">
        <v>12</v>
      </c>
      <c r="D3" s="8" t="s">
        <v>14</v>
      </c>
      <c r="E3" s="89">
        <v>2.4</v>
      </c>
      <c r="F3" s="90">
        <v>103.8</v>
      </c>
      <c r="G3" s="75">
        <f t="shared" si="0"/>
        <v>2.1276595744680851E-2</v>
      </c>
      <c r="H3" s="78">
        <f t="shared" ref="H3:H30" si="2">$S$17*G3</f>
        <v>6.297872340425531E-2</v>
      </c>
      <c r="I3" s="75">
        <f t="shared" si="1"/>
        <v>1.4494777411606994E-2</v>
      </c>
      <c r="J3" s="79">
        <f t="shared" ref="J3:J30" si="3">I3*$U$17</f>
        <v>5.3630676422945873</v>
      </c>
      <c r="K3" s="79">
        <f t="shared" ref="K3:K66" si="4">1000*H3/J3</f>
        <v>11.743041036362889</v>
      </c>
      <c r="M3" s="50">
        <v>2</v>
      </c>
      <c r="N3" s="8" t="s">
        <v>15</v>
      </c>
      <c r="O3" s="9">
        <v>67.582012532252108</v>
      </c>
      <c r="P3" s="9">
        <v>22.452671890784359</v>
      </c>
      <c r="Q3" s="33" t="s">
        <v>15</v>
      </c>
      <c r="R3" s="99">
        <v>786.8</v>
      </c>
      <c r="S3" s="99">
        <v>35042.6</v>
      </c>
      <c r="T3" s="8">
        <v>17</v>
      </c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</row>
    <row r="4" spans="1:40" ht="14.25" customHeight="1">
      <c r="A4" s="7">
        <v>10103</v>
      </c>
      <c r="B4" s="8" t="s">
        <v>11</v>
      </c>
      <c r="C4" s="8" t="s">
        <v>12</v>
      </c>
      <c r="D4" s="8" t="s">
        <v>16</v>
      </c>
      <c r="E4" s="89">
        <v>4.8</v>
      </c>
      <c r="F4" s="90">
        <v>173.4</v>
      </c>
      <c r="G4" s="75">
        <f t="shared" si="0"/>
        <v>4.2553191489361701E-2</v>
      </c>
      <c r="H4" s="78">
        <f t="shared" si="2"/>
        <v>0.12595744680851062</v>
      </c>
      <c r="I4" s="75">
        <f t="shared" si="1"/>
        <v>2.4213818913031336E-2</v>
      </c>
      <c r="J4" s="79">
        <f t="shared" si="3"/>
        <v>8.9591129978215935</v>
      </c>
      <c r="K4" s="79">
        <f t="shared" si="4"/>
        <v>14.059142555645536</v>
      </c>
      <c r="M4" s="50">
        <v>3</v>
      </c>
      <c r="N4" s="8" t="s">
        <v>17</v>
      </c>
      <c r="O4" s="9">
        <v>59.293557348855671</v>
      </c>
      <c r="P4" s="9">
        <v>17.49382159566035</v>
      </c>
      <c r="Q4" s="33" t="s">
        <v>17</v>
      </c>
      <c r="R4" s="99">
        <v>450.2</v>
      </c>
      <c r="S4" s="99">
        <v>25734.799999999999</v>
      </c>
      <c r="T4" s="8">
        <v>11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</row>
    <row r="5" spans="1:40" ht="14.25" customHeight="1">
      <c r="A5" s="7">
        <v>10201</v>
      </c>
      <c r="B5" s="8" t="s">
        <v>11</v>
      </c>
      <c r="C5" s="8" t="s">
        <v>18</v>
      </c>
      <c r="D5" s="8" t="s">
        <v>19</v>
      </c>
      <c r="E5" s="89">
        <v>2.2000000000000002</v>
      </c>
      <c r="F5" s="90">
        <v>104.6</v>
      </c>
      <c r="G5" s="75">
        <f t="shared" si="0"/>
        <v>1.9503546099290781E-2</v>
      </c>
      <c r="H5" s="78">
        <f t="shared" si="2"/>
        <v>5.7730496453900708E-2</v>
      </c>
      <c r="I5" s="75">
        <f t="shared" si="1"/>
        <v>1.460649053231302E-2</v>
      </c>
      <c r="J5" s="79">
        <f t="shared" si="3"/>
        <v>5.404401496955817</v>
      </c>
      <c r="K5" s="79">
        <f t="shared" si="4"/>
        <v>10.682125761089189</v>
      </c>
      <c r="M5" s="50">
        <v>4</v>
      </c>
      <c r="N5" s="8" t="s">
        <v>20</v>
      </c>
      <c r="O5" s="9">
        <v>51.330420969023038</v>
      </c>
      <c r="P5" s="9">
        <v>20.871402466879854</v>
      </c>
      <c r="Q5" s="33" t="s">
        <v>20</v>
      </c>
      <c r="R5" s="99">
        <v>146.19999999999999</v>
      </c>
      <c r="S5" s="99">
        <v>7004.8</v>
      </c>
      <c r="T5" s="8">
        <v>31</v>
      </c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</row>
    <row r="6" spans="1:40" ht="14.25" customHeight="1">
      <c r="A6" s="7">
        <v>10202</v>
      </c>
      <c r="B6" s="8" t="s">
        <v>11</v>
      </c>
      <c r="C6" s="8" t="s">
        <v>18</v>
      </c>
      <c r="D6" s="8" t="s">
        <v>21</v>
      </c>
      <c r="E6" s="89">
        <v>3.6</v>
      </c>
      <c r="F6" s="90">
        <v>207.8</v>
      </c>
      <c r="G6" s="75">
        <f t="shared" si="0"/>
        <v>3.1914893617021281E-2</v>
      </c>
      <c r="H6" s="78">
        <f t="shared" si="2"/>
        <v>9.4468085106382993E-2</v>
      </c>
      <c r="I6" s="75">
        <f t="shared" si="1"/>
        <v>2.9017483103390494E-2</v>
      </c>
      <c r="J6" s="79">
        <f t="shared" si="3"/>
        <v>10.736468748254483</v>
      </c>
      <c r="K6" s="79">
        <f t="shared" si="4"/>
        <v>8.7988040873999154</v>
      </c>
      <c r="M6" s="50">
        <v>5</v>
      </c>
      <c r="N6" s="8" t="s">
        <v>263</v>
      </c>
      <c r="O6" s="9">
        <v>85.059450153332975</v>
      </c>
      <c r="P6" s="9">
        <v>28.89656502603847</v>
      </c>
      <c r="Q6" s="33" t="s">
        <v>22</v>
      </c>
      <c r="R6" s="99">
        <v>329.6</v>
      </c>
      <c r="S6" s="99">
        <v>11406.2</v>
      </c>
      <c r="T6" s="8">
        <v>42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</row>
    <row r="7" spans="1:40" ht="14.25" customHeight="1">
      <c r="A7" s="7">
        <v>10301</v>
      </c>
      <c r="B7" s="8" t="s">
        <v>11</v>
      </c>
      <c r="C7" s="8" t="s">
        <v>23</v>
      </c>
      <c r="D7" s="8" t="s">
        <v>24</v>
      </c>
      <c r="E7" s="89">
        <v>1</v>
      </c>
      <c r="F7" s="90">
        <v>160.80000000000001</v>
      </c>
      <c r="G7" s="75">
        <f t="shared" si="0"/>
        <v>8.8652482269503553E-3</v>
      </c>
      <c r="H7" s="78">
        <f t="shared" si="2"/>
        <v>2.6241134751773053E-2</v>
      </c>
      <c r="I7" s="75">
        <f t="shared" si="1"/>
        <v>2.2454337261911414E-2</v>
      </c>
      <c r="J7" s="79">
        <f t="shared" si="3"/>
        <v>8.308104786907224</v>
      </c>
      <c r="K7" s="79">
        <f t="shared" si="4"/>
        <v>3.1584982886983521</v>
      </c>
      <c r="M7" s="50">
        <v>6</v>
      </c>
      <c r="N7" s="8" t="s">
        <v>25</v>
      </c>
      <c r="O7" s="9">
        <v>28.451792999785269</v>
      </c>
      <c r="P7" s="9">
        <v>11.348147208926363</v>
      </c>
      <c r="Q7" s="33" t="s">
        <v>25</v>
      </c>
      <c r="R7" s="99">
        <v>71.599999999999994</v>
      </c>
      <c r="S7" s="99">
        <v>6309.4</v>
      </c>
      <c r="T7" s="8">
        <v>25</v>
      </c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</row>
    <row r="8" spans="1:40" ht="14.25" customHeight="1">
      <c r="A8" s="7">
        <v>10302</v>
      </c>
      <c r="B8" s="8" t="s">
        <v>11</v>
      </c>
      <c r="C8" s="8" t="s">
        <v>23</v>
      </c>
      <c r="D8" s="8" t="s">
        <v>26</v>
      </c>
      <c r="E8" s="89">
        <v>2.8</v>
      </c>
      <c r="F8" s="90">
        <v>155.80000000000001</v>
      </c>
      <c r="G8" s="75">
        <f t="shared" si="0"/>
        <v>2.4822695035460991E-2</v>
      </c>
      <c r="H8" s="78">
        <f t="shared" si="2"/>
        <v>7.3475177304964528E-2</v>
      </c>
      <c r="I8" s="75">
        <f t="shared" si="1"/>
        <v>2.1756130257498747E-2</v>
      </c>
      <c r="J8" s="79">
        <f t="shared" si="3"/>
        <v>8.0497681952745364</v>
      </c>
      <c r="K8" s="79">
        <f t="shared" si="4"/>
        <v>9.1276140532961865</v>
      </c>
      <c r="M8" s="50">
        <v>7</v>
      </c>
      <c r="N8" s="8" t="s">
        <v>27</v>
      </c>
      <c r="O8" s="9">
        <v>35.373800276056883</v>
      </c>
      <c r="P8" s="9">
        <v>13.329091323507066</v>
      </c>
      <c r="Q8" s="33" t="s">
        <v>27</v>
      </c>
      <c r="R8" s="99">
        <v>561.4</v>
      </c>
      <c r="S8" s="99">
        <v>42118.400000000001</v>
      </c>
      <c r="T8" s="8">
        <v>8</v>
      </c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</row>
    <row r="9" spans="1:40" ht="14.25" customHeight="1">
      <c r="A9" s="7">
        <v>10303</v>
      </c>
      <c r="B9" s="8" t="s">
        <v>11</v>
      </c>
      <c r="C9" s="8" t="s">
        <v>23</v>
      </c>
      <c r="D9" s="8" t="s">
        <v>28</v>
      </c>
      <c r="E9" s="89">
        <v>1.4</v>
      </c>
      <c r="F9" s="90">
        <v>109.4</v>
      </c>
      <c r="G9" s="75">
        <f t="shared" si="0"/>
        <v>1.2411347517730495E-2</v>
      </c>
      <c r="H9" s="78">
        <f t="shared" si="2"/>
        <v>3.6737588652482264E-2</v>
      </c>
      <c r="I9" s="75">
        <f t="shared" si="1"/>
        <v>1.5276769256549184E-2</v>
      </c>
      <c r="J9" s="79">
        <f t="shared" si="3"/>
        <v>5.6524046249231983</v>
      </c>
      <c r="K9" s="79">
        <f t="shared" si="4"/>
        <v>6.4994619264330247</v>
      </c>
      <c r="M9" s="50">
        <v>8</v>
      </c>
      <c r="N9" s="8" t="s">
        <v>29</v>
      </c>
      <c r="O9" s="9">
        <v>61.034425411608183</v>
      </c>
      <c r="P9" s="9">
        <v>17.873421917732532</v>
      </c>
      <c r="Q9" s="33" t="s">
        <v>29</v>
      </c>
      <c r="R9" s="99">
        <v>129.4</v>
      </c>
      <c r="S9" s="99">
        <v>7239.8</v>
      </c>
      <c r="T9" s="8">
        <v>24</v>
      </c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</row>
    <row r="10" spans="1:40" ht="14.25" customHeight="1">
      <c r="A10" s="7">
        <v>10304</v>
      </c>
      <c r="B10" s="8" t="s">
        <v>11</v>
      </c>
      <c r="C10" s="8" t="s">
        <v>23</v>
      </c>
      <c r="D10" s="8" t="s">
        <v>30</v>
      </c>
      <c r="E10" s="89">
        <v>1.4</v>
      </c>
      <c r="F10" s="90">
        <v>103.8</v>
      </c>
      <c r="G10" s="75">
        <f t="shared" si="0"/>
        <v>1.2411347517730495E-2</v>
      </c>
      <c r="H10" s="78">
        <f t="shared" si="2"/>
        <v>3.6737588652482264E-2</v>
      </c>
      <c r="I10" s="75">
        <f t="shared" si="1"/>
        <v>1.4494777411606994E-2</v>
      </c>
      <c r="J10" s="79">
        <f t="shared" si="3"/>
        <v>5.3630676422945873</v>
      </c>
      <c r="K10" s="79">
        <f t="shared" si="4"/>
        <v>6.8501072712116864</v>
      </c>
      <c r="M10" s="50">
        <v>9</v>
      </c>
      <c r="N10" s="8" t="s">
        <v>31</v>
      </c>
      <c r="O10" s="9">
        <v>26.733254994124557</v>
      </c>
      <c r="P10" s="9">
        <v>13.772077375946175</v>
      </c>
      <c r="Q10" s="33" t="s">
        <v>31</v>
      </c>
      <c r="R10" s="99">
        <v>26.2</v>
      </c>
      <c r="S10" s="99">
        <v>1902.4</v>
      </c>
      <c r="T10" s="8">
        <v>10</v>
      </c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</row>
    <row r="11" spans="1:40" ht="14.25" customHeight="1">
      <c r="A11" s="7">
        <v>10401</v>
      </c>
      <c r="B11" s="8" t="s">
        <v>11</v>
      </c>
      <c r="C11" s="8" t="s">
        <v>32</v>
      </c>
      <c r="D11" s="8" t="s">
        <v>33</v>
      </c>
      <c r="E11" s="89">
        <v>1.4</v>
      </c>
      <c r="F11" s="90">
        <v>116.8</v>
      </c>
      <c r="G11" s="75">
        <f t="shared" si="0"/>
        <v>1.2411347517730495E-2</v>
      </c>
      <c r="H11" s="78">
        <f t="shared" si="2"/>
        <v>3.6737588652482264E-2</v>
      </c>
      <c r="I11" s="75">
        <f t="shared" si="1"/>
        <v>1.6310115623079931E-2</v>
      </c>
      <c r="J11" s="79">
        <f t="shared" si="3"/>
        <v>6.0347427805395748</v>
      </c>
      <c r="K11" s="79">
        <f t="shared" si="4"/>
        <v>6.0876809482172343</v>
      </c>
      <c r="M11" s="50">
        <v>10</v>
      </c>
      <c r="N11" s="8" t="s">
        <v>323</v>
      </c>
      <c r="O11" s="9">
        <v>37.220026350461133</v>
      </c>
      <c r="P11" s="9">
        <v>13.069997095556202</v>
      </c>
      <c r="Q11" s="33" t="s">
        <v>323</v>
      </c>
      <c r="R11" s="99">
        <v>27</v>
      </c>
      <c r="S11" s="99">
        <v>2065.8000000000002</v>
      </c>
      <c r="T11" s="78">
        <f>SUM(H246:H248)/SUM(J246:J248)*1000</f>
        <v>28.793240109882085</v>
      </c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</row>
    <row r="12" spans="1:40" ht="14.25" customHeight="1">
      <c r="A12" s="7">
        <v>10402</v>
      </c>
      <c r="B12" s="8" t="s">
        <v>11</v>
      </c>
      <c r="C12" s="8" t="s">
        <v>32</v>
      </c>
      <c r="D12" s="8" t="s">
        <v>32</v>
      </c>
      <c r="E12" s="89">
        <v>1.6</v>
      </c>
      <c r="F12" s="90">
        <v>109</v>
      </c>
      <c r="G12" s="75">
        <f t="shared" si="0"/>
        <v>1.4184397163120569E-2</v>
      </c>
      <c r="H12" s="78">
        <f t="shared" si="2"/>
        <v>4.198581560283688E-2</v>
      </c>
      <c r="I12" s="75">
        <f t="shared" si="1"/>
        <v>1.5220912696196168E-2</v>
      </c>
      <c r="J12" s="79">
        <f t="shared" si="3"/>
        <v>5.6317376975925821</v>
      </c>
      <c r="K12" s="79">
        <f t="shared" si="4"/>
        <v>7.4552150432689182</v>
      </c>
      <c r="M12" s="50">
        <v>11</v>
      </c>
      <c r="N12" s="8" t="s">
        <v>34</v>
      </c>
      <c r="O12" s="9">
        <v>54.10161949226729</v>
      </c>
      <c r="P12" s="9">
        <v>18.16430840552642</v>
      </c>
      <c r="Q12" s="33" t="s">
        <v>34</v>
      </c>
      <c r="R12" s="99">
        <v>2614.1999999999998</v>
      </c>
      <c r="S12" s="99">
        <v>143919.6</v>
      </c>
      <c r="T12" s="66">
        <v>16</v>
      </c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</row>
    <row r="13" spans="1:40" ht="14.25" customHeight="1">
      <c r="A13" s="7">
        <v>10403</v>
      </c>
      <c r="B13" s="8" t="s">
        <v>11</v>
      </c>
      <c r="C13" s="8" t="s">
        <v>32</v>
      </c>
      <c r="D13" s="8" t="s">
        <v>35</v>
      </c>
      <c r="E13" s="89">
        <v>0.8</v>
      </c>
      <c r="F13" s="90">
        <v>85.6</v>
      </c>
      <c r="G13" s="75">
        <f t="shared" si="0"/>
        <v>7.0921985815602844E-3</v>
      </c>
      <c r="H13" s="78">
        <f t="shared" si="2"/>
        <v>2.099290780141844E-2</v>
      </c>
      <c r="I13" s="75">
        <f t="shared" si="1"/>
        <v>1.195330391554488E-2</v>
      </c>
      <c r="J13" s="79">
        <f t="shared" si="3"/>
        <v>4.4227224487516059</v>
      </c>
      <c r="K13" s="79">
        <f t="shared" si="4"/>
        <v>4.746603035726122</v>
      </c>
      <c r="M13" s="33"/>
      <c r="N13" s="33"/>
      <c r="O13" s="33"/>
      <c r="P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</row>
    <row r="14" spans="1:40" ht="14.25" customHeight="1">
      <c r="A14" s="7">
        <v>10404</v>
      </c>
      <c r="B14" s="8" t="s">
        <v>11</v>
      </c>
      <c r="C14" s="8" t="s">
        <v>32</v>
      </c>
      <c r="D14" s="8" t="s">
        <v>36</v>
      </c>
      <c r="E14" s="89">
        <v>0.8</v>
      </c>
      <c r="F14" s="90">
        <v>40.799999999999997</v>
      </c>
      <c r="G14" s="75">
        <f t="shared" si="0"/>
        <v>7.0921985815602844E-3</v>
      </c>
      <c r="H14" s="78">
        <f t="shared" si="2"/>
        <v>2.099290780141844E-2</v>
      </c>
      <c r="I14" s="75">
        <f t="shared" si="1"/>
        <v>5.6973691560073727E-3</v>
      </c>
      <c r="J14" s="79">
        <f t="shared" si="3"/>
        <v>2.108026587722728</v>
      </c>
      <c r="K14" s="79">
        <f t="shared" si="4"/>
        <v>9.9585593102489227</v>
      </c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</row>
    <row r="15" spans="1:40" ht="14.25" customHeight="1">
      <c r="A15" s="7">
        <v>10405</v>
      </c>
      <c r="B15" s="8" t="s">
        <v>11</v>
      </c>
      <c r="C15" s="8" t="s">
        <v>32</v>
      </c>
      <c r="D15" s="8" t="s">
        <v>37</v>
      </c>
      <c r="E15" s="89">
        <v>0.8</v>
      </c>
      <c r="F15" s="90">
        <v>67.599999999999994</v>
      </c>
      <c r="G15" s="75">
        <f t="shared" si="0"/>
        <v>7.0921985815602844E-3</v>
      </c>
      <c r="H15" s="78">
        <f t="shared" si="2"/>
        <v>2.099290780141844E-2</v>
      </c>
      <c r="I15" s="75">
        <f t="shared" si="1"/>
        <v>9.4397586996592744E-3</v>
      </c>
      <c r="J15" s="79">
        <f t="shared" si="3"/>
        <v>3.4927107188739317</v>
      </c>
      <c r="K15" s="79">
        <f t="shared" si="4"/>
        <v>6.0104914180200595</v>
      </c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</row>
    <row r="16" spans="1:40" ht="14.25" customHeight="1">
      <c r="A16" s="7">
        <v>10501</v>
      </c>
      <c r="B16" s="8" t="s">
        <v>11</v>
      </c>
      <c r="C16" s="8" t="s">
        <v>38</v>
      </c>
      <c r="D16" s="8" t="s">
        <v>39</v>
      </c>
      <c r="E16" s="89">
        <v>2.2000000000000002</v>
      </c>
      <c r="F16" s="90">
        <v>280.8</v>
      </c>
      <c r="G16" s="75">
        <f t="shared" si="0"/>
        <v>1.9503546099290781E-2</v>
      </c>
      <c r="H16" s="78">
        <f t="shared" si="2"/>
        <v>5.7730496453900708E-2</v>
      </c>
      <c r="I16" s="75">
        <f t="shared" si="1"/>
        <v>3.9211305367815454E-2</v>
      </c>
      <c r="J16" s="79">
        <f t="shared" si="3"/>
        <v>14.508182986091718</v>
      </c>
      <c r="K16" s="79">
        <f t="shared" si="4"/>
        <v>3.9791679295225388</v>
      </c>
      <c r="M16" s="49" t="s">
        <v>464</v>
      </c>
      <c r="N16" s="49" t="s">
        <v>7</v>
      </c>
      <c r="O16" s="49" t="s">
        <v>465</v>
      </c>
      <c r="P16" s="49" t="s">
        <v>466</v>
      </c>
      <c r="Q16" s="45" t="s">
        <v>467</v>
      </c>
      <c r="R16" s="45" t="s">
        <v>468</v>
      </c>
      <c r="S16" s="96" t="s">
        <v>503</v>
      </c>
      <c r="T16" s="63" t="s">
        <v>485</v>
      </c>
      <c r="U16" s="97" t="s">
        <v>486</v>
      </c>
      <c r="V16" s="63"/>
      <c r="W16" s="6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</row>
    <row r="17" spans="1:40" ht="14.25" customHeight="1">
      <c r="A17" s="7">
        <v>10502</v>
      </c>
      <c r="B17" s="8" t="s">
        <v>11</v>
      </c>
      <c r="C17" s="8" t="s">
        <v>38</v>
      </c>
      <c r="D17" s="8" t="s">
        <v>40</v>
      </c>
      <c r="E17" s="89">
        <v>1.4</v>
      </c>
      <c r="F17" s="90">
        <v>93.8</v>
      </c>
      <c r="G17" s="75">
        <f t="shared" si="0"/>
        <v>1.2411347517730495E-2</v>
      </c>
      <c r="H17" s="78">
        <f t="shared" si="2"/>
        <v>3.6737588652482264E-2</v>
      </c>
      <c r="I17" s="75">
        <f t="shared" si="1"/>
        <v>1.3098363402781657E-2</v>
      </c>
      <c r="J17" s="79">
        <f t="shared" si="3"/>
        <v>4.846394459029213</v>
      </c>
      <c r="K17" s="79">
        <f t="shared" si="4"/>
        <v>7.5803958928760444</v>
      </c>
      <c r="M17" s="8">
        <v>1</v>
      </c>
      <c r="N17" s="8" t="s">
        <v>11</v>
      </c>
      <c r="O17" s="8">
        <v>31</v>
      </c>
      <c r="P17" s="8">
        <v>8</v>
      </c>
      <c r="Q17" s="51">
        <f t="shared" ref="Q17:Q25" si="5">O2-O17</f>
        <v>17.945001729505364</v>
      </c>
      <c r="R17" s="51">
        <f t="shared" ref="R17:R25" si="6">P2-P17</f>
        <v>7.7515500195497946</v>
      </c>
      <c r="S17" s="84">
        <f>P17*U17/1000</f>
        <v>2.96</v>
      </c>
      <c r="T17" s="64">
        <v>571</v>
      </c>
      <c r="U17" s="84">
        <v>370</v>
      </c>
      <c r="V17" s="65"/>
      <c r="W17" s="65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</row>
    <row r="18" spans="1:40" ht="14.25" customHeight="1">
      <c r="A18" s="7">
        <v>10601</v>
      </c>
      <c r="B18" s="8" t="s">
        <v>11</v>
      </c>
      <c r="C18" s="8" t="s">
        <v>41</v>
      </c>
      <c r="D18" s="8" t="s">
        <v>42</v>
      </c>
      <c r="E18" s="89">
        <v>4</v>
      </c>
      <c r="F18" s="90">
        <v>142.6</v>
      </c>
      <c r="G18" s="75">
        <f t="shared" si="0"/>
        <v>3.5460992907801421E-2</v>
      </c>
      <c r="H18" s="78">
        <f t="shared" si="2"/>
        <v>0.10496453900709221</v>
      </c>
      <c r="I18" s="75">
        <f t="shared" si="1"/>
        <v>1.99128637658493E-2</v>
      </c>
      <c r="J18" s="79">
        <f t="shared" si="3"/>
        <v>7.3677595933642408</v>
      </c>
      <c r="K18" s="79">
        <f t="shared" si="4"/>
        <v>14.24646633443745</v>
      </c>
      <c r="M18" s="8">
        <v>2</v>
      </c>
      <c r="N18" s="8" t="s">
        <v>15</v>
      </c>
      <c r="O18" s="8">
        <v>70</v>
      </c>
      <c r="P18" s="8">
        <v>17</v>
      </c>
      <c r="Q18" s="51">
        <f t="shared" si="5"/>
        <v>-2.4179874677478921</v>
      </c>
      <c r="R18" s="51">
        <f t="shared" si="6"/>
        <v>5.4526718907843588</v>
      </c>
      <c r="S18" s="84">
        <f t="shared" ref="S18:S28" si="7">P18*U18/1000</f>
        <v>29.545999999999999</v>
      </c>
      <c r="T18" s="64">
        <v>1226</v>
      </c>
      <c r="U18" s="84">
        <v>1738</v>
      </c>
      <c r="V18" s="65"/>
      <c r="W18" s="65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</row>
    <row r="19" spans="1:40" ht="14.25" customHeight="1">
      <c r="A19" s="7">
        <v>10602</v>
      </c>
      <c r="B19" s="8" t="s">
        <v>11</v>
      </c>
      <c r="C19" s="8" t="s">
        <v>41</v>
      </c>
      <c r="D19" s="8" t="s">
        <v>41</v>
      </c>
      <c r="E19" s="89">
        <v>1.8</v>
      </c>
      <c r="F19" s="90">
        <v>92</v>
      </c>
      <c r="G19" s="75">
        <f t="shared" si="0"/>
        <v>1.5957446808510641E-2</v>
      </c>
      <c r="H19" s="78">
        <f t="shared" si="2"/>
        <v>4.7234042553191496E-2</v>
      </c>
      <c r="I19" s="75">
        <f t="shared" si="1"/>
        <v>1.2847008881193096E-2</v>
      </c>
      <c r="J19" s="79">
        <f t="shared" si="3"/>
        <v>4.7533932860414456</v>
      </c>
      <c r="K19" s="79">
        <f t="shared" si="4"/>
        <v>9.9369102682701218</v>
      </c>
      <c r="M19" s="8">
        <v>3</v>
      </c>
      <c r="N19" s="8" t="s">
        <v>17</v>
      </c>
      <c r="O19" s="8">
        <v>75</v>
      </c>
      <c r="P19" s="8">
        <v>11</v>
      </c>
      <c r="Q19" s="51">
        <f t="shared" si="5"/>
        <v>-15.706442651144329</v>
      </c>
      <c r="R19" s="51">
        <f t="shared" si="6"/>
        <v>6.49382159566035</v>
      </c>
      <c r="S19" s="84">
        <f t="shared" si="7"/>
        <v>13.827</v>
      </c>
      <c r="T19" s="64">
        <v>974</v>
      </c>
      <c r="U19" s="84">
        <v>1257</v>
      </c>
      <c r="V19" s="65"/>
      <c r="W19" s="65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</row>
    <row r="20" spans="1:40" ht="14.25" customHeight="1">
      <c r="A20" s="7">
        <v>10701</v>
      </c>
      <c r="B20" s="8" t="s">
        <v>11</v>
      </c>
      <c r="C20" s="8" t="s">
        <v>43</v>
      </c>
      <c r="D20" s="8" t="s">
        <v>44</v>
      </c>
      <c r="E20" s="89">
        <v>4</v>
      </c>
      <c r="F20" s="90">
        <v>164</v>
      </c>
      <c r="G20" s="75">
        <f t="shared" si="0"/>
        <v>3.5460992907801421E-2</v>
      </c>
      <c r="H20" s="78">
        <f t="shared" si="2"/>
        <v>0.10496453900709221</v>
      </c>
      <c r="I20" s="75">
        <f t="shared" si="1"/>
        <v>2.2901189744735519E-2</v>
      </c>
      <c r="J20" s="79">
        <f t="shared" si="3"/>
        <v>8.4734402055521425</v>
      </c>
      <c r="K20" s="79">
        <f t="shared" si="4"/>
        <v>12.387476215187686</v>
      </c>
      <c r="M20" s="8">
        <v>4</v>
      </c>
      <c r="N20" s="8" t="s">
        <v>20</v>
      </c>
      <c r="O20" s="8">
        <v>62</v>
      </c>
      <c r="P20" s="8">
        <v>31</v>
      </c>
      <c r="Q20" s="51">
        <f t="shared" si="5"/>
        <v>-10.669579030976962</v>
      </c>
      <c r="R20" s="51">
        <f t="shared" si="6"/>
        <v>-10.128597533120146</v>
      </c>
      <c r="S20" s="84">
        <f t="shared" si="7"/>
        <v>9.0210000000000008</v>
      </c>
      <c r="T20" s="64">
        <v>628</v>
      </c>
      <c r="U20" s="84">
        <v>291</v>
      </c>
      <c r="V20" s="65"/>
      <c r="W20" s="65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</row>
    <row r="21" spans="1:40" ht="14.25" customHeight="1">
      <c r="A21" s="7">
        <v>10702</v>
      </c>
      <c r="B21" s="8" t="s">
        <v>11</v>
      </c>
      <c r="C21" s="8" t="s">
        <v>43</v>
      </c>
      <c r="D21" s="8" t="s">
        <v>45</v>
      </c>
      <c r="E21" s="89">
        <v>9.1999999999999993</v>
      </c>
      <c r="F21" s="90">
        <v>363.4</v>
      </c>
      <c r="G21" s="75">
        <f t="shared" si="0"/>
        <v>8.1560283687943255E-2</v>
      </c>
      <c r="H21" s="78">
        <f t="shared" si="2"/>
        <v>0.24141843971631202</v>
      </c>
      <c r="I21" s="75">
        <f t="shared" si="1"/>
        <v>5.0745685080712727E-2</v>
      </c>
      <c r="J21" s="79">
        <f t="shared" si="3"/>
        <v>18.775903479863707</v>
      </c>
      <c r="K21" s="79">
        <f t="shared" si="4"/>
        <v>12.857886704372026</v>
      </c>
      <c r="M21" s="8">
        <v>5</v>
      </c>
      <c r="N21" s="8" t="s">
        <v>263</v>
      </c>
      <c r="O21" s="8">
        <v>110</v>
      </c>
      <c r="P21" s="8">
        <v>42</v>
      </c>
      <c r="Q21" s="51">
        <f t="shared" si="5"/>
        <v>-24.940549846667025</v>
      </c>
      <c r="R21" s="51">
        <f t="shared" si="6"/>
        <v>-13.10343497396153</v>
      </c>
      <c r="S21" s="84">
        <f t="shared" si="7"/>
        <v>21.378</v>
      </c>
      <c r="T21" s="64">
        <v>727</v>
      </c>
      <c r="U21" s="84">
        <v>509</v>
      </c>
      <c r="V21" s="65"/>
      <c r="W21" s="65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</row>
    <row r="22" spans="1:40" ht="14.25" customHeight="1">
      <c r="A22" s="7">
        <v>10703</v>
      </c>
      <c r="B22" s="8" t="s">
        <v>11</v>
      </c>
      <c r="C22" s="8" t="s">
        <v>43</v>
      </c>
      <c r="D22" s="8" t="s">
        <v>46</v>
      </c>
      <c r="E22" s="89">
        <v>4.5999999999999996</v>
      </c>
      <c r="F22" s="90">
        <v>208.4</v>
      </c>
      <c r="G22" s="75">
        <f t="shared" si="0"/>
        <v>4.0780141843971628E-2</v>
      </c>
      <c r="H22" s="78">
        <f t="shared" si="2"/>
        <v>0.12070921985815601</v>
      </c>
      <c r="I22" s="75">
        <f t="shared" si="1"/>
        <v>2.9101267943920015E-2</v>
      </c>
      <c r="J22" s="79">
        <f t="shared" si="3"/>
        <v>10.767469139250405</v>
      </c>
      <c r="K22" s="79">
        <f t="shared" si="4"/>
        <v>11.210547093015339</v>
      </c>
      <c r="M22" s="8">
        <v>6</v>
      </c>
      <c r="N22" s="8" t="s">
        <v>25</v>
      </c>
      <c r="O22" s="8">
        <v>40</v>
      </c>
      <c r="P22" s="8">
        <v>25</v>
      </c>
      <c r="Q22" s="51">
        <f t="shared" si="5"/>
        <v>-11.548207000214731</v>
      </c>
      <c r="R22" s="51">
        <f t="shared" si="6"/>
        <v>-13.651852791073637</v>
      </c>
      <c r="S22" s="84">
        <f t="shared" si="7"/>
        <v>8.875</v>
      </c>
      <c r="T22" s="64">
        <v>527</v>
      </c>
      <c r="U22" s="84">
        <v>355</v>
      </c>
      <c r="V22" s="65"/>
      <c r="W22" s="65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</row>
    <row r="23" spans="1:40" ht="14.25" customHeight="1">
      <c r="A23" s="7">
        <v>10704</v>
      </c>
      <c r="B23" s="8" t="s">
        <v>11</v>
      </c>
      <c r="C23" s="8" t="s">
        <v>43</v>
      </c>
      <c r="D23" s="8" t="s">
        <v>47</v>
      </c>
      <c r="E23" s="89">
        <v>3.2</v>
      </c>
      <c r="F23" s="90">
        <v>202.4</v>
      </c>
      <c r="G23" s="75">
        <f t="shared" si="0"/>
        <v>2.8368794326241138E-2</v>
      </c>
      <c r="H23" s="78">
        <f t="shared" si="2"/>
        <v>8.3971631205673761E-2</v>
      </c>
      <c r="I23" s="75">
        <f t="shared" si="1"/>
        <v>2.8263419538624813E-2</v>
      </c>
      <c r="J23" s="79">
        <f t="shared" si="3"/>
        <v>10.457465229291181</v>
      </c>
      <c r="K23" s="79">
        <f t="shared" si="4"/>
        <v>8.0298264794101986</v>
      </c>
      <c r="M23" s="8">
        <v>7</v>
      </c>
      <c r="N23" s="8" t="s">
        <v>27</v>
      </c>
      <c r="O23" s="8">
        <v>31</v>
      </c>
      <c r="P23" s="8">
        <v>8</v>
      </c>
      <c r="Q23" s="51">
        <f t="shared" si="5"/>
        <v>4.3738002760568833</v>
      </c>
      <c r="R23" s="51">
        <f t="shared" si="6"/>
        <v>5.3290913235070665</v>
      </c>
      <c r="S23" s="84">
        <f t="shared" si="7"/>
        <v>16.696000000000002</v>
      </c>
      <c r="T23" s="64">
        <v>1112</v>
      </c>
      <c r="U23" s="84">
        <v>2087</v>
      </c>
      <c r="V23" s="65"/>
      <c r="W23" s="65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</row>
    <row r="24" spans="1:40" ht="14.25" customHeight="1">
      <c r="A24" s="7">
        <v>10801</v>
      </c>
      <c r="B24" s="8" t="s">
        <v>11</v>
      </c>
      <c r="C24" s="8" t="s">
        <v>48</v>
      </c>
      <c r="D24" s="8" t="s">
        <v>49</v>
      </c>
      <c r="E24" s="89">
        <v>2</v>
      </c>
      <c r="F24" s="90">
        <v>101.8</v>
      </c>
      <c r="G24" s="75">
        <f t="shared" si="0"/>
        <v>1.7730496453900711E-2</v>
      </c>
      <c r="H24" s="78">
        <f t="shared" si="2"/>
        <v>5.2482269503546106E-2</v>
      </c>
      <c r="I24" s="75">
        <f t="shared" si="1"/>
        <v>1.4215494609841926E-2</v>
      </c>
      <c r="J24" s="79">
        <f t="shared" si="3"/>
        <v>5.2597330056415128</v>
      </c>
      <c r="K24" s="79">
        <f t="shared" si="4"/>
        <v>9.9781242597778999</v>
      </c>
      <c r="M24" s="8">
        <v>8</v>
      </c>
      <c r="N24" s="8" t="s">
        <v>29</v>
      </c>
      <c r="O24" s="8">
        <v>50</v>
      </c>
      <c r="P24" s="8">
        <v>24</v>
      </c>
      <c r="Q24" s="51">
        <f t="shared" si="5"/>
        <v>11.034425411608183</v>
      </c>
      <c r="R24" s="51">
        <f t="shared" si="6"/>
        <v>-6.1265780822674678</v>
      </c>
      <c r="S24" s="84">
        <f t="shared" si="7"/>
        <v>7.944</v>
      </c>
      <c r="T24" s="64">
        <v>639</v>
      </c>
      <c r="U24" s="84">
        <v>331</v>
      </c>
      <c r="V24" s="65"/>
      <c r="W24" s="65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</row>
    <row r="25" spans="1:40" ht="14.25" customHeight="1">
      <c r="A25" s="7">
        <v>10901</v>
      </c>
      <c r="B25" s="8" t="s">
        <v>11</v>
      </c>
      <c r="C25" s="8" t="s">
        <v>50</v>
      </c>
      <c r="D25" s="8" t="s">
        <v>51</v>
      </c>
      <c r="E25" s="89">
        <v>0.4</v>
      </c>
      <c r="F25" s="90">
        <v>60.6</v>
      </c>
      <c r="G25" s="75">
        <f t="shared" si="0"/>
        <v>3.5460992907801422E-3</v>
      </c>
      <c r="H25" s="78">
        <f t="shared" si="2"/>
        <v>1.049645390070922E-2</v>
      </c>
      <c r="I25" s="75">
        <f t="shared" si="1"/>
        <v>8.462268893481539E-3</v>
      </c>
      <c r="J25" s="79">
        <f t="shared" si="3"/>
        <v>3.1310394905881695</v>
      </c>
      <c r="K25" s="79">
        <f t="shared" si="4"/>
        <v>3.3523863024600331</v>
      </c>
      <c r="M25" s="8">
        <v>9</v>
      </c>
      <c r="N25" s="8" t="s">
        <v>31</v>
      </c>
      <c r="O25" s="8">
        <f>59</f>
        <v>59</v>
      </c>
      <c r="P25" s="8">
        <v>10</v>
      </c>
      <c r="Q25" s="51">
        <f t="shared" si="5"/>
        <v>-32.266745005875443</v>
      </c>
      <c r="R25" s="51">
        <f t="shared" si="6"/>
        <v>3.772077375946175</v>
      </c>
      <c r="S25" s="84">
        <f t="shared" si="7"/>
        <v>1.06</v>
      </c>
      <c r="T25" s="64">
        <v>657</v>
      </c>
      <c r="U25" s="84">
        <v>106</v>
      </c>
      <c r="V25" s="65"/>
      <c r="W25" s="65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</row>
    <row r="26" spans="1:40" ht="14.25" customHeight="1">
      <c r="A26" s="7">
        <v>10902</v>
      </c>
      <c r="B26" s="8" t="s">
        <v>11</v>
      </c>
      <c r="C26" s="8" t="s">
        <v>50</v>
      </c>
      <c r="D26" s="8" t="s">
        <v>52</v>
      </c>
      <c r="E26" s="89">
        <v>5.2</v>
      </c>
      <c r="F26" s="90">
        <v>199.8</v>
      </c>
      <c r="G26" s="75">
        <f t="shared" si="0"/>
        <v>4.6099290780141848E-2</v>
      </c>
      <c r="H26" s="78">
        <f t="shared" si="2"/>
        <v>0.13645390070921987</v>
      </c>
      <c r="I26" s="75">
        <f t="shared" si="1"/>
        <v>2.7900351896330226E-2</v>
      </c>
      <c r="J26" s="79">
        <f t="shared" si="3"/>
        <v>10.323130201642183</v>
      </c>
      <c r="K26" s="79">
        <f t="shared" si="4"/>
        <v>13.218267913303377</v>
      </c>
      <c r="M26" s="8">
        <v>11</v>
      </c>
      <c r="N26" s="66" t="s">
        <v>34</v>
      </c>
      <c r="O26" s="66">
        <v>63</v>
      </c>
      <c r="P26" s="66">
        <v>16</v>
      </c>
      <c r="Q26" s="67">
        <f>O12-O26</f>
        <v>-8.8983805077327105</v>
      </c>
      <c r="R26" s="67">
        <f>P12-P26</f>
        <v>2.1643084055264197</v>
      </c>
      <c r="S26" s="84">
        <f t="shared" si="7"/>
        <v>112.688</v>
      </c>
      <c r="T26" s="64">
        <v>7061</v>
      </c>
      <c r="U26" s="84">
        <v>7043</v>
      </c>
      <c r="V26" s="65"/>
      <c r="W26" s="65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</row>
    <row r="27" spans="1:40" ht="14.25" customHeight="1">
      <c r="A27" s="7">
        <v>10903</v>
      </c>
      <c r="B27" s="8" t="s">
        <v>11</v>
      </c>
      <c r="C27" s="8" t="s">
        <v>50</v>
      </c>
      <c r="D27" s="8" t="s">
        <v>53</v>
      </c>
      <c r="E27" s="89">
        <v>0.8</v>
      </c>
      <c r="F27" s="90">
        <v>48</v>
      </c>
      <c r="G27" s="75">
        <f t="shared" si="0"/>
        <v>7.0921985815602844E-3</v>
      </c>
      <c r="H27" s="78">
        <f t="shared" si="2"/>
        <v>2.099290780141844E-2</v>
      </c>
      <c r="I27" s="75">
        <f t="shared" si="1"/>
        <v>6.7027872423616151E-3</v>
      </c>
      <c r="J27" s="79">
        <f t="shared" si="3"/>
        <v>2.4800312796737978</v>
      </c>
      <c r="K27" s="79">
        <f t="shared" si="4"/>
        <v>8.4647754137115836</v>
      </c>
      <c r="M27" s="52" t="s">
        <v>469</v>
      </c>
      <c r="N27" s="68" t="s">
        <v>481</v>
      </c>
      <c r="O27" s="68">
        <v>43</v>
      </c>
      <c r="P27" s="68">
        <v>12</v>
      </c>
      <c r="Q27" s="68"/>
      <c r="R27" s="68"/>
      <c r="S27" s="84">
        <f t="shared" si="7"/>
        <v>58.86</v>
      </c>
      <c r="T27" s="64">
        <v>4821</v>
      </c>
      <c r="U27" s="84">
        <v>4905</v>
      </c>
      <c r="V27" s="65"/>
      <c r="W27" s="65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</row>
    <row r="28" spans="1:40" ht="14.25" customHeight="1">
      <c r="A28" s="7">
        <v>11001</v>
      </c>
      <c r="B28" s="8" t="s">
        <v>11</v>
      </c>
      <c r="C28" s="8" t="s">
        <v>54</v>
      </c>
      <c r="D28" s="8" t="s">
        <v>55</v>
      </c>
      <c r="E28" s="89">
        <v>1.8</v>
      </c>
      <c r="F28" s="90">
        <v>127</v>
      </c>
      <c r="G28" s="75">
        <f t="shared" si="0"/>
        <v>1.5957446808510641E-2</v>
      </c>
      <c r="H28" s="78">
        <f t="shared" si="2"/>
        <v>4.7234042553191496E-2</v>
      </c>
      <c r="I28" s="75">
        <f t="shared" si="1"/>
        <v>1.7734457912081773E-2</v>
      </c>
      <c r="J28" s="79">
        <f t="shared" si="3"/>
        <v>6.5617494274702564</v>
      </c>
      <c r="K28" s="79">
        <f t="shared" si="4"/>
        <v>7.1983916904004026</v>
      </c>
      <c r="M28" s="33"/>
      <c r="N28" s="68" t="s">
        <v>482</v>
      </c>
      <c r="O28" s="68">
        <v>87</v>
      </c>
      <c r="P28" s="68">
        <v>25</v>
      </c>
      <c r="Q28" s="68"/>
      <c r="R28" s="68"/>
      <c r="S28" s="84">
        <f t="shared" si="7"/>
        <v>53.424999999999997</v>
      </c>
      <c r="T28" s="64">
        <v>2240</v>
      </c>
      <c r="U28" s="84">
        <v>2137</v>
      </c>
      <c r="V28" s="65"/>
      <c r="W28" s="65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</row>
    <row r="29" spans="1:40" ht="14.25" customHeight="1">
      <c r="A29" s="7">
        <v>11002</v>
      </c>
      <c r="B29" s="8" t="s">
        <v>11</v>
      </c>
      <c r="C29" s="8" t="s">
        <v>54</v>
      </c>
      <c r="D29" s="8" t="s">
        <v>56</v>
      </c>
      <c r="E29" s="89">
        <v>0.6</v>
      </c>
      <c r="F29" s="90">
        <v>33.4</v>
      </c>
      <c r="G29" s="75">
        <f t="shared" si="0"/>
        <v>5.3191489361702126E-3</v>
      </c>
      <c r="H29" s="78">
        <f t="shared" si="2"/>
        <v>1.5744680851063828E-2</v>
      </c>
      <c r="I29" s="75">
        <f t="shared" si="1"/>
        <v>4.6640227894766241E-3</v>
      </c>
      <c r="J29" s="79">
        <f t="shared" si="3"/>
        <v>1.725688432106351</v>
      </c>
      <c r="K29" s="79">
        <f t="shared" si="4"/>
        <v>9.1237100267549991</v>
      </c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</row>
    <row r="30" spans="1:40" ht="14.25" customHeight="1">
      <c r="A30" s="7">
        <v>11003</v>
      </c>
      <c r="B30" s="8" t="s">
        <v>11</v>
      </c>
      <c r="C30" s="8" t="s">
        <v>54</v>
      </c>
      <c r="D30" s="8" t="s">
        <v>57</v>
      </c>
      <c r="E30" s="89">
        <v>2</v>
      </c>
      <c r="F30" s="90">
        <v>86.2</v>
      </c>
      <c r="G30" s="75">
        <f t="shared" si="0"/>
        <v>1.7730496453900711E-2</v>
      </c>
      <c r="H30" s="78">
        <f t="shared" si="2"/>
        <v>5.2482269503546106E-2</v>
      </c>
      <c r="I30" s="75">
        <f t="shared" si="1"/>
        <v>1.2037088756074402E-2</v>
      </c>
      <c r="J30" s="79">
        <f t="shared" si="3"/>
        <v>4.4537228397475292</v>
      </c>
      <c r="K30" s="79">
        <f t="shared" si="4"/>
        <v>11.78391008869362</v>
      </c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</row>
    <row r="31" spans="1:40" ht="14.25" customHeight="1">
      <c r="A31" s="7">
        <v>20101</v>
      </c>
      <c r="B31" s="8" t="s">
        <v>15</v>
      </c>
      <c r="C31" s="8" t="s">
        <v>58</v>
      </c>
      <c r="D31" s="8" t="s">
        <v>59</v>
      </c>
      <c r="E31" s="89">
        <v>110.6</v>
      </c>
      <c r="F31" s="90">
        <v>6905.6</v>
      </c>
      <c r="G31" s="75">
        <f>E31/$R$3</f>
        <v>0.14056939501779359</v>
      </c>
      <c r="H31" s="78">
        <f>$S$18*G31</f>
        <v>4.1532633451957288</v>
      </c>
      <c r="I31" s="75">
        <f>F31/$S$3</f>
        <v>0.19706300331596402</v>
      </c>
      <c r="J31" s="79">
        <f>I31*$U$18</f>
        <v>342.49549976314546</v>
      </c>
      <c r="K31" s="79">
        <f t="shared" si="4"/>
        <v>12.126475670681629</v>
      </c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</row>
    <row r="32" spans="1:40" ht="14.25" customHeight="1">
      <c r="A32" s="7">
        <v>20102</v>
      </c>
      <c r="B32" s="8" t="s">
        <v>15</v>
      </c>
      <c r="C32" s="8" t="s">
        <v>58</v>
      </c>
      <c r="D32" s="8" t="s">
        <v>60</v>
      </c>
      <c r="E32" s="89">
        <v>8.8000000000000007</v>
      </c>
      <c r="F32" s="90">
        <v>301</v>
      </c>
      <c r="G32" s="75">
        <f t="shared" ref="G32:G56" si="8">E32/$R$3</f>
        <v>1.1184544992374175E-2</v>
      </c>
      <c r="H32" s="78">
        <f t="shared" ref="H32:H95" si="9">$S$18*G32</f>
        <v>0.3304585663446874</v>
      </c>
      <c r="I32" s="75">
        <f t="shared" ref="I32:I56" si="10">F32/$S$3</f>
        <v>8.5895452962965087E-3</v>
      </c>
      <c r="J32" s="79">
        <f t="shared" ref="J32:J95" si="11">I32*$U$18</f>
        <v>14.928629724963333</v>
      </c>
      <c r="K32" s="79">
        <f t="shared" si="4"/>
        <v>22.135894079555186</v>
      </c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</row>
    <row r="33" spans="1:40" ht="14.25" customHeight="1">
      <c r="A33" s="7">
        <v>20103</v>
      </c>
      <c r="B33" s="8" t="s">
        <v>15</v>
      </c>
      <c r="C33" s="8" t="s">
        <v>58</v>
      </c>
      <c r="D33" s="8" t="s">
        <v>61</v>
      </c>
      <c r="E33" s="89">
        <v>5.2</v>
      </c>
      <c r="F33" s="90">
        <v>231.4</v>
      </c>
      <c r="G33" s="75">
        <f t="shared" si="8"/>
        <v>6.6090493136756485E-3</v>
      </c>
      <c r="H33" s="78">
        <f t="shared" si="9"/>
        <v>0.1952709710218607</v>
      </c>
      <c r="I33" s="75">
        <f t="shared" si="10"/>
        <v>6.6033913008737939E-3</v>
      </c>
      <c r="J33" s="79">
        <f t="shared" si="11"/>
        <v>11.476694080918653</v>
      </c>
      <c r="K33" s="79">
        <f t="shared" si="4"/>
        <v>17.014566184744922</v>
      </c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</row>
    <row r="34" spans="1:40" ht="14.25" customHeight="1">
      <c r="A34" s="7">
        <v>20104</v>
      </c>
      <c r="B34" s="8" t="s">
        <v>15</v>
      </c>
      <c r="C34" s="8" t="s">
        <v>58</v>
      </c>
      <c r="D34" s="8" t="s">
        <v>62</v>
      </c>
      <c r="E34" s="89">
        <v>14.8</v>
      </c>
      <c r="F34" s="90">
        <v>581.79999999999995</v>
      </c>
      <c r="G34" s="75">
        <f t="shared" si="8"/>
        <v>1.8810371123538384E-2</v>
      </c>
      <c r="H34" s="78">
        <f t="shared" si="9"/>
        <v>0.55577122521606503</v>
      </c>
      <c r="I34" s="75">
        <f t="shared" si="10"/>
        <v>1.6602649346795045E-2</v>
      </c>
      <c r="J34" s="79">
        <f t="shared" si="11"/>
        <v>28.855404564729788</v>
      </c>
      <c r="K34" s="79">
        <f t="shared" si="4"/>
        <v>19.260559108410114</v>
      </c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</row>
    <row r="35" spans="1:40" ht="14.25" customHeight="1">
      <c r="A35" s="7">
        <v>20105</v>
      </c>
      <c r="B35" s="8" t="s">
        <v>15</v>
      </c>
      <c r="C35" s="8" t="s">
        <v>58</v>
      </c>
      <c r="D35" s="8" t="s">
        <v>63</v>
      </c>
      <c r="E35" s="89">
        <v>241</v>
      </c>
      <c r="F35" s="90">
        <v>11390.8</v>
      </c>
      <c r="G35" s="75">
        <f t="shared" si="8"/>
        <v>0.30630401626842912</v>
      </c>
      <c r="H35" s="78">
        <f t="shared" si="9"/>
        <v>9.050058464667007</v>
      </c>
      <c r="I35" s="75">
        <f t="shared" si="10"/>
        <v>0.32505578923938294</v>
      </c>
      <c r="J35" s="79">
        <f t="shared" si="11"/>
        <v>564.94696169804752</v>
      </c>
      <c r="K35" s="79">
        <f t="shared" si="4"/>
        <v>16.01930637429302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</row>
    <row r="36" spans="1:40" ht="14.25" customHeight="1">
      <c r="A36" s="7">
        <v>20201</v>
      </c>
      <c r="B36" s="8" t="s">
        <v>15</v>
      </c>
      <c r="C36" s="8" t="s">
        <v>64</v>
      </c>
      <c r="D36" s="8" t="s">
        <v>65</v>
      </c>
      <c r="E36" s="89">
        <v>14</v>
      </c>
      <c r="F36" s="90">
        <v>499.8</v>
      </c>
      <c r="G36" s="75">
        <f t="shared" si="8"/>
        <v>1.7793594306049824E-2</v>
      </c>
      <c r="H36" s="78">
        <f t="shared" si="9"/>
        <v>0.52572953736654804</v>
      </c>
      <c r="I36" s="75">
        <f t="shared" si="10"/>
        <v>1.4262640329199319E-2</v>
      </c>
      <c r="J36" s="79">
        <f t="shared" si="11"/>
        <v>24.788468892148416</v>
      </c>
      <c r="K36" s="79">
        <f t="shared" si="4"/>
        <v>21.208632919359911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</row>
    <row r="37" spans="1:40" ht="14.25" customHeight="1">
      <c r="A37" s="7">
        <v>20202</v>
      </c>
      <c r="B37" s="8" t="s">
        <v>15</v>
      </c>
      <c r="C37" s="8" t="s">
        <v>64</v>
      </c>
      <c r="D37" s="8" t="s">
        <v>66</v>
      </c>
      <c r="E37" s="89">
        <v>5.4</v>
      </c>
      <c r="F37" s="90">
        <v>164.2</v>
      </c>
      <c r="G37" s="75">
        <f t="shared" si="8"/>
        <v>6.8632435180477893E-3</v>
      </c>
      <c r="H37" s="78">
        <f t="shared" si="9"/>
        <v>0.20278139298423997</v>
      </c>
      <c r="I37" s="75">
        <f t="shared" si="10"/>
        <v>4.6857253742587594E-3</v>
      </c>
      <c r="J37" s="79">
        <f t="shared" si="11"/>
        <v>8.1437907004617234</v>
      </c>
      <c r="K37" s="79">
        <f t="shared" si="4"/>
        <v>24.900123350756424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</row>
    <row r="38" spans="1:40" ht="14.25" customHeight="1">
      <c r="A38" s="7">
        <v>20203</v>
      </c>
      <c r="B38" s="8" t="s">
        <v>15</v>
      </c>
      <c r="C38" s="8" t="s">
        <v>64</v>
      </c>
      <c r="D38" s="8" t="s">
        <v>67</v>
      </c>
      <c r="E38" s="89">
        <v>2</v>
      </c>
      <c r="F38" s="90">
        <v>66.599999999999994</v>
      </c>
      <c r="G38" s="75">
        <f t="shared" si="8"/>
        <v>2.5419420437214034E-3</v>
      </c>
      <c r="H38" s="78">
        <f t="shared" si="9"/>
        <v>7.5104219623792587E-2</v>
      </c>
      <c r="I38" s="75">
        <f t="shared" si="10"/>
        <v>1.9005439094131142E-3</v>
      </c>
      <c r="J38" s="79">
        <f t="shared" si="11"/>
        <v>3.3031453145599925</v>
      </c>
      <c r="K38" s="79">
        <f t="shared" si="4"/>
        <v>22.737183039674147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</row>
    <row r="39" spans="1:40" ht="14.25" customHeight="1">
      <c r="A39" s="7">
        <v>20204</v>
      </c>
      <c r="B39" s="8" t="s">
        <v>15</v>
      </c>
      <c r="C39" s="8" t="s">
        <v>64</v>
      </c>
      <c r="D39" s="8" t="s">
        <v>68</v>
      </c>
      <c r="E39" s="89">
        <v>2.8</v>
      </c>
      <c r="F39" s="90">
        <v>83.6</v>
      </c>
      <c r="G39" s="75">
        <f t="shared" si="8"/>
        <v>3.5587188612099642E-3</v>
      </c>
      <c r="H39" s="78">
        <f t="shared" si="9"/>
        <v>0.1051459074733096</v>
      </c>
      <c r="I39" s="75">
        <f t="shared" si="10"/>
        <v>2.3856677301341794E-3</v>
      </c>
      <c r="J39" s="79">
        <f t="shared" si="11"/>
        <v>4.1462905149732041</v>
      </c>
      <c r="K39" s="79">
        <f t="shared" si="4"/>
        <v>25.359030461952354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</row>
    <row r="40" spans="1:40" ht="14.25" customHeight="1">
      <c r="A40" s="7">
        <v>20205</v>
      </c>
      <c r="B40" s="8" t="s">
        <v>15</v>
      </c>
      <c r="C40" s="8" t="s">
        <v>64</v>
      </c>
      <c r="D40" s="8" t="s">
        <v>69</v>
      </c>
      <c r="E40" s="89">
        <v>2.8</v>
      </c>
      <c r="F40" s="90">
        <v>82.8</v>
      </c>
      <c r="G40" s="75">
        <f t="shared" si="8"/>
        <v>3.5587188612099642E-3</v>
      </c>
      <c r="H40" s="78">
        <f t="shared" si="9"/>
        <v>0.1051459074733096</v>
      </c>
      <c r="I40" s="75">
        <f t="shared" si="10"/>
        <v>2.3628383738649528E-3</v>
      </c>
      <c r="J40" s="79">
        <f t="shared" si="11"/>
        <v>4.1066130937772876</v>
      </c>
      <c r="K40" s="79">
        <f t="shared" si="4"/>
        <v>25.60404524902436</v>
      </c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</row>
    <row r="41" spans="1:40" ht="14.25" customHeight="1">
      <c r="A41" s="7">
        <v>20206</v>
      </c>
      <c r="B41" s="8" t="s">
        <v>15</v>
      </c>
      <c r="C41" s="8" t="s">
        <v>64</v>
      </c>
      <c r="D41" s="8" t="s">
        <v>70</v>
      </c>
      <c r="E41" s="89">
        <v>0.6</v>
      </c>
      <c r="F41" s="90">
        <v>37.6</v>
      </c>
      <c r="G41" s="75">
        <f t="shared" si="8"/>
        <v>7.6258261311642095E-4</v>
      </c>
      <c r="H41" s="78">
        <f t="shared" si="9"/>
        <v>2.2531265887137775E-2</v>
      </c>
      <c r="I41" s="75">
        <f t="shared" si="10"/>
        <v>1.0729797446536503E-3</v>
      </c>
      <c r="J41" s="79">
        <f t="shared" si="11"/>
        <v>1.8648387962080442</v>
      </c>
      <c r="K41" s="79">
        <f t="shared" si="4"/>
        <v>12.082152051401312</v>
      </c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</row>
    <row r="42" spans="1:40" ht="14.25" customHeight="1">
      <c r="A42" s="7">
        <v>20301</v>
      </c>
      <c r="B42" s="8" t="s">
        <v>15</v>
      </c>
      <c r="C42" s="8" t="s">
        <v>71</v>
      </c>
      <c r="D42" s="8" t="s">
        <v>72</v>
      </c>
      <c r="E42" s="89">
        <v>5.6</v>
      </c>
      <c r="F42" s="90">
        <v>131</v>
      </c>
      <c r="G42" s="75">
        <f t="shared" si="8"/>
        <v>7.1174377224199285E-3</v>
      </c>
      <c r="H42" s="78">
        <f t="shared" si="9"/>
        <v>0.21029181494661919</v>
      </c>
      <c r="I42" s="75">
        <f t="shared" si="10"/>
        <v>3.7383070890858556E-3</v>
      </c>
      <c r="J42" s="79">
        <f t="shared" si="11"/>
        <v>6.4971777208312167</v>
      </c>
      <c r="K42" s="79">
        <f t="shared" si="4"/>
        <v>32.366640406400258</v>
      </c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</row>
    <row r="43" spans="1:40" ht="14.25" customHeight="1">
      <c r="A43" s="7">
        <v>20302</v>
      </c>
      <c r="B43" s="8" t="s">
        <v>15</v>
      </c>
      <c r="C43" s="8" t="s">
        <v>71</v>
      </c>
      <c r="D43" s="8" t="s">
        <v>73</v>
      </c>
      <c r="E43" s="89">
        <v>4</v>
      </c>
      <c r="F43" s="90">
        <v>148.4</v>
      </c>
      <c r="G43" s="75">
        <f t="shared" si="8"/>
        <v>5.0838840874428068E-3</v>
      </c>
      <c r="H43" s="78">
        <f t="shared" si="9"/>
        <v>0.15020843924758517</v>
      </c>
      <c r="I43" s="75">
        <f t="shared" si="10"/>
        <v>4.2348455879415341E-3</v>
      </c>
      <c r="J43" s="79">
        <f t="shared" si="11"/>
        <v>7.3601616318423861</v>
      </c>
      <c r="K43" s="79">
        <f t="shared" si="4"/>
        <v>20.408307148818032</v>
      </c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</row>
    <row r="44" spans="1:40" ht="14.25" customHeight="1">
      <c r="A44" s="7">
        <v>20303</v>
      </c>
      <c r="B44" s="8" t="s">
        <v>15</v>
      </c>
      <c r="C44" s="8" t="s">
        <v>71</v>
      </c>
      <c r="D44" s="8" t="s">
        <v>74</v>
      </c>
      <c r="E44" s="89">
        <v>4</v>
      </c>
      <c r="F44" s="90">
        <v>114</v>
      </c>
      <c r="G44" s="75">
        <f t="shared" si="8"/>
        <v>5.0838840874428068E-3</v>
      </c>
      <c r="H44" s="78">
        <f t="shared" si="9"/>
        <v>0.15020843924758517</v>
      </c>
      <c r="I44" s="75">
        <f t="shared" si="10"/>
        <v>3.2531832683647902E-3</v>
      </c>
      <c r="J44" s="79">
        <f t="shared" si="11"/>
        <v>5.6540325204180055</v>
      </c>
      <c r="K44" s="79">
        <f t="shared" si="4"/>
        <v>26.56660334109295</v>
      </c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</row>
    <row r="45" spans="1:40" ht="14.25" customHeight="1">
      <c r="A45" s="7">
        <v>20304</v>
      </c>
      <c r="B45" s="8" t="s">
        <v>15</v>
      </c>
      <c r="C45" s="8" t="s">
        <v>71</v>
      </c>
      <c r="D45" s="8" t="s">
        <v>75</v>
      </c>
      <c r="E45" s="89">
        <v>0.8</v>
      </c>
      <c r="F45" s="90">
        <v>62</v>
      </c>
      <c r="G45" s="75">
        <f t="shared" si="8"/>
        <v>1.0167768174885613E-3</v>
      </c>
      <c r="H45" s="78">
        <f t="shared" si="9"/>
        <v>3.0041687849517031E-2</v>
      </c>
      <c r="I45" s="75">
        <f t="shared" si="10"/>
        <v>1.7692751108650615E-3</v>
      </c>
      <c r="J45" s="79">
        <f t="shared" si="11"/>
        <v>3.0750001426834768</v>
      </c>
      <c r="K45" s="79">
        <f t="shared" si="4"/>
        <v>9.7696541318857939</v>
      </c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</row>
    <row r="46" spans="1:40" ht="14.25" customHeight="1">
      <c r="A46" s="7">
        <v>20305</v>
      </c>
      <c r="B46" s="8" t="s">
        <v>15</v>
      </c>
      <c r="C46" s="8" t="s">
        <v>71</v>
      </c>
      <c r="D46" s="8" t="s">
        <v>76</v>
      </c>
      <c r="E46" s="89">
        <v>2.2000000000000002</v>
      </c>
      <c r="F46" s="90">
        <v>46.6</v>
      </c>
      <c r="G46" s="75">
        <f t="shared" si="8"/>
        <v>2.7961362480935438E-3</v>
      </c>
      <c r="H46" s="78">
        <f t="shared" si="9"/>
        <v>8.261464158617185E-2</v>
      </c>
      <c r="I46" s="75">
        <f t="shared" si="10"/>
        <v>1.3298100026824494E-3</v>
      </c>
      <c r="J46" s="79">
        <f t="shared" si="11"/>
        <v>2.3112097846620969</v>
      </c>
      <c r="K46" s="79">
        <f t="shared" si="4"/>
        <v>35.745193765805325</v>
      </c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</row>
    <row r="47" spans="1:40" ht="14.25" customHeight="1">
      <c r="A47" s="7">
        <v>20306</v>
      </c>
      <c r="B47" s="8" t="s">
        <v>15</v>
      </c>
      <c r="C47" s="8" t="s">
        <v>71</v>
      </c>
      <c r="D47" s="8" t="s">
        <v>77</v>
      </c>
      <c r="E47" s="89">
        <v>1.4</v>
      </c>
      <c r="F47" s="90">
        <v>44</v>
      </c>
      <c r="G47" s="75">
        <f t="shared" si="8"/>
        <v>1.7793594306049821E-3</v>
      </c>
      <c r="H47" s="78">
        <f t="shared" si="9"/>
        <v>5.2572953736654798E-2</v>
      </c>
      <c r="I47" s="75">
        <f t="shared" si="10"/>
        <v>1.255614594807463E-3</v>
      </c>
      <c r="J47" s="79">
        <f t="shared" si="11"/>
        <v>2.1822581657753708</v>
      </c>
      <c r="K47" s="79">
        <f t="shared" si="4"/>
        <v>24.091078938854732</v>
      </c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</row>
    <row r="48" spans="1:40" ht="14.25" customHeight="1">
      <c r="A48" s="7">
        <v>20307</v>
      </c>
      <c r="B48" s="8" t="s">
        <v>15</v>
      </c>
      <c r="C48" s="8" t="s">
        <v>71</v>
      </c>
      <c r="D48" s="8" t="s">
        <v>78</v>
      </c>
      <c r="E48" s="89">
        <v>0.4</v>
      </c>
      <c r="F48" s="90">
        <v>44.8</v>
      </c>
      <c r="G48" s="75">
        <f t="shared" si="8"/>
        <v>5.0838840874428064E-4</v>
      </c>
      <c r="H48" s="78">
        <f t="shared" si="9"/>
        <v>1.5020843924758515E-2</v>
      </c>
      <c r="I48" s="75">
        <f t="shared" si="10"/>
        <v>1.2784439510766894E-3</v>
      </c>
      <c r="J48" s="79">
        <f t="shared" si="11"/>
        <v>2.221935586971286</v>
      </c>
      <c r="K48" s="79">
        <f t="shared" si="4"/>
        <v>6.7602517430459743</v>
      </c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</row>
    <row r="49" spans="1:40" ht="14.25" customHeight="1">
      <c r="A49" s="7">
        <v>20308</v>
      </c>
      <c r="B49" s="8" t="s">
        <v>15</v>
      </c>
      <c r="C49" s="8" t="s">
        <v>71</v>
      </c>
      <c r="D49" s="8" t="s">
        <v>79</v>
      </c>
      <c r="E49" s="89">
        <v>2</v>
      </c>
      <c r="F49" s="90">
        <v>70</v>
      </c>
      <c r="G49" s="75">
        <f t="shared" si="8"/>
        <v>2.5419420437214034E-3</v>
      </c>
      <c r="H49" s="78">
        <f t="shared" si="9"/>
        <v>7.5104219623792587E-2</v>
      </c>
      <c r="I49" s="75">
        <f t="shared" si="10"/>
        <v>1.9975686735573274E-3</v>
      </c>
      <c r="J49" s="79">
        <f t="shared" si="11"/>
        <v>3.4717743546426352</v>
      </c>
      <c r="K49" s="79">
        <f t="shared" si="4"/>
        <v>21.632805577747114</v>
      </c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</row>
    <row r="50" spans="1:40" ht="14.25" customHeight="1">
      <c r="A50" s="7">
        <v>20401</v>
      </c>
      <c r="B50" s="8" t="s">
        <v>15</v>
      </c>
      <c r="C50" s="8" t="s">
        <v>80</v>
      </c>
      <c r="D50" s="8" t="s">
        <v>81</v>
      </c>
      <c r="E50" s="89">
        <v>2.8</v>
      </c>
      <c r="F50" s="90">
        <v>124.8</v>
      </c>
      <c r="G50" s="75">
        <f t="shared" si="8"/>
        <v>3.5587188612099642E-3</v>
      </c>
      <c r="H50" s="78">
        <f t="shared" si="9"/>
        <v>0.1051459074733096</v>
      </c>
      <c r="I50" s="75">
        <f t="shared" si="10"/>
        <v>3.5613795779993493E-3</v>
      </c>
      <c r="J50" s="79">
        <f t="shared" si="11"/>
        <v>6.1896777065628692</v>
      </c>
      <c r="K50" s="79">
        <f t="shared" si="4"/>
        <v>16.987299251756543</v>
      </c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</row>
    <row r="51" spans="1:40" ht="14.25" customHeight="1">
      <c r="A51" s="7">
        <v>20402</v>
      </c>
      <c r="B51" s="8" t="s">
        <v>15</v>
      </c>
      <c r="C51" s="8" t="s">
        <v>80</v>
      </c>
      <c r="D51" s="8" t="s">
        <v>82</v>
      </c>
      <c r="E51" s="89">
        <v>4.2</v>
      </c>
      <c r="F51" s="90">
        <v>157</v>
      </c>
      <c r="G51" s="75">
        <f t="shared" si="8"/>
        <v>5.3380782918149468E-3</v>
      </c>
      <c r="H51" s="78">
        <f t="shared" si="9"/>
        <v>0.15771886120996442</v>
      </c>
      <c r="I51" s="75">
        <f t="shared" si="10"/>
        <v>4.4802611678357203E-3</v>
      </c>
      <c r="J51" s="79">
        <f t="shared" si="11"/>
        <v>7.7866939096984815</v>
      </c>
      <c r="K51" s="79">
        <f t="shared" si="4"/>
        <v>20.254919872158126</v>
      </c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</row>
    <row r="52" spans="1:40" ht="14.25" customHeight="1">
      <c r="A52" s="7">
        <v>20403</v>
      </c>
      <c r="B52" s="8" t="s">
        <v>15</v>
      </c>
      <c r="C52" s="8" t="s">
        <v>80</v>
      </c>
      <c r="D52" s="8" t="s">
        <v>83</v>
      </c>
      <c r="E52" s="89">
        <v>5.2</v>
      </c>
      <c r="F52" s="90">
        <v>166.8</v>
      </c>
      <c r="G52" s="75">
        <f t="shared" si="8"/>
        <v>6.6090493136756485E-3</v>
      </c>
      <c r="H52" s="78">
        <f t="shared" si="9"/>
        <v>0.1952709710218607</v>
      </c>
      <c r="I52" s="75">
        <f t="shared" si="10"/>
        <v>4.7599207821337466E-3</v>
      </c>
      <c r="J52" s="79">
        <f t="shared" si="11"/>
        <v>8.2727423193484508</v>
      </c>
      <c r="K52" s="79">
        <f t="shared" si="4"/>
        <v>23.60414037859697</v>
      </c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</row>
    <row r="53" spans="1:40" ht="14.25" customHeight="1">
      <c r="A53" s="7">
        <v>20404</v>
      </c>
      <c r="B53" s="8" t="s">
        <v>15</v>
      </c>
      <c r="C53" s="8" t="s">
        <v>80</v>
      </c>
      <c r="D53" s="8" t="s">
        <v>84</v>
      </c>
      <c r="E53" s="89">
        <v>0.8</v>
      </c>
      <c r="F53" s="90">
        <v>55.2</v>
      </c>
      <c r="G53" s="75">
        <f t="shared" si="8"/>
        <v>1.0167768174885613E-3</v>
      </c>
      <c r="H53" s="78">
        <f t="shared" si="9"/>
        <v>3.0041687849517031E-2</v>
      </c>
      <c r="I53" s="75">
        <f t="shared" si="10"/>
        <v>1.5752255825766353E-3</v>
      </c>
      <c r="J53" s="79">
        <f t="shared" si="11"/>
        <v>2.7377420625181923</v>
      </c>
      <c r="K53" s="79">
        <f t="shared" si="4"/>
        <v>10.973162249581868</v>
      </c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</row>
    <row r="54" spans="1:40" ht="14.25" customHeight="1">
      <c r="A54" s="7">
        <v>20405</v>
      </c>
      <c r="B54" s="8" t="s">
        <v>15</v>
      </c>
      <c r="C54" s="8" t="s">
        <v>80</v>
      </c>
      <c r="D54" s="8" t="s">
        <v>85</v>
      </c>
      <c r="E54" s="89">
        <v>2.4</v>
      </c>
      <c r="F54" s="90">
        <v>76.8</v>
      </c>
      <c r="G54" s="75">
        <f t="shared" si="8"/>
        <v>3.0503304524656838E-3</v>
      </c>
      <c r="H54" s="78">
        <f t="shared" si="9"/>
        <v>9.0125063548551099E-2</v>
      </c>
      <c r="I54" s="75">
        <f t="shared" si="10"/>
        <v>2.1916182018457534E-3</v>
      </c>
      <c r="J54" s="79">
        <f t="shared" si="11"/>
        <v>3.8090324348079196</v>
      </c>
      <c r="K54" s="79">
        <f t="shared" si="4"/>
        <v>23.660881100660905</v>
      </c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</row>
    <row r="55" spans="1:40" ht="14.25" customHeight="1">
      <c r="A55" s="7">
        <v>20501</v>
      </c>
      <c r="B55" s="8" t="s">
        <v>15</v>
      </c>
      <c r="C55" s="8" t="s">
        <v>86</v>
      </c>
      <c r="D55" s="8" t="s">
        <v>87</v>
      </c>
      <c r="E55" s="89">
        <v>3.6</v>
      </c>
      <c r="F55" s="90">
        <v>181.6</v>
      </c>
      <c r="G55" s="75">
        <f t="shared" si="8"/>
        <v>4.5754956786985259E-3</v>
      </c>
      <c r="H55" s="78">
        <f t="shared" si="9"/>
        <v>0.13518759532282665</v>
      </c>
      <c r="I55" s="75">
        <f t="shared" si="10"/>
        <v>5.1822638731144378E-3</v>
      </c>
      <c r="J55" s="79">
        <f t="shared" si="11"/>
        <v>9.0067746114728937</v>
      </c>
      <c r="K55" s="79">
        <f t="shared" si="4"/>
        <v>15.00954572024304</v>
      </c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</row>
    <row r="56" spans="1:40" ht="14.25" customHeight="1">
      <c r="A56" s="7">
        <v>20502</v>
      </c>
      <c r="B56" s="8" t="s">
        <v>15</v>
      </c>
      <c r="C56" s="8" t="s">
        <v>86</v>
      </c>
      <c r="D56" s="8" t="s">
        <v>88</v>
      </c>
      <c r="E56" s="89">
        <v>2</v>
      </c>
      <c r="F56" s="90">
        <v>90.6</v>
      </c>
      <c r="G56" s="75">
        <f t="shared" si="8"/>
        <v>2.5419420437214034E-3</v>
      </c>
      <c r="H56" s="78">
        <f t="shared" si="9"/>
        <v>7.5104219623792587E-2</v>
      </c>
      <c r="I56" s="75">
        <f t="shared" si="10"/>
        <v>2.5854245974899124E-3</v>
      </c>
      <c r="J56" s="79">
        <f t="shared" si="11"/>
        <v>4.4934679504374673</v>
      </c>
      <c r="K56" s="79">
        <f t="shared" si="4"/>
        <v>16.714088194727353</v>
      </c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</row>
    <row r="57" spans="1:40" ht="14.25" customHeight="1">
      <c r="A57" s="7">
        <v>20503</v>
      </c>
      <c r="B57" s="8" t="s">
        <v>15</v>
      </c>
      <c r="C57" s="8" t="s">
        <v>86</v>
      </c>
      <c r="D57" s="8" t="s">
        <v>89</v>
      </c>
      <c r="E57" s="89">
        <v>1.2</v>
      </c>
      <c r="F57" s="90">
        <v>89</v>
      </c>
      <c r="G57" s="75">
        <f>E57/$R$3</f>
        <v>1.5251652262328419E-3</v>
      </c>
      <c r="H57" s="78">
        <f>$S$18*G57</f>
        <v>4.5062531774275549E-2</v>
      </c>
      <c r="I57" s="75">
        <f>F57/$S$3</f>
        <v>2.5397658849514592E-3</v>
      </c>
      <c r="J57" s="79">
        <f>I57*$U$18</f>
        <v>4.4141131080456359</v>
      </c>
      <c r="K57" s="79">
        <f t="shared" si="4"/>
        <v>10.208739710846952</v>
      </c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</row>
    <row r="58" spans="1:40" ht="14.25" customHeight="1">
      <c r="A58" s="7">
        <v>20601</v>
      </c>
      <c r="B58" s="8" t="s">
        <v>15</v>
      </c>
      <c r="C58" s="8" t="s">
        <v>90</v>
      </c>
      <c r="D58" s="8" t="s">
        <v>91</v>
      </c>
      <c r="E58" s="89">
        <v>7</v>
      </c>
      <c r="F58" s="90">
        <v>376</v>
      </c>
      <c r="G58" s="75">
        <f t="shared" ref="G58:G67" si="12">E58/$R$3</f>
        <v>8.8967971530249119E-3</v>
      </c>
      <c r="H58" s="78">
        <f t="shared" si="9"/>
        <v>0.26286476868327402</v>
      </c>
      <c r="I58" s="75">
        <f t="shared" ref="I58:I67" si="13">F58/$S$3</f>
        <v>1.0729797446536501E-2</v>
      </c>
      <c r="J58" s="79">
        <f t="shared" si="11"/>
        <v>18.648387962080438</v>
      </c>
      <c r="K58" s="79">
        <f t="shared" si="4"/>
        <v>14.095844059968199</v>
      </c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</row>
    <row r="59" spans="1:40" ht="14.25" customHeight="1">
      <c r="A59" s="7">
        <v>20602</v>
      </c>
      <c r="B59" s="8" t="s">
        <v>15</v>
      </c>
      <c r="C59" s="8" t="s">
        <v>90</v>
      </c>
      <c r="D59" s="8" t="s">
        <v>92</v>
      </c>
      <c r="E59" s="89">
        <v>7.8</v>
      </c>
      <c r="F59" s="90">
        <v>237.2</v>
      </c>
      <c r="G59" s="75">
        <f t="shared" si="12"/>
        <v>9.9135739705134718E-3</v>
      </c>
      <c r="H59" s="78">
        <f t="shared" si="9"/>
        <v>0.29290645653279102</v>
      </c>
      <c r="I59" s="75">
        <f t="shared" si="13"/>
        <v>6.7689041338256867E-3</v>
      </c>
      <c r="J59" s="79">
        <f t="shared" si="11"/>
        <v>11.764355384589043</v>
      </c>
      <c r="K59" s="79">
        <f t="shared" si="4"/>
        <v>24.897790567980444</v>
      </c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</row>
    <row r="60" spans="1:40" ht="14.25" customHeight="1">
      <c r="A60" s="7">
        <v>20603</v>
      </c>
      <c r="B60" s="8" t="s">
        <v>15</v>
      </c>
      <c r="C60" s="8" t="s">
        <v>90</v>
      </c>
      <c r="D60" s="8" t="s">
        <v>93</v>
      </c>
      <c r="E60" s="89">
        <v>0.8</v>
      </c>
      <c r="F60" s="90">
        <v>129</v>
      </c>
      <c r="G60" s="75">
        <f t="shared" si="12"/>
        <v>1.0167768174885613E-3</v>
      </c>
      <c r="H60" s="78">
        <f t="shared" si="9"/>
        <v>3.0041687849517031E-2</v>
      </c>
      <c r="I60" s="75">
        <f t="shared" si="13"/>
        <v>3.6812336984127893E-3</v>
      </c>
      <c r="J60" s="79">
        <f t="shared" si="11"/>
        <v>6.397984167841428</v>
      </c>
      <c r="K60" s="79">
        <f t="shared" si="4"/>
        <v>4.6954926835420085</v>
      </c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</row>
    <row r="61" spans="1:40" ht="14.25" customHeight="1">
      <c r="A61" s="7">
        <v>20604</v>
      </c>
      <c r="B61" s="8" t="s">
        <v>15</v>
      </c>
      <c r="C61" s="8" t="s">
        <v>90</v>
      </c>
      <c r="D61" s="8" t="s">
        <v>94</v>
      </c>
      <c r="E61" s="89">
        <v>1.8</v>
      </c>
      <c r="F61" s="90">
        <v>57.2</v>
      </c>
      <c r="G61" s="75">
        <f t="shared" si="12"/>
        <v>2.287747839349263E-3</v>
      </c>
      <c r="H61" s="78">
        <f t="shared" si="9"/>
        <v>6.7593797661413324E-2</v>
      </c>
      <c r="I61" s="75">
        <f t="shared" si="13"/>
        <v>1.6322989732497019E-3</v>
      </c>
      <c r="J61" s="79">
        <f t="shared" si="11"/>
        <v>2.8369356155079819</v>
      </c>
      <c r="K61" s="79">
        <f t="shared" si="4"/>
        <v>23.826341807658533</v>
      </c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</row>
    <row r="62" spans="1:40" ht="14.25" customHeight="1">
      <c r="A62" s="7">
        <v>20605</v>
      </c>
      <c r="B62" s="8" t="s">
        <v>15</v>
      </c>
      <c r="C62" s="8" t="s">
        <v>90</v>
      </c>
      <c r="D62" s="8" t="s">
        <v>95</v>
      </c>
      <c r="E62" s="89">
        <v>0.4</v>
      </c>
      <c r="F62" s="90">
        <v>26.4</v>
      </c>
      <c r="G62" s="75">
        <f t="shared" si="12"/>
        <v>5.0838840874428064E-4</v>
      </c>
      <c r="H62" s="78">
        <f t="shared" si="9"/>
        <v>1.5020843924758515E-2</v>
      </c>
      <c r="I62" s="75">
        <f t="shared" si="13"/>
        <v>7.5336875688447776E-4</v>
      </c>
      <c r="J62" s="79">
        <f t="shared" si="11"/>
        <v>1.3093548994652224</v>
      </c>
      <c r="K62" s="79">
        <f t="shared" si="4"/>
        <v>11.47194235183559</v>
      </c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</row>
    <row r="63" spans="1:40" ht="14.25" customHeight="1">
      <c r="A63" s="7">
        <v>20606</v>
      </c>
      <c r="B63" s="8" t="s">
        <v>15</v>
      </c>
      <c r="C63" s="8" t="s">
        <v>90</v>
      </c>
      <c r="D63" s="8" t="s">
        <v>96</v>
      </c>
      <c r="E63" s="89">
        <v>3.8</v>
      </c>
      <c r="F63" s="90">
        <v>107.2</v>
      </c>
      <c r="G63" s="75">
        <f t="shared" si="12"/>
        <v>4.8296898830706659E-3</v>
      </c>
      <c r="H63" s="78">
        <f t="shared" si="9"/>
        <v>0.1426980172852059</v>
      </c>
      <c r="I63" s="75">
        <f t="shared" si="13"/>
        <v>3.0591337400763642E-3</v>
      </c>
      <c r="J63" s="79">
        <f t="shared" si="11"/>
        <v>5.3167744402527211</v>
      </c>
      <c r="K63" s="79">
        <f t="shared" si="4"/>
        <v>26.839208412689985</v>
      </c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</row>
    <row r="64" spans="1:40" ht="14.25" customHeight="1">
      <c r="A64" s="7">
        <v>20607</v>
      </c>
      <c r="B64" s="8" t="s">
        <v>15</v>
      </c>
      <c r="C64" s="8" t="s">
        <v>90</v>
      </c>
      <c r="D64" s="8" t="s">
        <v>97</v>
      </c>
      <c r="E64" s="89">
        <v>9</v>
      </c>
      <c r="F64" s="90">
        <v>378</v>
      </c>
      <c r="G64" s="75">
        <f t="shared" si="12"/>
        <v>1.1438739196746315E-2</v>
      </c>
      <c r="H64" s="78">
        <f t="shared" si="9"/>
        <v>0.33796898830706662</v>
      </c>
      <c r="I64" s="75">
        <f t="shared" si="13"/>
        <v>1.0786870837209568E-2</v>
      </c>
      <c r="J64" s="79">
        <f t="shared" si="11"/>
        <v>18.74758151507023</v>
      </c>
      <c r="K64" s="79">
        <f t="shared" si="4"/>
        <v>18.027337981455929</v>
      </c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</row>
    <row r="65" spans="1:40" ht="14.25" customHeight="1">
      <c r="A65" s="7">
        <v>20608</v>
      </c>
      <c r="B65" s="8" t="s">
        <v>15</v>
      </c>
      <c r="C65" s="8" t="s">
        <v>90</v>
      </c>
      <c r="D65" s="8" t="s">
        <v>98</v>
      </c>
      <c r="E65" s="89">
        <v>5.8</v>
      </c>
      <c r="F65" s="90">
        <v>185.6</v>
      </c>
      <c r="G65" s="75">
        <f t="shared" si="12"/>
        <v>7.3716319267920693E-3</v>
      </c>
      <c r="H65" s="78">
        <f t="shared" si="9"/>
        <v>0.21780223690899847</v>
      </c>
      <c r="I65" s="75">
        <f t="shared" si="13"/>
        <v>5.2964106544605713E-3</v>
      </c>
      <c r="J65" s="79">
        <f t="shared" si="11"/>
        <v>9.2051617174524729</v>
      </c>
      <c r="K65" s="79">
        <f t="shared" si="4"/>
        <v>23.660881100660905</v>
      </c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</row>
    <row r="66" spans="1:40" ht="14.25" customHeight="1">
      <c r="A66" s="7">
        <v>20701</v>
      </c>
      <c r="B66" s="8" t="s">
        <v>15</v>
      </c>
      <c r="C66" s="8" t="s">
        <v>99</v>
      </c>
      <c r="D66" s="8" t="s">
        <v>100</v>
      </c>
      <c r="E66" s="89">
        <v>8.4</v>
      </c>
      <c r="F66" s="90">
        <v>296</v>
      </c>
      <c r="G66" s="75">
        <f t="shared" si="12"/>
        <v>1.0676156583629894E-2</v>
      </c>
      <c r="H66" s="78">
        <f t="shared" si="9"/>
        <v>0.31543772241992885</v>
      </c>
      <c r="I66" s="75">
        <f t="shared" si="13"/>
        <v>8.446861819613842E-3</v>
      </c>
      <c r="J66" s="79">
        <f t="shared" si="11"/>
        <v>14.680645842488858</v>
      </c>
      <c r="K66" s="79">
        <f t="shared" si="4"/>
        <v>21.486637972492066</v>
      </c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</row>
    <row r="67" spans="1:40" ht="14.25" customHeight="1">
      <c r="A67" s="7">
        <v>20702</v>
      </c>
      <c r="B67" s="8" t="s">
        <v>15</v>
      </c>
      <c r="C67" s="8" t="s">
        <v>99</v>
      </c>
      <c r="D67" s="8" t="s">
        <v>101</v>
      </c>
      <c r="E67" s="89">
        <v>2.6</v>
      </c>
      <c r="F67" s="90">
        <v>118.8</v>
      </c>
      <c r="G67" s="75">
        <f t="shared" si="12"/>
        <v>3.3045246568378242E-3</v>
      </c>
      <c r="H67" s="78">
        <f t="shared" si="9"/>
        <v>9.7635485510930348E-2</v>
      </c>
      <c r="I67" s="75">
        <f t="shared" si="13"/>
        <v>3.3901594059801499E-3</v>
      </c>
      <c r="J67" s="79">
        <f t="shared" si="11"/>
        <v>5.8920970475935004</v>
      </c>
      <c r="K67" s="79">
        <f t="shared" ref="K67:K130" si="14">1000*H67/J67</f>
        <v>16.570583397095852</v>
      </c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</row>
    <row r="68" spans="1:40" ht="14.25" customHeight="1">
      <c r="A68" s="7">
        <v>20801</v>
      </c>
      <c r="B68" s="8" t="s">
        <v>15</v>
      </c>
      <c r="C68" s="8" t="s">
        <v>102</v>
      </c>
      <c r="D68" s="8" t="s">
        <v>103</v>
      </c>
      <c r="E68" s="89">
        <v>34.799999999999997</v>
      </c>
      <c r="F68" s="90">
        <v>1453.6</v>
      </c>
      <c r="G68" s="75">
        <f>E68/$R$3</f>
        <v>4.4229791560752414E-2</v>
      </c>
      <c r="H68" s="78">
        <f>$S$18*G68</f>
        <v>1.3068134214539908</v>
      </c>
      <c r="I68" s="75">
        <f>F68/$S$3</f>
        <v>4.1480940341184727E-2</v>
      </c>
      <c r="J68" s="79">
        <f>I68*$U$18</f>
        <v>72.093874312979054</v>
      </c>
      <c r="K68" s="79">
        <f t="shared" si="14"/>
        <v>18.12655283000549</v>
      </c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</row>
    <row r="69" spans="1:40" ht="14.25" customHeight="1">
      <c r="A69" s="7">
        <v>20802</v>
      </c>
      <c r="B69" s="8" t="s">
        <v>15</v>
      </c>
      <c r="C69" s="8" t="s">
        <v>102</v>
      </c>
      <c r="D69" s="8" t="s">
        <v>104</v>
      </c>
      <c r="E69" s="89">
        <v>3.4</v>
      </c>
      <c r="F69" s="90">
        <v>85.4</v>
      </c>
      <c r="G69" s="75">
        <f t="shared" ref="G69:G82" si="15">E69/$R$3</f>
        <v>4.3213014743263851E-3</v>
      </c>
      <c r="H69" s="78">
        <f t="shared" si="9"/>
        <v>0.12767717336044737</v>
      </c>
      <c r="I69" s="75">
        <f t="shared" ref="I69:I82" si="16">F69/$S$3</f>
        <v>2.4370337817399396E-3</v>
      </c>
      <c r="J69" s="79">
        <f t="shared" si="11"/>
        <v>4.235564712664015</v>
      </c>
      <c r="K69" s="79">
        <f t="shared" si="14"/>
        <v>30.144073346041054</v>
      </c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</row>
    <row r="70" spans="1:40" ht="14.25" customHeight="1">
      <c r="A70" s="7">
        <v>20803</v>
      </c>
      <c r="B70" s="8" t="s">
        <v>15</v>
      </c>
      <c r="C70" s="8" t="s">
        <v>102</v>
      </c>
      <c r="D70" s="8" t="s">
        <v>105</v>
      </c>
      <c r="E70" s="89">
        <v>3.2</v>
      </c>
      <c r="F70" s="90">
        <v>157</v>
      </c>
      <c r="G70" s="75">
        <f t="shared" si="15"/>
        <v>4.0671072699542451E-3</v>
      </c>
      <c r="H70" s="78">
        <f t="shared" si="9"/>
        <v>0.12016675139806812</v>
      </c>
      <c r="I70" s="75">
        <f t="shared" si="16"/>
        <v>4.4802611678357203E-3</v>
      </c>
      <c r="J70" s="79">
        <f t="shared" si="11"/>
        <v>7.7866939096984815</v>
      </c>
      <c r="K70" s="79">
        <f t="shared" si="14"/>
        <v>15.432319902596667</v>
      </c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</row>
    <row r="71" spans="1:40" ht="14.25" customHeight="1">
      <c r="A71" s="7">
        <v>20804</v>
      </c>
      <c r="B71" s="8" t="s">
        <v>15</v>
      </c>
      <c r="C71" s="8" t="s">
        <v>102</v>
      </c>
      <c r="D71" s="8" t="s">
        <v>106</v>
      </c>
      <c r="E71" s="89">
        <v>3.2</v>
      </c>
      <c r="F71" s="90">
        <v>97.2</v>
      </c>
      <c r="G71" s="75">
        <f t="shared" si="15"/>
        <v>4.0671072699542451E-3</v>
      </c>
      <c r="H71" s="78">
        <f t="shared" si="9"/>
        <v>0.12016675139806812</v>
      </c>
      <c r="I71" s="75">
        <f t="shared" si="16"/>
        <v>2.7737667867110318E-3</v>
      </c>
      <c r="J71" s="79">
        <f t="shared" si="11"/>
        <v>4.820806675303773</v>
      </c>
      <c r="K71" s="79">
        <f t="shared" si="14"/>
        <v>24.92668955460573</v>
      </c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</row>
    <row r="72" spans="1:40" ht="14.25" customHeight="1">
      <c r="A72" s="7">
        <v>20805</v>
      </c>
      <c r="B72" s="8" t="s">
        <v>15</v>
      </c>
      <c r="C72" s="8" t="s">
        <v>102</v>
      </c>
      <c r="D72" s="8" t="s">
        <v>107</v>
      </c>
      <c r="E72" s="89">
        <v>1.2</v>
      </c>
      <c r="F72" s="90">
        <v>74</v>
      </c>
      <c r="G72" s="75">
        <f t="shared" si="15"/>
        <v>1.5251652262328419E-3</v>
      </c>
      <c r="H72" s="78">
        <f t="shared" si="9"/>
        <v>4.5062531774275549E-2</v>
      </c>
      <c r="I72" s="75">
        <f t="shared" si="16"/>
        <v>2.1117154549034605E-3</v>
      </c>
      <c r="J72" s="79">
        <f t="shared" si="11"/>
        <v>3.6701614606222144</v>
      </c>
      <c r="K72" s="79">
        <f t="shared" si="14"/>
        <v>12.278078841424037</v>
      </c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</row>
    <row r="73" spans="1:40" ht="14.25" customHeight="1">
      <c r="A73" s="7">
        <v>20806</v>
      </c>
      <c r="B73" s="8" t="s">
        <v>15</v>
      </c>
      <c r="C73" s="8" t="s">
        <v>102</v>
      </c>
      <c r="D73" s="8" t="s">
        <v>108</v>
      </c>
      <c r="E73" s="89">
        <v>2.4</v>
      </c>
      <c r="F73" s="90">
        <v>164.4</v>
      </c>
      <c r="G73" s="75">
        <f t="shared" si="15"/>
        <v>3.0503304524656838E-3</v>
      </c>
      <c r="H73" s="78">
        <f t="shared" si="9"/>
        <v>9.0125063548551099E-2</v>
      </c>
      <c r="I73" s="75">
        <f t="shared" si="16"/>
        <v>4.6914327133260663E-3</v>
      </c>
      <c r="J73" s="79">
        <f t="shared" si="11"/>
        <v>8.153710055760703</v>
      </c>
      <c r="K73" s="79">
        <f t="shared" si="14"/>
        <v>11.053258324396335</v>
      </c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</row>
    <row r="74" spans="1:40" ht="14.25" customHeight="1">
      <c r="A74" s="7">
        <v>20807</v>
      </c>
      <c r="B74" s="8" t="s">
        <v>15</v>
      </c>
      <c r="C74" s="8" t="s">
        <v>102</v>
      </c>
      <c r="D74" s="8" t="s">
        <v>109</v>
      </c>
      <c r="E74" s="89">
        <v>1</v>
      </c>
      <c r="F74" s="90">
        <v>79.400000000000006</v>
      </c>
      <c r="G74" s="75">
        <f t="shared" si="15"/>
        <v>1.2709710218607017E-3</v>
      </c>
      <c r="H74" s="78">
        <f t="shared" si="9"/>
        <v>3.7552109811896293E-2</v>
      </c>
      <c r="I74" s="75">
        <f t="shared" si="16"/>
        <v>2.2658136097207402E-3</v>
      </c>
      <c r="J74" s="79">
        <f t="shared" si="11"/>
        <v>3.9379840536946467</v>
      </c>
      <c r="K74" s="79">
        <f t="shared" si="14"/>
        <v>9.5358714763368884</v>
      </c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</row>
    <row r="75" spans="1:40" ht="14.25" customHeight="1">
      <c r="A75" s="7">
        <v>20901</v>
      </c>
      <c r="B75" s="8" t="s">
        <v>15</v>
      </c>
      <c r="C75" s="8" t="s">
        <v>110</v>
      </c>
      <c r="D75" s="8" t="s">
        <v>111</v>
      </c>
      <c r="E75" s="89">
        <v>1.4</v>
      </c>
      <c r="F75" s="90">
        <v>119.8</v>
      </c>
      <c r="G75" s="75">
        <f t="shared" si="15"/>
        <v>1.7793594306049821E-3</v>
      </c>
      <c r="H75" s="78">
        <f t="shared" si="9"/>
        <v>5.2572953736654798E-2</v>
      </c>
      <c r="I75" s="75">
        <f t="shared" si="16"/>
        <v>3.4186961013166831E-3</v>
      </c>
      <c r="J75" s="79">
        <f t="shared" si="11"/>
        <v>5.9416938240883947</v>
      </c>
      <c r="K75" s="79">
        <f t="shared" si="14"/>
        <v>8.8481425151052466</v>
      </c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</row>
    <row r="76" spans="1:40" ht="14.25" customHeight="1">
      <c r="A76" s="7">
        <v>20902</v>
      </c>
      <c r="B76" s="8" t="s">
        <v>15</v>
      </c>
      <c r="C76" s="8" t="s">
        <v>110</v>
      </c>
      <c r="D76" s="8" t="s">
        <v>112</v>
      </c>
      <c r="E76" s="89">
        <v>5.8</v>
      </c>
      <c r="F76" s="90">
        <v>188.6</v>
      </c>
      <c r="G76" s="75">
        <f t="shared" si="15"/>
        <v>7.3716319267920693E-3</v>
      </c>
      <c r="H76" s="78">
        <f t="shared" si="9"/>
        <v>0.21780223690899847</v>
      </c>
      <c r="I76" s="75">
        <f t="shared" si="16"/>
        <v>5.3820207404701708E-3</v>
      </c>
      <c r="J76" s="79">
        <f t="shared" si="11"/>
        <v>9.353952046937156</v>
      </c>
      <c r="K76" s="79">
        <f t="shared" si="14"/>
        <v>23.284515017405433</v>
      </c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</row>
    <row r="77" spans="1:40" ht="14.25" customHeight="1">
      <c r="A77" s="7">
        <v>20903</v>
      </c>
      <c r="B77" s="8" t="s">
        <v>15</v>
      </c>
      <c r="C77" s="8" t="s">
        <v>110</v>
      </c>
      <c r="D77" s="8" t="s">
        <v>113</v>
      </c>
      <c r="E77" s="89">
        <v>4</v>
      </c>
      <c r="F77" s="90">
        <v>132</v>
      </c>
      <c r="G77" s="75">
        <f t="shared" si="15"/>
        <v>5.0838840874428068E-3</v>
      </c>
      <c r="H77" s="78">
        <f t="shared" si="9"/>
        <v>0.15020843924758517</v>
      </c>
      <c r="I77" s="75">
        <f t="shared" si="16"/>
        <v>3.7668437844223888E-3</v>
      </c>
      <c r="J77" s="79">
        <f t="shared" si="11"/>
        <v>6.5467744973261119</v>
      </c>
      <c r="K77" s="79">
        <f t="shared" si="14"/>
        <v>22.943884703671184</v>
      </c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</row>
    <row r="78" spans="1:40" ht="14.25" customHeight="1">
      <c r="A78" s="7">
        <v>20904</v>
      </c>
      <c r="B78" s="8" t="s">
        <v>15</v>
      </c>
      <c r="C78" s="8" t="s">
        <v>110</v>
      </c>
      <c r="D78" s="8" t="s">
        <v>114</v>
      </c>
      <c r="E78" s="89">
        <v>0.6</v>
      </c>
      <c r="F78" s="90">
        <v>69.2</v>
      </c>
      <c r="G78" s="75">
        <f t="shared" si="15"/>
        <v>7.6258261311642095E-4</v>
      </c>
      <c r="H78" s="78">
        <f t="shared" si="9"/>
        <v>2.2531265887137775E-2</v>
      </c>
      <c r="I78" s="75">
        <f t="shared" si="16"/>
        <v>1.9747393172881008E-3</v>
      </c>
      <c r="J78" s="79">
        <f t="shared" si="11"/>
        <v>3.4320969334467191</v>
      </c>
      <c r="K78" s="79">
        <f t="shared" si="14"/>
        <v>6.5648687446920437</v>
      </c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</row>
    <row r="79" spans="1:40" ht="14.25" customHeight="1">
      <c r="A79" s="7">
        <v>20905</v>
      </c>
      <c r="B79" s="8" t="s">
        <v>15</v>
      </c>
      <c r="C79" s="8" t="s">
        <v>110</v>
      </c>
      <c r="D79" s="8" t="s">
        <v>115</v>
      </c>
      <c r="E79" s="89">
        <v>4.5999999999999996</v>
      </c>
      <c r="F79" s="90">
        <v>182</v>
      </c>
      <c r="G79" s="75">
        <f t="shared" si="15"/>
        <v>5.8464667005592268E-3</v>
      </c>
      <c r="H79" s="78">
        <f t="shared" si="9"/>
        <v>0.17273970513472292</v>
      </c>
      <c r="I79" s="75">
        <f t="shared" si="16"/>
        <v>5.1936785512490518E-3</v>
      </c>
      <c r="J79" s="79">
        <f t="shared" si="11"/>
        <v>9.0266133220708529</v>
      </c>
      <c r="K79" s="79">
        <f t="shared" si="14"/>
        <v>19.136712626468597</v>
      </c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</row>
    <row r="80" spans="1:40" ht="14.25" customHeight="1">
      <c r="A80" s="7">
        <v>21001</v>
      </c>
      <c r="B80" s="8" t="s">
        <v>15</v>
      </c>
      <c r="C80" s="8" t="s">
        <v>116</v>
      </c>
      <c r="D80" s="8" t="s">
        <v>116</v>
      </c>
      <c r="E80" s="89">
        <v>6.2</v>
      </c>
      <c r="F80" s="90">
        <v>237.8</v>
      </c>
      <c r="G80" s="75">
        <f t="shared" si="15"/>
        <v>7.8800203355363502E-3</v>
      </c>
      <c r="H80" s="78">
        <f t="shared" si="9"/>
        <v>0.232823080833757</v>
      </c>
      <c r="I80" s="75">
        <f t="shared" si="16"/>
        <v>6.7860261510276068E-3</v>
      </c>
      <c r="J80" s="79">
        <f t="shared" si="11"/>
        <v>11.79411345048598</v>
      </c>
      <c r="K80" s="79">
        <f t="shared" si="14"/>
        <v>19.740617369096398</v>
      </c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</row>
    <row r="81" spans="1:40" ht="14.25" customHeight="1">
      <c r="A81" s="7">
        <v>21002</v>
      </c>
      <c r="B81" s="8" t="s">
        <v>15</v>
      </c>
      <c r="C81" s="8" t="s">
        <v>116</v>
      </c>
      <c r="D81" s="8" t="s">
        <v>117</v>
      </c>
      <c r="E81" s="89">
        <v>4.2</v>
      </c>
      <c r="F81" s="90">
        <v>126.4</v>
      </c>
      <c r="G81" s="75">
        <f t="shared" si="15"/>
        <v>5.3380782918149468E-3</v>
      </c>
      <c r="H81" s="78">
        <f t="shared" si="9"/>
        <v>0.15771886120996442</v>
      </c>
      <c r="I81" s="75">
        <f t="shared" si="16"/>
        <v>3.6070382905378029E-3</v>
      </c>
      <c r="J81" s="79">
        <f t="shared" si="11"/>
        <v>6.2690325489547014</v>
      </c>
      <c r="K81" s="79">
        <f t="shared" si="14"/>
        <v>25.158405220955895</v>
      </c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</row>
    <row r="82" spans="1:40" ht="14.25" customHeight="1">
      <c r="A82" s="7">
        <v>21003</v>
      </c>
      <c r="B82" s="8" t="s">
        <v>15</v>
      </c>
      <c r="C82" s="8" t="s">
        <v>116</v>
      </c>
      <c r="D82" s="8" t="s">
        <v>118</v>
      </c>
      <c r="E82" s="89">
        <v>4.8</v>
      </c>
      <c r="F82" s="90">
        <v>244</v>
      </c>
      <c r="G82" s="75">
        <f t="shared" si="15"/>
        <v>6.1006609049313676E-3</v>
      </c>
      <c r="H82" s="78">
        <f t="shared" si="9"/>
        <v>0.1802501270971022</v>
      </c>
      <c r="I82" s="75">
        <f t="shared" si="16"/>
        <v>6.9629536621141127E-3</v>
      </c>
      <c r="J82" s="79">
        <f t="shared" si="11"/>
        <v>12.101613464754328</v>
      </c>
      <c r="K82" s="79">
        <f t="shared" si="14"/>
        <v>14.894718594514407</v>
      </c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</row>
    <row r="83" spans="1:40" ht="14.25" customHeight="1">
      <c r="A83" s="7">
        <v>21004</v>
      </c>
      <c r="B83" s="8" t="s">
        <v>15</v>
      </c>
      <c r="C83" s="8" t="s">
        <v>116</v>
      </c>
      <c r="D83" s="8" t="s">
        <v>119</v>
      </c>
      <c r="E83" s="89">
        <v>8.6</v>
      </c>
      <c r="F83" s="90">
        <v>317</v>
      </c>
      <c r="G83" s="75">
        <f>E83/$R$3</f>
        <v>1.0930350788002034E-2</v>
      </c>
      <c r="H83" s="78">
        <f>$S$18*G83</f>
        <v>0.32294814438230807</v>
      </c>
      <c r="I83" s="75">
        <f>F83/$S$3</f>
        <v>9.0461324216810392E-3</v>
      </c>
      <c r="J83" s="79">
        <f>I83*$U$18</f>
        <v>15.722178148881646</v>
      </c>
      <c r="K83" s="79">
        <f t="shared" si="14"/>
        <v>20.540928955526436</v>
      </c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</row>
    <row r="84" spans="1:40" ht="14.25" customHeight="1">
      <c r="A84" s="7">
        <v>21005</v>
      </c>
      <c r="B84" s="8" t="s">
        <v>15</v>
      </c>
      <c r="C84" s="8" t="s">
        <v>116</v>
      </c>
      <c r="D84" s="8" t="s">
        <v>120</v>
      </c>
      <c r="E84" s="89">
        <v>2.4</v>
      </c>
      <c r="F84" s="90">
        <v>94.4</v>
      </c>
      <c r="G84" s="75">
        <f t="shared" ref="G84:G95" si="17">E84/$R$3</f>
        <v>3.0503304524656838E-3</v>
      </c>
      <c r="H84" s="78">
        <f t="shared" si="9"/>
        <v>9.0125063548551099E-2</v>
      </c>
      <c r="I84" s="75">
        <f t="shared" ref="I84:I95" si="18">F84/$S$3</f>
        <v>2.6938640397687389E-3</v>
      </c>
      <c r="J84" s="79">
        <f t="shared" si="11"/>
        <v>4.6819357011180678</v>
      </c>
      <c r="K84" s="79">
        <f t="shared" si="14"/>
        <v>19.249530386978364</v>
      </c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</row>
    <row r="85" spans="1:40" ht="14.25" customHeight="1">
      <c r="A85" s="7">
        <v>21006</v>
      </c>
      <c r="B85" s="8" t="s">
        <v>15</v>
      </c>
      <c r="C85" s="8" t="s">
        <v>116</v>
      </c>
      <c r="D85" s="8" t="s">
        <v>121</v>
      </c>
      <c r="E85" s="89">
        <v>1.2</v>
      </c>
      <c r="F85" s="90">
        <v>98</v>
      </c>
      <c r="G85" s="75">
        <f t="shared" si="17"/>
        <v>1.5251652262328419E-3</v>
      </c>
      <c r="H85" s="78">
        <f t="shared" si="9"/>
        <v>4.5062531774275549E-2</v>
      </c>
      <c r="I85" s="75">
        <f t="shared" si="18"/>
        <v>2.7965961429802584E-3</v>
      </c>
      <c r="J85" s="79">
        <f t="shared" si="11"/>
        <v>4.8604840964996887</v>
      </c>
      <c r="K85" s="79">
        <f t="shared" si="14"/>
        <v>9.2712023904630492</v>
      </c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</row>
    <row r="86" spans="1:40" ht="14.25" customHeight="1">
      <c r="A86" s="7">
        <v>21101</v>
      </c>
      <c r="B86" s="8" t="s">
        <v>15</v>
      </c>
      <c r="C86" s="8" t="s">
        <v>122</v>
      </c>
      <c r="D86" s="8" t="s">
        <v>123</v>
      </c>
      <c r="E86" s="89">
        <v>8.1999999999999993</v>
      </c>
      <c r="F86" s="90">
        <v>242</v>
      </c>
      <c r="G86" s="75">
        <f t="shared" si="17"/>
        <v>1.0421962379257752E-2</v>
      </c>
      <c r="H86" s="78">
        <f t="shared" si="9"/>
        <v>0.30792730045754951</v>
      </c>
      <c r="I86" s="75">
        <f t="shared" si="18"/>
        <v>6.9058802714410464E-3</v>
      </c>
      <c r="J86" s="79">
        <f t="shared" si="11"/>
        <v>12.002419911764539</v>
      </c>
      <c r="K86" s="79">
        <f t="shared" si="14"/>
        <v>25.655434714105041</v>
      </c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</row>
    <row r="87" spans="1:40" ht="14.25" customHeight="1">
      <c r="A87" s="7">
        <v>21102</v>
      </c>
      <c r="B87" s="8" t="s">
        <v>15</v>
      </c>
      <c r="C87" s="8" t="s">
        <v>122</v>
      </c>
      <c r="D87" s="8" t="s">
        <v>124</v>
      </c>
      <c r="E87" s="89">
        <v>7.6</v>
      </c>
      <c r="F87" s="90">
        <v>282.60000000000002</v>
      </c>
      <c r="G87" s="75">
        <f t="shared" si="17"/>
        <v>9.6593797661413319E-3</v>
      </c>
      <c r="H87" s="78">
        <f t="shared" si="9"/>
        <v>0.28539603457041179</v>
      </c>
      <c r="I87" s="75">
        <f t="shared" si="18"/>
        <v>8.0644701021042962E-3</v>
      </c>
      <c r="J87" s="79">
        <f t="shared" si="11"/>
        <v>14.016049037457266</v>
      </c>
      <c r="K87" s="79">
        <f t="shared" si="14"/>
        <v>20.362088760370604</v>
      </c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</row>
    <row r="88" spans="1:40" ht="14.25" customHeight="1">
      <c r="A88" s="7">
        <v>21103</v>
      </c>
      <c r="B88" s="8" t="s">
        <v>15</v>
      </c>
      <c r="C88" s="8" t="s">
        <v>122</v>
      </c>
      <c r="D88" s="8" t="s">
        <v>125</v>
      </c>
      <c r="E88" s="89">
        <v>0.8</v>
      </c>
      <c r="F88" s="90">
        <v>83.6</v>
      </c>
      <c r="G88" s="75">
        <f t="shared" si="17"/>
        <v>1.0167768174885613E-3</v>
      </c>
      <c r="H88" s="78">
        <f t="shared" si="9"/>
        <v>3.0041687849517031E-2</v>
      </c>
      <c r="I88" s="75">
        <f t="shared" si="18"/>
        <v>2.3856677301341794E-3</v>
      </c>
      <c r="J88" s="79">
        <f t="shared" si="11"/>
        <v>4.1462905149732041</v>
      </c>
      <c r="K88" s="79">
        <f t="shared" si="14"/>
        <v>7.245437274843531</v>
      </c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</row>
    <row r="89" spans="1:40" ht="14.25" customHeight="1">
      <c r="A89" s="7">
        <v>21104</v>
      </c>
      <c r="B89" s="8" t="s">
        <v>15</v>
      </c>
      <c r="C89" s="8" t="s">
        <v>122</v>
      </c>
      <c r="D89" s="8" t="s">
        <v>126</v>
      </c>
      <c r="E89" s="89">
        <v>14.4</v>
      </c>
      <c r="F89" s="90">
        <v>407</v>
      </c>
      <c r="G89" s="75">
        <f t="shared" si="17"/>
        <v>1.8301982714794104E-2</v>
      </c>
      <c r="H89" s="78">
        <f t="shared" si="9"/>
        <v>0.54075038129130659</v>
      </c>
      <c r="I89" s="75">
        <f t="shared" si="18"/>
        <v>1.1614435001969032E-2</v>
      </c>
      <c r="J89" s="79">
        <f t="shared" si="11"/>
        <v>20.185888033422177</v>
      </c>
      <c r="K89" s="79">
        <f t="shared" si="14"/>
        <v>26.78853565401608</v>
      </c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</row>
    <row r="90" spans="1:40" ht="14.25" customHeight="1">
      <c r="A90" s="7">
        <v>21105</v>
      </c>
      <c r="B90" s="8" t="s">
        <v>15</v>
      </c>
      <c r="C90" s="8" t="s">
        <v>122</v>
      </c>
      <c r="D90" s="8" t="s">
        <v>127</v>
      </c>
      <c r="E90" s="89">
        <v>22.2</v>
      </c>
      <c r="F90" s="90">
        <v>692.8</v>
      </c>
      <c r="G90" s="75">
        <f t="shared" si="17"/>
        <v>2.8215556685307577E-2</v>
      </c>
      <c r="H90" s="78">
        <f t="shared" si="9"/>
        <v>0.83365683782409761</v>
      </c>
      <c r="I90" s="75">
        <f t="shared" si="18"/>
        <v>1.9770222529150235E-2</v>
      </c>
      <c r="J90" s="79">
        <f t="shared" si="11"/>
        <v>34.360646755663105</v>
      </c>
      <c r="K90" s="79">
        <f t="shared" si="14"/>
        <v>24.261965839938664</v>
      </c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</row>
    <row r="91" spans="1:40" ht="14.25" customHeight="1">
      <c r="A91" s="7">
        <v>21201</v>
      </c>
      <c r="B91" s="8" t="s">
        <v>15</v>
      </c>
      <c r="C91" s="8" t="s">
        <v>128</v>
      </c>
      <c r="D91" s="8" t="s">
        <v>129</v>
      </c>
      <c r="E91" s="89">
        <v>18.600000000000001</v>
      </c>
      <c r="F91" s="90">
        <v>643</v>
      </c>
      <c r="G91" s="75">
        <f t="shared" si="17"/>
        <v>2.3640061006609054E-2</v>
      </c>
      <c r="H91" s="78">
        <f t="shared" si="9"/>
        <v>0.69846924250127107</v>
      </c>
      <c r="I91" s="75">
        <f t="shared" si="18"/>
        <v>1.8349095101390878E-2</v>
      </c>
      <c r="J91" s="79">
        <f t="shared" si="11"/>
        <v>31.890727286217345</v>
      </c>
      <c r="K91" s="79">
        <f t="shared" si="14"/>
        <v>21.90195401417321</v>
      </c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</row>
    <row r="92" spans="1:40" ht="14.25" customHeight="1">
      <c r="A92" s="7">
        <v>21202</v>
      </c>
      <c r="B92" s="8" t="s">
        <v>15</v>
      </c>
      <c r="C92" s="8" t="s">
        <v>128</v>
      </c>
      <c r="D92" s="8" t="s">
        <v>130</v>
      </c>
      <c r="E92" s="89">
        <v>10.4</v>
      </c>
      <c r="F92" s="90">
        <v>469.8</v>
      </c>
      <c r="G92" s="75">
        <f t="shared" si="17"/>
        <v>1.3218098627351297E-2</v>
      </c>
      <c r="H92" s="78">
        <f t="shared" si="9"/>
        <v>0.39054194204372139</v>
      </c>
      <c r="I92" s="75">
        <f t="shared" si="18"/>
        <v>1.3406539469103321E-2</v>
      </c>
      <c r="J92" s="79">
        <f t="shared" si="11"/>
        <v>23.300565597301571</v>
      </c>
      <c r="K92" s="79">
        <f t="shared" si="14"/>
        <v>16.761049872924541</v>
      </c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</row>
    <row r="93" spans="1:40" ht="14.25" customHeight="1">
      <c r="A93" s="7">
        <v>21203</v>
      </c>
      <c r="B93" s="8" t="s">
        <v>15</v>
      </c>
      <c r="C93" s="8" t="s">
        <v>128</v>
      </c>
      <c r="D93" s="8" t="s">
        <v>131</v>
      </c>
      <c r="E93" s="89">
        <v>5.8</v>
      </c>
      <c r="F93" s="90">
        <v>242.4</v>
      </c>
      <c r="G93" s="75">
        <f t="shared" si="17"/>
        <v>7.3716319267920693E-3</v>
      </c>
      <c r="H93" s="78">
        <f t="shared" si="9"/>
        <v>0.21780223690899847</v>
      </c>
      <c r="I93" s="75">
        <f t="shared" si="18"/>
        <v>6.9172949495756595E-3</v>
      </c>
      <c r="J93" s="79">
        <f t="shared" si="11"/>
        <v>12.022258622362497</v>
      </c>
      <c r="K93" s="79">
        <f t="shared" si="14"/>
        <v>18.116582228888877</v>
      </c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</row>
    <row r="94" spans="1:40" ht="14.25" customHeight="1">
      <c r="A94" s="7">
        <v>21204</v>
      </c>
      <c r="B94" s="8" t="s">
        <v>15</v>
      </c>
      <c r="C94" s="8" t="s">
        <v>128</v>
      </c>
      <c r="D94" s="8" t="s">
        <v>132</v>
      </c>
      <c r="E94" s="89">
        <v>1</v>
      </c>
      <c r="F94" s="90">
        <v>74.400000000000006</v>
      </c>
      <c r="G94" s="75">
        <f t="shared" si="17"/>
        <v>1.2709710218607017E-3</v>
      </c>
      <c r="H94" s="78">
        <f t="shared" si="9"/>
        <v>3.7552109811896293E-2</v>
      </c>
      <c r="I94" s="75">
        <f t="shared" si="18"/>
        <v>2.123130133038074E-3</v>
      </c>
      <c r="J94" s="79">
        <f t="shared" si="11"/>
        <v>3.6900001712201727</v>
      </c>
      <c r="K94" s="79">
        <f t="shared" si="14"/>
        <v>10.176723054047701</v>
      </c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</row>
    <row r="95" spans="1:40" ht="14.25" customHeight="1">
      <c r="A95" s="7">
        <v>21301</v>
      </c>
      <c r="B95" s="8" t="s">
        <v>15</v>
      </c>
      <c r="C95" s="8" t="s">
        <v>133</v>
      </c>
      <c r="D95" s="8" t="s">
        <v>134</v>
      </c>
      <c r="E95" s="89">
        <v>9.1999999999999993</v>
      </c>
      <c r="F95" s="90">
        <v>407.2</v>
      </c>
      <c r="G95" s="75">
        <f t="shared" si="17"/>
        <v>1.1692933401118454E-2</v>
      </c>
      <c r="H95" s="78">
        <f t="shared" si="9"/>
        <v>0.34547941026944584</v>
      </c>
      <c r="I95" s="75">
        <f t="shared" si="18"/>
        <v>1.1620142341036338E-2</v>
      </c>
      <c r="J95" s="79">
        <f t="shared" si="11"/>
        <v>20.195807388721157</v>
      </c>
      <c r="K95" s="79">
        <f t="shared" si="14"/>
        <v>17.10649164055641</v>
      </c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</row>
    <row r="96" spans="1:40" ht="14.25" customHeight="1">
      <c r="A96" s="7">
        <v>21302</v>
      </c>
      <c r="B96" s="8" t="s">
        <v>15</v>
      </c>
      <c r="C96" s="8" t="s">
        <v>133</v>
      </c>
      <c r="D96" s="8" t="s">
        <v>135</v>
      </c>
      <c r="E96" s="89">
        <v>2.8</v>
      </c>
      <c r="F96" s="90">
        <v>87.4</v>
      </c>
      <c r="G96" s="75">
        <f>E96/$R$3</f>
        <v>3.5587188612099642E-3</v>
      </c>
      <c r="H96" s="78">
        <f>$S$18*G96</f>
        <v>0.1051459074733096</v>
      </c>
      <c r="I96" s="75">
        <f>F96/$S$3</f>
        <v>2.4941071724130064E-3</v>
      </c>
      <c r="J96" s="79">
        <f>I96*$U$18</f>
        <v>4.3347582656538046</v>
      </c>
      <c r="K96" s="79">
        <f t="shared" si="14"/>
        <v>24.256463920128336</v>
      </c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</row>
    <row r="97" spans="1:40" ht="14.25" customHeight="1">
      <c r="A97" s="7">
        <v>21303</v>
      </c>
      <c r="B97" s="8" t="s">
        <v>15</v>
      </c>
      <c r="C97" s="8" t="s">
        <v>133</v>
      </c>
      <c r="D97" s="8" t="s">
        <v>136</v>
      </c>
      <c r="E97" s="89">
        <v>6.6</v>
      </c>
      <c r="F97" s="90">
        <v>132</v>
      </c>
      <c r="G97" s="75">
        <f t="shared" ref="G97:G109" si="19">E97/$R$3</f>
        <v>8.3884087442806302E-3</v>
      </c>
      <c r="H97" s="78">
        <f t="shared" ref="H97:H109" si="20">$S$18*G97</f>
        <v>0.24784392475851549</v>
      </c>
      <c r="I97" s="75">
        <f t="shared" ref="I97:I109" si="21">F97/$S$3</f>
        <v>3.7668437844223888E-3</v>
      </c>
      <c r="J97" s="79">
        <f t="shared" ref="J97:J109" si="22">I97*$U$18</f>
        <v>6.5467744973261119</v>
      </c>
      <c r="K97" s="79">
        <f t="shared" si="14"/>
        <v>37.857409761057447</v>
      </c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</row>
    <row r="98" spans="1:40" ht="14.25" customHeight="1">
      <c r="A98" s="7">
        <v>21304</v>
      </c>
      <c r="B98" s="8" t="s">
        <v>15</v>
      </c>
      <c r="C98" s="8" t="s">
        <v>133</v>
      </c>
      <c r="D98" s="8" t="s">
        <v>137</v>
      </c>
      <c r="E98" s="89">
        <v>5.2</v>
      </c>
      <c r="F98" s="90">
        <v>182.8</v>
      </c>
      <c r="G98" s="75">
        <f t="shared" si="19"/>
        <v>6.6090493136756485E-3</v>
      </c>
      <c r="H98" s="78">
        <f t="shared" si="20"/>
        <v>0.1952709710218607</v>
      </c>
      <c r="I98" s="75">
        <f t="shared" si="21"/>
        <v>5.216507907518278E-3</v>
      </c>
      <c r="J98" s="79">
        <f t="shared" si="22"/>
        <v>9.0662907432667676</v>
      </c>
      <c r="K98" s="79">
        <f t="shared" si="14"/>
        <v>21.53813246799767</v>
      </c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</row>
    <row r="99" spans="1:40" ht="14.25" customHeight="1">
      <c r="A99" s="7">
        <v>21305</v>
      </c>
      <c r="B99" s="8" t="s">
        <v>15</v>
      </c>
      <c r="C99" s="8" t="s">
        <v>133</v>
      </c>
      <c r="D99" s="8" t="s">
        <v>138</v>
      </c>
      <c r="E99" s="89">
        <v>10.4</v>
      </c>
      <c r="F99" s="90">
        <v>337.4</v>
      </c>
      <c r="G99" s="75">
        <f t="shared" si="19"/>
        <v>1.3218098627351297E-2</v>
      </c>
      <c r="H99" s="78">
        <f t="shared" si="20"/>
        <v>0.39054194204372139</v>
      </c>
      <c r="I99" s="75">
        <f t="shared" si="21"/>
        <v>9.628281006546318E-3</v>
      </c>
      <c r="J99" s="79">
        <f t="shared" si="22"/>
        <v>16.7339523893775</v>
      </c>
      <c r="K99" s="79">
        <f t="shared" si="14"/>
        <v>23.338296473918049</v>
      </c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</row>
    <row r="100" spans="1:40" ht="14.25" customHeight="1">
      <c r="A100" s="7">
        <v>21306</v>
      </c>
      <c r="B100" s="8" t="s">
        <v>15</v>
      </c>
      <c r="C100" s="8" t="s">
        <v>133</v>
      </c>
      <c r="D100" s="8" t="s">
        <v>139</v>
      </c>
      <c r="E100" s="89">
        <v>4.5999999999999996</v>
      </c>
      <c r="F100" s="90">
        <v>167.8</v>
      </c>
      <c r="G100" s="75">
        <f t="shared" si="19"/>
        <v>5.8464667005592268E-3</v>
      </c>
      <c r="H100" s="78">
        <f t="shared" si="20"/>
        <v>0.17273970513472292</v>
      </c>
      <c r="I100" s="75">
        <f t="shared" si="21"/>
        <v>4.7884574774702798E-3</v>
      </c>
      <c r="J100" s="79">
        <f t="shared" si="22"/>
        <v>8.322339095843347</v>
      </c>
      <c r="K100" s="79">
        <f t="shared" si="14"/>
        <v>20.756148379125651</v>
      </c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</row>
    <row r="101" spans="1:40" ht="14.25" customHeight="1">
      <c r="A101" s="7">
        <v>21307</v>
      </c>
      <c r="B101" s="8" t="s">
        <v>15</v>
      </c>
      <c r="C101" s="8" t="s">
        <v>133</v>
      </c>
      <c r="D101" s="8" t="s">
        <v>140</v>
      </c>
      <c r="E101" s="89">
        <v>1.8</v>
      </c>
      <c r="F101" s="90">
        <v>56.6</v>
      </c>
      <c r="G101" s="75">
        <f t="shared" si="19"/>
        <v>2.287747839349263E-3</v>
      </c>
      <c r="H101" s="78">
        <f t="shared" si="20"/>
        <v>6.7593797661413324E-2</v>
      </c>
      <c r="I101" s="75">
        <f t="shared" si="21"/>
        <v>1.615176956047782E-3</v>
      </c>
      <c r="J101" s="79">
        <f t="shared" si="22"/>
        <v>2.8071775496110454</v>
      </c>
      <c r="K101" s="79">
        <f t="shared" si="14"/>
        <v>24.078917869223815</v>
      </c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</row>
    <row r="102" spans="1:40" ht="14.25" customHeight="1">
      <c r="A102" s="7">
        <v>21401</v>
      </c>
      <c r="B102" s="8" t="s">
        <v>15</v>
      </c>
      <c r="C102" s="8" t="s">
        <v>141</v>
      </c>
      <c r="D102" s="8" t="s">
        <v>142</v>
      </c>
      <c r="E102" s="89">
        <v>8.6</v>
      </c>
      <c r="F102" s="90">
        <v>324.60000000000002</v>
      </c>
      <c r="G102" s="75">
        <f t="shared" si="19"/>
        <v>1.0930350788002034E-2</v>
      </c>
      <c r="H102" s="78">
        <f t="shared" si="20"/>
        <v>0.32294814438230807</v>
      </c>
      <c r="I102" s="75">
        <f t="shared" si="21"/>
        <v>9.2630113062386939E-3</v>
      </c>
      <c r="J102" s="79">
        <f t="shared" si="22"/>
        <v>16.099113650242849</v>
      </c>
      <c r="K102" s="79">
        <f t="shared" si="14"/>
        <v>20.059995313930621</v>
      </c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</row>
    <row r="103" spans="1:40" ht="14.25" customHeight="1">
      <c r="A103" s="7">
        <v>21402</v>
      </c>
      <c r="B103" s="8" t="s">
        <v>15</v>
      </c>
      <c r="C103" s="8" t="s">
        <v>141</v>
      </c>
      <c r="D103" s="8" t="s">
        <v>143</v>
      </c>
      <c r="E103" s="89">
        <v>5.6</v>
      </c>
      <c r="F103" s="90">
        <v>307.60000000000002</v>
      </c>
      <c r="G103" s="75">
        <f t="shared" si="19"/>
        <v>7.1174377224199285E-3</v>
      </c>
      <c r="H103" s="78">
        <f t="shared" si="20"/>
        <v>0.21029181494661919</v>
      </c>
      <c r="I103" s="75">
        <f t="shared" si="21"/>
        <v>8.7778874855176277E-3</v>
      </c>
      <c r="J103" s="79">
        <f t="shared" si="22"/>
        <v>15.255968449829638</v>
      </c>
      <c r="K103" s="79">
        <f t="shared" si="14"/>
        <v>13.784232422751733</v>
      </c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</row>
    <row r="104" spans="1:40" ht="14.25" customHeight="1">
      <c r="A104" s="7">
        <v>21501</v>
      </c>
      <c r="B104" s="8" t="s">
        <v>15</v>
      </c>
      <c r="C104" s="8" t="s">
        <v>144</v>
      </c>
      <c r="D104" s="8" t="s">
        <v>145</v>
      </c>
      <c r="E104" s="89">
        <v>5.8</v>
      </c>
      <c r="F104" s="90">
        <v>192.4</v>
      </c>
      <c r="G104" s="75">
        <f t="shared" si="19"/>
        <v>7.3716319267920693E-3</v>
      </c>
      <c r="H104" s="78">
        <f t="shared" si="20"/>
        <v>0.21780223690899847</v>
      </c>
      <c r="I104" s="75">
        <f t="shared" si="21"/>
        <v>5.4904601827489973E-3</v>
      </c>
      <c r="J104" s="79">
        <f t="shared" si="22"/>
        <v>9.5424197976177574</v>
      </c>
      <c r="K104" s="79">
        <f t="shared" si="14"/>
        <v>22.824633743672887</v>
      </c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</row>
    <row r="105" spans="1:40" ht="14.25" customHeight="1">
      <c r="A105" s="7">
        <v>21502</v>
      </c>
      <c r="B105" s="8" t="s">
        <v>15</v>
      </c>
      <c r="C105" s="8" t="s">
        <v>144</v>
      </c>
      <c r="D105" s="8" t="s">
        <v>146</v>
      </c>
      <c r="E105" s="89">
        <v>6.4</v>
      </c>
      <c r="F105" s="90">
        <v>160</v>
      </c>
      <c r="G105" s="75">
        <f t="shared" si="19"/>
        <v>8.1342145399084902E-3</v>
      </c>
      <c r="H105" s="78">
        <f t="shared" si="20"/>
        <v>0.24033350279613624</v>
      </c>
      <c r="I105" s="75">
        <f t="shared" si="21"/>
        <v>4.5658712538453198E-3</v>
      </c>
      <c r="J105" s="79">
        <f t="shared" si="22"/>
        <v>7.9354842391831655</v>
      </c>
      <c r="K105" s="79">
        <f t="shared" si="14"/>
        <v>30.285927808845962</v>
      </c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</row>
    <row r="106" spans="1:40" ht="14.25" customHeight="1">
      <c r="A106" s="7">
        <v>21601</v>
      </c>
      <c r="B106" s="8" t="s">
        <v>15</v>
      </c>
      <c r="C106" s="8" t="s">
        <v>147</v>
      </c>
      <c r="D106" s="8" t="s">
        <v>148</v>
      </c>
      <c r="E106" s="89">
        <v>3.4</v>
      </c>
      <c r="F106" s="90">
        <v>194</v>
      </c>
      <c r="G106" s="75">
        <f t="shared" si="19"/>
        <v>4.3213014743263851E-3</v>
      </c>
      <c r="H106" s="78">
        <f t="shared" si="20"/>
        <v>0.12767717336044737</v>
      </c>
      <c r="I106" s="75">
        <f t="shared" si="21"/>
        <v>5.5361188952874505E-3</v>
      </c>
      <c r="J106" s="79">
        <f t="shared" si="22"/>
        <v>9.6217746400095887</v>
      </c>
      <c r="K106" s="79">
        <f t="shared" si="14"/>
        <v>13.269607545112919</v>
      </c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</row>
    <row r="107" spans="1:40" ht="14.25" customHeight="1">
      <c r="A107" s="7">
        <v>21602</v>
      </c>
      <c r="B107" s="8" t="s">
        <v>15</v>
      </c>
      <c r="C107" s="8" t="s">
        <v>147</v>
      </c>
      <c r="D107" s="8" t="s">
        <v>149</v>
      </c>
      <c r="E107" s="89">
        <v>1.6</v>
      </c>
      <c r="F107" s="90">
        <v>77</v>
      </c>
      <c r="G107" s="75">
        <f t="shared" si="19"/>
        <v>2.0335536349771225E-3</v>
      </c>
      <c r="H107" s="78">
        <f t="shared" si="20"/>
        <v>6.0083375699034061E-2</v>
      </c>
      <c r="I107" s="75">
        <f t="shared" si="21"/>
        <v>2.1973255409130604E-3</v>
      </c>
      <c r="J107" s="79">
        <f t="shared" si="22"/>
        <v>3.8189517901068988</v>
      </c>
      <c r="K107" s="79">
        <f t="shared" si="14"/>
        <v>15.732949511088808</v>
      </c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</row>
    <row r="108" spans="1:40" ht="14.25" customHeight="1">
      <c r="A108" s="7">
        <v>21701</v>
      </c>
      <c r="B108" s="8" t="s">
        <v>15</v>
      </c>
      <c r="C108" s="8" t="s">
        <v>150</v>
      </c>
      <c r="D108" s="8" t="s">
        <v>151</v>
      </c>
      <c r="E108" s="89">
        <v>3</v>
      </c>
      <c r="F108" s="90">
        <v>178</v>
      </c>
      <c r="G108" s="75">
        <f t="shared" si="19"/>
        <v>3.8129130655821051E-3</v>
      </c>
      <c r="H108" s="78">
        <f t="shared" si="20"/>
        <v>0.11265632943568887</v>
      </c>
      <c r="I108" s="75">
        <f t="shared" si="21"/>
        <v>5.0795317699029183E-3</v>
      </c>
      <c r="J108" s="79">
        <f t="shared" si="22"/>
        <v>8.8282262160912719</v>
      </c>
      <c r="K108" s="79">
        <f t="shared" si="14"/>
        <v>12.760924638558691</v>
      </c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</row>
    <row r="109" spans="1:40" ht="14.25" customHeight="1">
      <c r="A109" s="7">
        <v>21702</v>
      </c>
      <c r="B109" s="8" t="s">
        <v>15</v>
      </c>
      <c r="C109" s="8" t="s">
        <v>150</v>
      </c>
      <c r="D109" s="8" t="s">
        <v>152</v>
      </c>
      <c r="E109" s="89">
        <v>2.8</v>
      </c>
      <c r="F109" s="90">
        <v>79</v>
      </c>
      <c r="G109" s="75">
        <f t="shared" si="19"/>
        <v>3.5587188612099642E-3</v>
      </c>
      <c r="H109" s="78">
        <f t="shared" si="20"/>
        <v>0.1051459074733096</v>
      </c>
      <c r="I109" s="75">
        <f t="shared" si="21"/>
        <v>2.2543989315861267E-3</v>
      </c>
      <c r="J109" s="79">
        <f t="shared" si="22"/>
        <v>3.9181453430966884</v>
      </c>
      <c r="K109" s="79">
        <f t="shared" si="14"/>
        <v>26.835632235686287</v>
      </c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</row>
    <row r="110" spans="1:40" ht="14.25" customHeight="1">
      <c r="A110" s="7">
        <v>21703</v>
      </c>
      <c r="B110" s="8" t="s">
        <v>15</v>
      </c>
      <c r="C110" s="8" t="s">
        <v>150</v>
      </c>
      <c r="D110" s="8" t="s">
        <v>153</v>
      </c>
      <c r="E110" s="89">
        <v>0.6</v>
      </c>
      <c r="F110" s="90">
        <v>37.6</v>
      </c>
      <c r="G110" s="75">
        <f>E110/$R$3</f>
        <v>7.6258261311642095E-4</v>
      </c>
      <c r="H110" s="78">
        <f>$S$18*G110</f>
        <v>2.2531265887137775E-2</v>
      </c>
      <c r="I110" s="75">
        <f>F110/$S$3</f>
        <v>1.0729797446536503E-3</v>
      </c>
      <c r="J110" s="79">
        <f>I110*$U$18</f>
        <v>1.8648387962080442</v>
      </c>
      <c r="K110" s="79">
        <f t="shared" si="14"/>
        <v>12.082152051401312</v>
      </c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</row>
    <row r="111" spans="1:40" ht="14.25" customHeight="1">
      <c r="A111" s="7">
        <v>21801</v>
      </c>
      <c r="B111" s="8" t="s">
        <v>15</v>
      </c>
      <c r="C111" s="8" t="s">
        <v>154</v>
      </c>
      <c r="D111" s="8" t="s">
        <v>155</v>
      </c>
      <c r="E111" s="89">
        <v>3</v>
      </c>
      <c r="F111" s="90">
        <v>90.2</v>
      </c>
      <c r="G111" s="75">
        <f t="shared" ref="G111:G117" si="23">E111/$R$3</f>
        <v>3.8129130655821051E-3</v>
      </c>
      <c r="H111" s="78">
        <f t="shared" ref="H111:H117" si="24">$S$18*G111</f>
        <v>0.11265632943568887</v>
      </c>
      <c r="I111" s="75">
        <f t="shared" ref="I111:I117" si="25">F111/$S$3</f>
        <v>2.5740099193552993E-3</v>
      </c>
      <c r="J111" s="79">
        <f t="shared" ref="J111:J117" si="26">I111*$U$18</f>
        <v>4.4736292398395099</v>
      </c>
      <c r="K111" s="79">
        <f t="shared" si="14"/>
        <v>25.182312479639101</v>
      </c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</row>
    <row r="112" spans="1:40" ht="14.25" customHeight="1">
      <c r="A112" s="7">
        <v>21802</v>
      </c>
      <c r="B112" s="8" t="s">
        <v>15</v>
      </c>
      <c r="C112" s="8" t="s">
        <v>156</v>
      </c>
      <c r="D112" s="8" t="s">
        <v>157</v>
      </c>
      <c r="E112" s="89">
        <v>2.2000000000000002</v>
      </c>
      <c r="F112" s="90">
        <v>68.8</v>
      </c>
      <c r="G112" s="75">
        <f t="shared" si="23"/>
        <v>2.7961362480935438E-3</v>
      </c>
      <c r="H112" s="78">
        <f t="shared" si="24"/>
        <v>8.261464158617185E-2</v>
      </c>
      <c r="I112" s="75">
        <f t="shared" si="25"/>
        <v>1.9633246391534873E-3</v>
      </c>
      <c r="J112" s="79">
        <f t="shared" si="26"/>
        <v>3.4122582228487608</v>
      </c>
      <c r="K112" s="79">
        <f t="shared" si="14"/>
        <v>24.211134149513494</v>
      </c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</row>
    <row r="113" spans="1:40" ht="14.25" customHeight="1">
      <c r="A113" s="7">
        <v>21803</v>
      </c>
      <c r="B113" s="8" t="s">
        <v>15</v>
      </c>
      <c r="C113" s="8" t="s">
        <v>156</v>
      </c>
      <c r="D113" s="8" t="s">
        <v>158</v>
      </c>
      <c r="E113" s="89">
        <v>0.4</v>
      </c>
      <c r="F113" s="90">
        <v>24</v>
      </c>
      <c r="G113" s="75">
        <f t="shared" si="23"/>
        <v>5.0838840874428064E-4</v>
      </c>
      <c r="H113" s="78">
        <f t="shared" si="24"/>
        <v>1.5020843924758515E-2</v>
      </c>
      <c r="I113" s="75">
        <f t="shared" si="25"/>
        <v>6.8488068807679803E-4</v>
      </c>
      <c r="J113" s="79">
        <f t="shared" si="26"/>
        <v>1.190322635877475</v>
      </c>
      <c r="K113" s="79">
        <f t="shared" si="14"/>
        <v>12.619136587019149</v>
      </c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</row>
    <row r="114" spans="1:40" ht="14.25" customHeight="1">
      <c r="A114" s="7">
        <v>21901</v>
      </c>
      <c r="B114" s="8" t="s">
        <v>15</v>
      </c>
      <c r="C114" s="8" t="s">
        <v>159</v>
      </c>
      <c r="D114" s="8" t="s">
        <v>160</v>
      </c>
      <c r="E114" s="89">
        <v>3.2</v>
      </c>
      <c r="F114" s="90">
        <v>65.400000000000006</v>
      </c>
      <c r="G114" s="75">
        <f t="shared" si="23"/>
        <v>4.0671072699542451E-3</v>
      </c>
      <c r="H114" s="78">
        <f t="shared" si="24"/>
        <v>0.12016675139806812</v>
      </c>
      <c r="I114" s="75">
        <f t="shared" si="25"/>
        <v>1.8662998750092748E-3</v>
      </c>
      <c r="J114" s="79">
        <f t="shared" si="26"/>
        <v>3.2436291827661194</v>
      </c>
      <c r="K114" s="79">
        <f t="shared" si="14"/>
        <v>37.047006494001167</v>
      </c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</row>
    <row r="115" spans="1:40" ht="14.25" customHeight="1">
      <c r="A115" s="7">
        <v>21902</v>
      </c>
      <c r="B115" s="8" t="s">
        <v>15</v>
      </c>
      <c r="C115" s="8" t="s">
        <v>159</v>
      </c>
      <c r="D115" s="8" t="s">
        <v>161</v>
      </c>
      <c r="E115" s="89">
        <v>0.2</v>
      </c>
      <c r="F115" s="90">
        <v>65.2</v>
      </c>
      <c r="G115" s="75">
        <f t="shared" si="23"/>
        <v>2.5419420437214032E-4</v>
      </c>
      <c r="H115" s="78">
        <f t="shared" si="24"/>
        <v>7.5104219623792576E-3</v>
      </c>
      <c r="I115" s="75">
        <f t="shared" si="25"/>
        <v>1.860592535941968E-3</v>
      </c>
      <c r="J115" s="79">
        <f t="shared" si="26"/>
        <v>3.2337098274671403</v>
      </c>
      <c r="K115" s="79">
        <f t="shared" si="14"/>
        <v>2.3225404761384936</v>
      </c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</row>
    <row r="116" spans="1:40" ht="14.25" customHeight="1">
      <c r="A116" s="7">
        <v>22001</v>
      </c>
      <c r="B116" s="8" t="s">
        <v>15</v>
      </c>
      <c r="C116" s="8" t="s">
        <v>162</v>
      </c>
      <c r="D116" s="8" t="s">
        <v>162</v>
      </c>
      <c r="E116" s="89">
        <v>14.2</v>
      </c>
      <c r="F116" s="90">
        <v>753.8</v>
      </c>
      <c r="G116" s="75">
        <f t="shared" si="23"/>
        <v>1.8047788510421964E-2</v>
      </c>
      <c r="H116" s="78">
        <f t="shared" si="24"/>
        <v>0.53323995932892732</v>
      </c>
      <c r="I116" s="75">
        <f t="shared" si="25"/>
        <v>2.1510960944678761E-2</v>
      </c>
      <c r="J116" s="79">
        <f t="shared" si="26"/>
        <v>37.386050121851689</v>
      </c>
      <c r="K116" s="79">
        <f t="shared" si="14"/>
        <v>14.263072926691848</v>
      </c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</row>
    <row r="117" spans="1:40" ht="14.25" customHeight="1">
      <c r="A117" s="7">
        <v>22002</v>
      </c>
      <c r="B117" s="8" t="s">
        <v>15</v>
      </c>
      <c r="C117" s="8" t="s">
        <v>162</v>
      </c>
      <c r="D117" s="8" t="s">
        <v>163</v>
      </c>
      <c r="E117" s="89">
        <v>5.2</v>
      </c>
      <c r="F117" s="90">
        <v>136.80000000000001</v>
      </c>
      <c r="G117" s="75">
        <f t="shared" si="23"/>
        <v>6.6090493136756485E-3</v>
      </c>
      <c r="H117" s="78">
        <f t="shared" si="24"/>
        <v>0.1952709710218607</v>
      </c>
      <c r="I117" s="75">
        <f t="shared" si="25"/>
        <v>3.9038199220377489E-3</v>
      </c>
      <c r="J117" s="79">
        <f t="shared" si="26"/>
        <v>6.7848390245016077</v>
      </c>
      <c r="K117" s="79">
        <f t="shared" si="14"/>
        <v>28.780486952850687</v>
      </c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</row>
    <row r="118" spans="1:40" ht="14.25" customHeight="1">
      <c r="A118" s="7">
        <v>30101</v>
      </c>
      <c r="B118" s="8" t="s">
        <v>17</v>
      </c>
      <c r="C118" s="8" t="s">
        <v>164</v>
      </c>
      <c r="D118" s="8" t="s">
        <v>17</v>
      </c>
      <c r="E118" s="89">
        <v>98.4</v>
      </c>
      <c r="F118" s="90">
        <v>7532.4</v>
      </c>
      <c r="G118" s="75">
        <f>E118/$R$4</f>
        <v>0.21856952465570859</v>
      </c>
      <c r="H118" s="78">
        <f>$S$19*G118</f>
        <v>3.0221608174144827</v>
      </c>
      <c r="I118" s="75">
        <f>F118/$S$4</f>
        <v>0.29269316256586414</v>
      </c>
      <c r="J118" s="79">
        <f>I118*$U$19</f>
        <v>367.91530534529124</v>
      </c>
      <c r="K118" s="79">
        <f t="shared" si="14"/>
        <v>8.2142840308808633</v>
      </c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</row>
    <row r="119" spans="1:40" ht="14.25" customHeight="1">
      <c r="A119" s="7">
        <v>30201</v>
      </c>
      <c r="B119" s="8" t="s">
        <v>17</v>
      </c>
      <c r="C119" s="8" t="s">
        <v>165</v>
      </c>
      <c r="D119" s="8" t="s">
        <v>166</v>
      </c>
      <c r="E119" s="89">
        <v>4.2</v>
      </c>
      <c r="F119" s="90">
        <v>277.60000000000002</v>
      </c>
      <c r="G119" s="75">
        <f t="shared" ref="G119:G146" si="27">E119/$R$4</f>
        <v>9.3291870279875611E-3</v>
      </c>
      <c r="H119" s="78">
        <f t="shared" ref="H119:H165" si="28">$S$19*G119</f>
        <v>0.128994669035984</v>
      </c>
      <c r="I119" s="75">
        <f t="shared" ref="I119:I146" si="29">F119/$S$4</f>
        <v>1.0786949966582216E-2</v>
      </c>
      <c r="J119" s="79">
        <f t="shared" ref="J119:J165" si="30">I119*$U$19</f>
        <v>13.559196107993845</v>
      </c>
      <c r="K119" s="79">
        <f t="shared" si="14"/>
        <v>9.5134451931066177</v>
      </c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</row>
    <row r="120" spans="1:40" ht="14.25" customHeight="1">
      <c r="A120" s="7">
        <v>30202</v>
      </c>
      <c r="B120" s="8" t="s">
        <v>17</v>
      </c>
      <c r="C120" s="8" t="s">
        <v>165</v>
      </c>
      <c r="D120" s="8" t="s">
        <v>167</v>
      </c>
      <c r="E120" s="89">
        <v>0.6</v>
      </c>
      <c r="F120" s="90">
        <v>63.6</v>
      </c>
      <c r="G120" s="75">
        <f t="shared" si="27"/>
        <v>1.3327410039982229E-3</v>
      </c>
      <c r="H120" s="78">
        <f t="shared" si="28"/>
        <v>1.8427809862283429E-2</v>
      </c>
      <c r="I120" s="75">
        <f t="shared" si="29"/>
        <v>2.4713617358596142E-3</v>
      </c>
      <c r="J120" s="79">
        <f t="shared" si="30"/>
        <v>3.1065017019755352</v>
      </c>
      <c r="K120" s="79">
        <f t="shared" si="14"/>
        <v>5.9320134447583035</v>
      </c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</row>
    <row r="121" spans="1:40" ht="14.25" customHeight="1">
      <c r="A121" s="7">
        <v>30203</v>
      </c>
      <c r="B121" s="8" t="s">
        <v>17</v>
      </c>
      <c r="C121" s="8" t="s">
        <v>165</v>
      </c>
      <c r="D121" s="8" t="s">
        <v>168</v>
      </c>
      <c r="E121" s="89">
        <v>0.8</v>
      </c>
      <c r="F121" s="90">
        <v>93</v>
      </c>
      <c r="G121" s="75">
        <f t="shared" si="27"/>
        <v>1.7769880053309641E-3</v>
      </c>
      <c r="H121" s="78">
        <f t="shared" si="28"/>
        <v>2.4570413149711243E-2</v>
      </c>
      <c r="I121" s="75">
        <f t="shared" si="29"/>
        <v>3.6137836703607567E-3</v>
      </c>
      <c r="J121" s="79">
        <f t="shared" si="30"/>
        <v>4.5425260736434714</v>
      </c>
      <c r="K121" s="79">
        <f t="shared" si="14"/>
        <v>5.408975700166712</v>
      </c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</row>
    <row r="122" spans="1:40" ht="14.25" customHeight="1">
      <c r="A122" s="7">
        <v>30301</v>
      </c>
      <c r="B122" s="8" t="s">
        <v>17</v>
      </c>
      <c r="C122" s="8" t="s">
        <v>169</v>
      </c>
      <c r="D122" s="8" t="s">
        <v>170</v>
      </c>
      <c r="E122" s="89">
        <v>11</v>
      </c>
      <c r="F122" s="90">
        <v>301.2</v>
      </c>
      <c r="G122" s="75">
        <f t="shared" si="27"/>
        <v>2.4433585073300755E-2</v>
      </c>
      <c r="H122" s="78">
        <f t="shared" si="28"/>
        <v>0.33784318080852954</v>
      </c>
      <c r="I122" s="75">
        <f t="shared" si="29"/>
        <v>1.1703996145297418E-2</v>
      </c>
      <c r="J122" s="79">
        <f t="shared" si="30"/>
        <v>14.711923154638853</v>
      </c>
      <c r="K122" s="79">
        <f t="shared" si="14"/>
        <v>22.963903308725712</v>
      </c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</row>
    <row r="123" spans="1:40" ht="14.25" customHeight="1">
      <c r="A123" s="7">
        <v>30302</v>
      </c>
      <c r="B123" s="8" t="s">
        <v>17</v>
      </c>
      <c r="C123" s="8" t="s">
        <v>169</v>
      </c>
      <c r="D123" s="8" t="s">
        <v>171</v>
      </c>
      <c r="E123" s="89">
        <v>4.5999999999999996</v>
      </c>
      <c r="F123" s="90">
        <v>183.6</v>
      </c>
      <c r="G123" s="75">
        <f t="shared" si="27"/>
        <v>1.0217681030653042E-2</v>
      </c>
      <c r="H123" s="78">
        <f t="shared" si="28"/>
        <v>0.1412798756108396</v>
      </c>
      <c r="I123" s="75">
        <f t="shared" si="29"/>
        <v>7.1343084072928485E-3</v>
      </c>
      <c r="J123" s="79">
        <f t="shared" si="30"/>
        <v>8.9678256679671104</v>
      </c>
      <c r="K123" s="79">
        <f t="shared" si="14"/>
        <v>15.754083636514974</v>
      </c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</row>
    <row r="124" spans="1:40" ht="14.25" customHeight="1">
      <c r="A124" s="7">
        <v>30303</v>
      </c>
      <c r="B124" s="8" t="s">
        <v>17</v>
      </c>
      <c r="C124" s="8" t="s">
        <v>169</v>
      </c>
      <c r="D124" s="8" t="s">
        <v>172</v>
      </c>
      <c r="E124" s="89">
        <v>12.4</v>
      </c>
      <c r="F124" s="90">
        <v>305.2</v>
      </c>
      <c r="G124" s="75">
        <f t="shared" si="27"/>
        <v>2.7543314082629944E-2</v>
      </c>
      <c r="H124" s="78">
        <f t="shared" si="28"/>
        <v>0.38084140382052423</v>
      </c>
      <c r="I124" s="75">
        <f t="shared" si="29"/>
        <v>1.185942770101186E-2</v>
      </c>
      <c r="J124" s="79">
        <f t="shared" si="30"/>
        <v>14.907300620171908</v>
      </c>
      <c r="K124" s="79">
        <f t="shared" si="14"/>
        <v>25.547308229981375</v>
      </c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</row>
    <row r="125" spans="1:40" ht="14.25" customHeight="1">
      <c r="A125" s="7">
        <v>30401</v>
      </c>
      <c r="B125" s="8" t="s">
        <v>17</v>
      </c>
      <c r="C125" s="8" t="s">
        <v>173</v>
      </c>
      <c r="D125" s="8" t="s">
        <v>174</v>
      </c>
      <c r="E125" s="89">
        <v>3.4</v>
      </c>
      <c r="F125" s="90">
        <v>138.4</v>
      </c>
      <c r="G125" s="75">
        <f t="shared" si="27"/>
        <v>7.552199022656597E-3</v>
      </c>
      <c r="H125" s="78">
        <f t="shared" si="28"/>
        <v>0.10442425588627277</v>
      </c>
      <c r="I125" s="75">
        <f t="shared" si="29"/>
        <v>5.3779318277196644E-3</v>
      </c>
      <c r="J125" s="79">
        <f t="shared" si="30"/>
        <v>6.7600603074436183</v>
      </c>
      <c r="K125" s="79">
        <f t="shared" si="14"/>
        <v>15.447237322911075</v>
      </c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</row>
    <row r="126" spans="1:40" ht="14.25" customHeight="1">
      <c r="A126" s="7">
        <v>30402</v>
      </c>
      <c r="B126" s="8" t="s">
        <v>17</v>
      </c>
      <c r="C126" s="8" t="s">
        <v>173</v>
      </c>
      <c r="D126" s="8" t="s">
        <v>175</v>
      </c>
      <c r="E126" s="89">
        <v>3</v>
      </c>
      <c r="F126" s="90">
        <v>80</v>
      </c>
      <c r="G126" s="75">
        <f t="shared" si="27"/>
        <v>6.6637050199911153E-3</v>
      </c>
      <c r="H126" s="78">
        <f t="shared" si="28"/>
        <v>9.2139049311417157E-2</v>
      </c>
      <c r="I126" s="75">
        <f t="shared" si="29"/>
        <v>3.1086311142888229E-3</v>
      </c>
      <c r="J126" s="79">
        <f t="shared" si="30"/>
        <v>3.9075493106610506</v>
      </c>
      <c r="K126" s="79">
        <f t="shared" si="14"/>
        <v>23.57975344291426</v>
      </c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</row>
    <row r="127" spans="1:40" ht="14.25" customHeight="1">
      <c r="A127" s="7">
        <v>30403</v>
      </c>
      <c r="B127" s="8" t="s">
        <v>17</v>
      </c>
      <c r="C127" s="8" t="s">
        <v>173</v>
      </c>
      <c r="D127" s="8" t="s">
        <v>176</v>
      </c>
      <c r="E127" s="89">
        <v>6.8</v>
      </c>
      <c r="F127" s="90">
        <v>465.4</v>
      </c>
      <c r="G127" s="75">
        <f t="shared" si="27"/>
        <v>1.5104398045313194E-2</v>
      </c>
      <c r="H127" s="78">
        <f t="shared" si="28"/>
        <v>0.20884851177254554</v>
      </c>
      <c r="I127" s="75">
        <f t="shared" si="29"/>
        <v>1.8084461507375228E-2</v>
      </c>
      <c r="J127" s="79">
        <f t="shared" si="30"/>
        <v>22.732168114770662</v>
      </c>
      <c r="K127" s="79">
        <f t="shared" si="14"/>
        <v>9.1873555887017311</v>
      </c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</row>
    <row r="128" spans="1:40" ht="14.25" customHeight="1">
      <c r="A128" s="7">
        <v>30404</v>
      </c>
      <c r="B128" s="8" t="s">
        <v>17</v>
      </c>
      <c r="C128" s="8" t="s">
        <v>173</v>
      </c>
      <c r="D128" s="8" t="s">
        <v>177</v>
      </c>
      <c r="E128" s="89">
        <v>2</v>
      </c>
      <c r="F128" s="90">
        <v>56.4</v>
      </c>
      <c r="G128" s="75">
        <f t="shared" si="27"/>
        <v>4.4424700133274099E-3</v>
      </c>
      <c r="H128" s="78">
        <f t="shared" si="28"/>
        <v>6.14260328742781E-2</v>
      </c>
      <c r="I128" s="75">
        <f t="shared" si="29"/>
        <v>2.1915849355736202E-3</v>
      </c>
      <c r="J128" s="79">
        <f t="shared" si="30"/>
        <v>2.7548222640160405</v>
      </c>
      <c r="K128" s="79">
        <f t="shared" si="14"/>
        <v>22.297639189517032</v>
      </c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</row>
    <row r="129" spans="1:40" ht="14.25" customHeight="1">
      <c r="A129" s="7">
        <v>30501</v>
      </c>
      <c r="B129" s="8" t="s">
        <v>17</v>
      </c>
      <c r="C129" s="8" t="s">
        <v>178</v>
      </c>
      <c r="D129" s="8" t="s">
        <v>178</v>
      </c>
      <c r="E129" s="89">
        <v>2.6</v>
      </c>
      <c r="F129" s="90">
        <v>124.6</v>
      </c>
      <c r="G129" s="75">
        <f t="shared" si="27"/>
        <v>5.7752110173256337E-3</v>
      </c>
      <c r="H129" s="78">
        <f t="shared" si="28"/>
        <v>7.9853842736561542E-2</v>
      </c>
      <c r="I129" s="75">
        <f t="shared" si="29"/>
        <v>4.8416929605048413E-3</v>
      </c>
      <c r="J129" s="79">
        <f t="shared" si="30"/>
        <v>6.0860080513545851</v>
      </c>
      <c r="K129" s="79">
        <f t="shared" si="14"/>
        <v>13.120890091295259</v>
      </c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</row>
    <row r="130" spans="1:40" ht="14.25" customHeight="1">
      <c r="A130" s="7">
        <v>30502</v>
      </c>
      <c r="B130" s="8" t="s">
        <v>17</v>
      </c>
      <c r="C130" s="8" t="s">
        <v>178</v>
      </c>
      <c r="D130" s="8" t="s">
        <v>179</v>
      </c>
      <c r="E130" s="89">
        <v>3.2</v>
      </c>
      <c r="F130" s="90">
        <v>87.2</v>
      </c>
      <c r="G130" s="75">
        <f t="shared" si="27"/>
        <v>7.1079520213238566E-3</v>
      </c>
      <c r="H130" s="78">
        <f t="shared" si="28"/>
        <v>9.8281652598844971E-2</v>
      </c>
      <c r="I130" s="75">
        <f t="shared" si="29"/>
        <v>3.3884079145748173E-3</v>
      </c>
      <c r="J130" s="79">
        <f t="shared" si="30"/>
        <v>4.2592287486205453</v>
      </c>
      <c r="K130" s="79">
        <f t="shared" si="14"/>
        <v>23.074988078692854</v>
      </c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</row>
    <row r="131" spans="1:40" ht="14.25" customHeight="1">
      <c r="A131" s="7">
        <v>30601</v>
      </c>
      <c r="B131" s="8" t="s">
        <v>17</v>
      </c>
      <c r="C131" s="8" t="s">
        <v>180</v>
      </c>
      <c r="D131" s="8" t="s">
        <v>180</v>
      </c>
      <c r="E131" s="89">
        <v>5</v>
      </c>
      <c r="F131" s="90">
        <v>147.19999999999999</v>
      </c>
      <c r="G131" s="75">
        <f t="shared" si="27"/>
        <v>1.1106175033318526E-2</v>
      </c>
      <c r="H131" s="78">
        <f t="shared" si="28"/>
        <v>0.15356508218569526</v>
      </c>
      <c r="I131" s="75">
        <f t="shared" si="29"/>
        <v>5.7198812502914339E-3</v>
      </c>
      <c r="J131" s="79">
        <f t="shared" si="30"/>
        <v>7.1898907316163321</v>
      </c>
      <c r="K131" s="79">
        <f t="shared" ref="K131:K165" si="31">1000*H131/J131</f>
        <v>21.35847232148031</v>
      </c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</row>
    <row r="132" spans="1:40" ht="14.25" customHeight="1">
      <c r="A132" s="7">
        <v>30602</v>
      </c>
      <c r="B132" s="8" t="s">
        <v>17</v>
      </c>
      <c r="C132" s="8" t="s">
        <v>180</v>
      </c>
      <c r="D132" s="8" t="s">
        <v>181</v>
      </c>
      <c r="E132" s="89">
        <v>5</v>
      </c>
      <c r="F132" s="90">
        <v>107.6</v>
      </c>
      <c r="G132" s="75">
        <f t="shared" si="27"/>
        <v>1.1106175033318526E-2</v>
      </c>
      <c r="H132" s="78">
        <f t="shared" si="28"/>
        <v>0.15356508218569526</v>
      </c>
      <c r="I132" s="75">
        <f t="shared" si="29"/>
        <v>4.1811088487184664E-3</v>
      </c>
      <c r="J132" s="79">
        <f t="shared" si="30"/>
        <v>5.2556538228391121</v>
      </c>
      <c r="K132" s="79">
        <f t="shared" si="31"/>
        <v>29.219025331987936</v>
      </c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</row>
    <row r="133" spans="1:40" ht="14.25" customHeight="1">
      <c r="A133" s="7">
        <v>30701</v>
      </c>
      <c r="B133" s="8" t="s">
        <v>17</v>
      </c>
      <c r="C133" s="8" t="s">
        <v>182</v>
      </c>
      <c r="D133" s="8" t="s">
        <v>182</v>
      </c>
      <c r="E133" s="89">
        <v>5.8</v>
      </c>
      <c r="F133" s="90">
        <v>265.8</v>
      </c>
      <c r="G133" s="75">
        <f t="shared" si="27"/>
        <v>1.2883163038649489E-2</v>
      </c>
      <c r="H133" s="78">
        <f t="shared" si="28"/>
        <v>0.17813549533540649</v>
      </c>
      <c r="I133" s="75">
        <f t="shared" si="29"/>
        <v>1.0328426877224614E-2</v>
      </c>
      <c r="J133" s="79">
        <f t="shared" si="30"/>
        <v>12.982832584671339</v>
      </c>
      <c r="K133" s="79">
        <f t="shared" si="31"/>
        <v>13.720849758605741</v>
      </c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</row>
    <row r="134" spans="1:40" ht="14.25" customHeight="1">
      <c r="A134" s="7">
        <v>30702</v>
      </c>
      <c r="B134" s="8" t="s">
        <v>17</v>
      </c>
      <c r="C134" s="8" t="s">
        <v>182</v>
      </c>
      <c r="D134" s="8" t="s">
        <v>183</v>
      </c>
      <c r="E134" s="89">
        <v>1.4</v>
      </c>
      <c r="F134" s="90">
        <v>99.6</v>
      </c>
      <c r="G134" s="75">
        <f t="shared" si="27"/>
        <v>3.109729009329187E-3</v>
      </c>
      <c r="H134" s="78">
        <f t="shared" si="28"/>
        <v>4.2998223011994671E-2</v>
      </c>
      <c r="I134" s="75">
        <f t="shared" si="29"/>
        <v>3.8702457372895844E-3</v>
      </c>
      <c r="J134" s="79">
        <f t="shared" si="30"/>
        <v>4.8648988917730076</v>
      </c>
      <c r="K134" s="79">
        <f t="shared" si="31"/>
        <v>8.8384617992181962</v>
      </c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</row>
    <row r="135" spans="1:40" ht="14.25" customHeight="1">
      <c r="A135" s="7">
        <v>30703</v>
      </c>
      <c r="B135" s="8" t="s">
        <v>17</v>
      </c>
      <c r="C135" s="8" t="s">
        <v>182</v>
      </c>
      <c r="D135" s="8" t="s">
        <v>184</v>
      </c>
      <c r="E135" s="89">
        <v>0.6</v>
      </c>
      <c r="F135" s="90">
        <v>57.6</v>
      </c>
      <c r="G135" s="75">
        <f t="shared" si="27"/>
        <v>1.3327410039982229E-3</v>
      </c>
      <c r="H135" s="78">
        <f t="shared" si="28"/>
        <v>1.8427809862283429E-2</v>
      </c>
      <c r="I135" s="75">
        <f t="shared" si="29"/>
        <v>2.2382144022879526E-3</v>
      </c>
      <c r="J135" s="79">
        <f t="shared" si="30"/>
        <v>2.8134355036759566</v>
      </c>
      <c r="K135" s="79">
        <f t="shared" si="31"/>
        <v>6.5499315119206267</v>
      </c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</row>
    <row r="136" spans="1:40" ht="14.25" customHeight="1">
      <c r="A136" s="7">
        <v>30801</v>
      </c>
      <c r="B136" s="8" t="s">
        <v>17</v>
      </c>
      <c r="C136" s="8" t="s">
        <v>185</v>
      </c>
      <c r="D136" s="8" t="s">
        <v>186</v>
      </c>
      <c r="E136" s="89">
        <v>3.4</v>
      </c>
      <c r="F136" s="90">
        <v>246.4</v>
      </c>
      <c r="G136" s="75">
        <f t="shared" si="27"/>
        <v>7.552199022656597E-3</v>
      </c>
      <c r="H136" s="78">
        <f t="shared" si="28"/>
        <v>0.10442425588627277</v>
      </c>
      <c r="I136" s="75">
        <f t="shared" si="29"/>
        <v>9.5745838320095752E-3</v>
      </c>
      <c r="J136" s="79">
        <f t="shared" si="30"/>
        <v>12.035251876836035</v>
      </c>
      <c r="K136" s="79">
        <f t="shared" si="31"/>
        <v>8.6765326521545987</v>
      </c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</row>
    <row r="137" spans="1:40" ht="14.25" customHeight="1">
      <c r="A137" s="7">
        <v>30802</v>
      </c>
      <c r="B137" s="8" t="s">
        <v>17</v>
      </c>
      <c r="C137" s="8" t="s">
        <v>185</v>
      </c>
      <c r="D137" s="8" t="s">
        <v>187</v>
      </c>
      <c r="E137" s="89">
        <v>1.8</v>
      </c>
      <c r="F137" s="90">
        <v>77.400000000000006</v>
      </c>
      <c r="G137" s="75">
        <f t="shared" si="27"/>
        <v>3.9982230119946695E-3</v>
      </c>
      <c r="H137" s="78">
        <f t="shared" si="28"/>
        <v>5.5283429586850293E-2</v>
      </c>
      <c r="I137" s="75">
        <f t="shared" si="29"/>
        <v>3.0076006030744363E-3</v>
      </c>
      <c r="J137" s="79">
        <f t="shared" si="30"/>
        <v>3.7805539580645666</v>
      </c>
      <c r="K137" s="79">
        <f t="shared" si="31"/>
        <v>14.623102910334424</v>
      </c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</row>
    <row r="138" spans="1:40" ht="14.25" customHeight="1">
      <c r="A138" s="7">
        <v>30803</v>
      </c>
      <c r="B138" s="8" t="s">
        <v>17</v>
      </c>
      <c r="C138" s="8" t="s">
        <v>185</v>
      </c>
      <c r="D138" s="8" t="s">
        <v>188</v>
      </c>
      <c r="E138" s="89">
        <v>2.2000000000000002</v>
      </c>
      <c r="F138" s="90">
        <v>105.8</v>
      </c>
      <c r="G138" s="75">
        <f t="shared" si="27"/>
        <v>4.8867170146601512E-3</v>
      </c>
      <c r="H138" s="78">
        <f t="shared" si="28"/>
        <v>6.7568636161705914E-2</v>
      </c>
      <c r="I138" s="75">
        <f t="shared" si="29"/>
        <v>4.1111646486469682E-3</v>
      </c>
      <c r="J138" s="79">
        <f t="shared" si="30"/>
        <v>5.1677339633492387</v>
      </c>
      <c r="K138" s="79">
        <f t="shared" si="31"/>
        <v>13.075099577671425</v>
      </c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</row>
    <row r="139" spans="1:40" ht="14.25" customHeight="1">
      <c r="A139" s="7">
        <v>30901</v>
      </c>
      <c r="B139" s="8" t="s">
        <v>17</v>
      </c>
      <c r="C139" s="8" t="s">
        <v>189</v>
      </c>
      <c r="D139" s="8" t="s">
        <v>189</v>
      </c>
      <c r="E139" s="89">
        <v>27.2</v>
      </c>
      <c r="F139" s="90">
        <v>2123.6</v>
      </c>
      <c r="G139" s="75">
        <f t="shared" si="27"/>
        <v>6.0417592181252776E-2</v>
      </c>
      <c r="H139" s="78">
        <f t="shared" si="28"/>
        <v>0.83539404709018217</v>
      </c>
      <c r="I139" s="75">
        <f t="shared" si="29"/>
        <v>8.2518612928796808E-2</v>
      </c>
      <c r="J139" s="79">
        <f t="shared" si="30"/>
        <v>103.72589645149759</v>
      </c>
      <c r="K139" s="79">
        <f t="shared" si="31"/>
        <v>8.0538619155806845</v>
      </c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</row>
    <row r="140" spans="1:40" ht="14.25" customHeight="1">
      <c r="A140" s="7">
        <v>30902</v>
      </c>
      <c r="B140" s="8" t="s">
        <v>17</v>
      </c>
      <c r="C140" s="8" t="s">
        <v>189</v>
      </c>
      <c r="D140" s="8" t="s">
        <v>190</v>
      </c>
      <c r="E140" s="89">
        <v>14.4</v>
      </c>
      <c r="F140" s="90">
        <v>863.2</v>
      </c>
      <c r="G140" s="75">
        <f t="shared" si="27"/>
        <v>3.1985784095957356E-2</v>
      </c>
      <c r="H140" s="78">
        <f t="shared" si="28"/>
        <v>0.44226743669480234</v>
      </c>
      <c r="I140" s="75">
        <f t="shared" si="29"/>
        <v>3.3542129723176405E-2</v>
      </c>
      <c r="J140" s="79">
        <f t="shared" si="30"/>
        <v>42.162457062032743</v>
      </c>
      <c r="K140" s="79">
        <f t="shared" si="31"/>
        <v>10.489603014456758</v>
      </c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</row>
    <row r="141" spans="1:40" ht="14.25" customHeight="1">
      <c r="A141" s="7">
        <v>30903</v>
      </c>
      <c r="B141" s="8" t="s">
        <v>17</v>
      </c>
      <c r="C141" s="8" t="s">
        <v>189</v>
      </c>
      <c r="D141" s="8" t="s">
        <v>191</v>
      </c>
      <c r="E141" s="89">
        <v>9.4</v>
      </c>
      <c r="F141" s="90">
        <v>737</v>
      </c>
      <c r="G141" s="75">
        <f t="shared" si="27"/>
        <v>2.0879609062638829E-2</v>
      </c>
      <c r="H141" s="78">
        <f t="shared" si="28"/>
        <v>0.28870235450910708</v>
      </c>
      <c r="I141" s="75">
        <f t="shared" si="29"/>
        <v>2.8638264140385783E-2</v>
      </c>
      <c r="J141" s="79">
        <f t="shared" si="30"/>
        <v>35.99829802446493</v>
      </c>
      <c r="K141" s="79">
        <f t="shared" si="31"/>
        <v>8.0198890045551892</v>
      </c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</row>
    <row r="142" spans="1:40" ht="14.25" customHeight="1">
      <c r="A142" s="7">
        <v>30904</v>
      </c>
      <c r="B142" s="8" t="s">
        <v>17</v>
      </c>
      <c r="C142" s="8" t="s">
        <v>189</v>
      </c>
      <c r="D142" s="8" t="s">
        <v>192</v>
      </c>
      <c r="E142" s="89">
        <v>9.6</v>
      </c>
      <c r="F142" s="90">
        <v>770.2</v>
      </c>
      <c r="G142" s="75">
        <f t="shared" si="27"/>
        <v>2.1323856063971566E-2</v>
      </c>
      <c r="H142" s="78">
        <f t="shared" si="28"/>
        <v>0.29484495779653486</v>
      </c>
      <c r="I142" s="75">
        <f t="shared" si="29"/>
        <v>2.9928346052815646E-2</v>
      </c>
      <c r="J142" s="79">
        <f t="shared" si="30"/>
        <v>37.619930988389264</v>
      </c>
      <c r="K142" s="79">
        <f t="shared" si="31"/>
        <v>7.8374667377123473</v>
      </c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</row>
    <row r="143" spans="1:40" ht="14.25" customHeight="1">
      <c r="A143" s="7">
        <v>30905</v>
      </c>
      <c r="B143" s="8" t="s">
        <v>17</v>
      </c>
      <c r="C143" s="8" t="s">
        <v>189</v>
      </c>
      <c r="D143" s="8" t="s">
        <v>193</v>
      </c>
      <c r="E143" s="89">
        <v>8.8000000000000007</v>
      </c>
      <c r="F143" s="90">
        <v>747</v>
      </c>
      <c r="G143" s="75">
        <f t="shared" si="27"/>
        <v>1.9546868058640605E-2</v>
      </c>
      <c r="H143" s="78">
        <f t="shared" si="28"/>
        <v>0.27027454464682366</v>
      </c>
      <c r="I143" s="75">
        <f t="shared" si="29"/>
        <v>2.9026843029671883E-2</v>
      </c>
      <c r="J143" s="79">
        <f t="shared" si="30"/>
        <v>36.486741688297556</v>
      </c>
      <c r="K143" s="79">
        <f t="shared" si="31"/>
        <v>7.4074727460114413</v>
      </c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</row>
    <row r="144" spans="1:40" ht="14.25" customHeight="1">
      <c r="A144" s="7">
        <v>31001</v>
      </c>
      <c r="B144" s="8" t="s">
        <v>17</v>
      </c>
      <c r="C144" s="8" t="s">
        <v>194</v>
      </c>
      <c r="D144" s="8" t="s">
        <v>195</v>
      </c>
      <c r="E144" s="89">
        <v>39.6</v>
      </c>
      <c r="F144" s="90">
        <v>2720.4</v>
      </c>
      <c r="G144" s="75">
        <f t="shared" si="27"/>
        <v>8.7960906263882727E-2</v>
      </c>
      <c r="H144" s="78">
        <f t="shared" si="28"/>
        <v>1.2162354509107065</v>
      </c>
      <c r="I144" s="75">
        <f t="shared" si="29"/>
        <v>0.10570900104139143</v>
      </c>
      <c r="J144" s="79">
        <f t="shared" si="30"/>
        <v>132.87621430902902</v>
      </c>
      <c r="K144" s="79">
        <f t="shared" si="31"/>
        <v>9.1531464621810983</v>
      </c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</row>
    <row r="145" spans="1:40" ht="14.25" customHeight="1">
      <c r="A145" s="7">
        <v>31002</v>
      </c>
      <c r="B145" s="8" t="s">
        <v>17</v>
      </c>
      <c r="C145" s="8" t="s">
        <v>194</v>
      </c>
      <c r="D145" s="8" t="s">
        <v>196</v>
      </c>
      <c r="E145" s="89">
        <v>7.8</v>
      </c>
      <c r="F145" s="90">
        <v>324.60000000000002</v>
      </c>
      <c r="G145" s="75">
        <f t="shared" si="27"/>
        <v>1.7325633051976898E-2</v>
      </c>
      <c r="H145" s="78">
        <f t="shared" si="28"/>
        <v>0.23956152820968457</v>
      </c>
      <c r="I145" s="75">
        <f t="shared" si="29"/>
        <v>1.2613270746226901E-2</v>
      </c>
      <c r="J145" s="79">
        <f t="shared" si="30"/>
        <v>15.854881328007215</v>
      </c>
      <c r="K145" s="79">
        <f t="shared" si="31"/>
        <v>15.109638681842776</v>
      </c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</row>
    <row r="146" spans="1:40" ht="14.25" customHeight="1">
      <c r="A146" s="7">
        <v>31003</v>
      </c>
      <c r="B146" s="8" t="s">
        <v>17</v>
      </c>
      <c r="C146" s="8" t="s">
        <v>194</v>
      </c>
      <c r="D146" s="8" t="s">
        <v>197</v>
      </c>
      <c r="E146" s="89">
        <v>42.2</v>
      </c>
      <c r="F146" s="90">
        <v>1507.6</v>
      </c>
      <c r="G146" s="75">
        <f t="shared" si="27"/>
        <v>9.3736117281208356E-2</v>
      </c>
      <c r="H146" s="78">
        <f t="shared" si="28"/>
        <v>1.2960892936472679</v>
      </c>
      <c r="I146" s="75">
        <f t="shared" si="29"/>
        <v>5.8582153348772863E-2</v>
      </c>
      <c r="J146" s="79">
        <f t="shared" si="30"/>
        <v>73.637766759407484</v>
      </c>
      <c r="K146" s="79">
        <f t="shared" si="31"/>
        <v>17.600877249331951</v>
      </c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</row>
    <row r="147" spans="1:40" ht="14.25" customHeight="1">
      <c r="A147" s="7">
        <v>31101</v>
      </c>
      <c r="B147" s="8" t="s">
        <v>17</v>
      </c>
      <c r="C147" s="8" t="s">
        <v>198</v>
      </c>
      <c r="D147" s="8" t="s">
        <v>198</v>
      </c>
      <c r="E147" s="89">
        <v>13.4</v>
      </c>
      <c r="F147" s="90">
        <v>307.60000000000002</v>
      </c>
      <c r="G147" s="75">
        <f>E147/$R$4</f>
        <v>2.976454908929365E-2</v>
      </c>
      <c r="H147" s="78">
        <f>$S$19*G147</f>
        <v>0.41155442025766331</v>
      </c>
      <c r="I147" s="75">
        <f>F147/$S$4</f>
        <v>1.1952686634440525E-2</v>
      </c>
      <c r="J147" s="79">
        <f>I147*$U$19</f>
        <v>15.02452709949174</v>
      </c>
      <c r="K147" s="79">
        <f t="shared" si="31"/>
        <v>27.392171316432691</v>
      </c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</row>
    <row r="148" spans="1:40" ht="14.25" customHeight="1">
      <c r="A148" s="7">
        <v>31201</v>
      </c>
      <c r="B148" s="8" t="s">
        <v>17</v>
      </c>
      <c r="C148" s="8" t="s">
        <v>199</v>
      </c>
      <c r="D148" s="8" t="s">
        <v>200</v>
      </c>
      <c r="E148" s="89">
        <v>5.4</v>
      </c>
      <c r="F148" s="90">
        <v>251</v>
      </c>
      <c r="G148" s="75">
        <f t="shared" ref="G148:G155" si="32">E148/$R$4</f>
        <v>1.1994669035984009E-2</v>
      </c>
      <c r="H148" s="78">
        <f t="shared" si="28"/>
        <v>0.16585028876055088</v>
      </c>
      <c r="I148" s="75">
        <f t="shared" ref="I148:I155" si="33">F148/$S$4</f>
        <v>9.7533301210811826E-3</v>
      </c>
      <c r="J148" s="79">
        <f t="shared" si="30"/>
        <v>12.259935962199046</v>
      </c>
      <c r="K148" s="79">
        <f t="shared" si="31"/>
        <v>13.527826676412962</v>
      </c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</row>
    <row r="149" spans="1:40" ht="14.25" customHeight="1">
      <c r="A149" s="7">
        <v>31202</v>
      </c>
      <c r="B149" s="8" t="s">
        <v>17</v>
      </c>
      <c r="C149" s="8" t="s">
        <v>199</v>
      </c>
      <c r="D149" s="8" t="s">
        <v>201</v>
      </c>
      <c r="E149" s="89">
        <v>3</v>
      </c>
      <c r="F149" s="90">
        <v>181.4</v>
      </c>
      <c r="G149" s="75">
        <f t="shared" si="32"/>
        <v>6.6637050199911153E-3</v>
      </c>
      <c r="H149" s="78">
        <f t="shared" si="28"/>
        <v>9.2139049311417157E-2</v>
      </c>
      <c r="I149" s="75">
        <f t="shared" si="33"/>
        <v>7.048821051649906E-3</v>
      </c>
      <c r="J149" s="79">
        <f t="shared" si="30"/>
        <v>8.860368061923932</v>
      </c>
      <c r="K149" s="79">
        <f t="shared" si="31"/>
        <v>10.399009236125364</v>
      </c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</row>
    <row r="150" spans="1:40" ht="14.25" customHeight="1">
      <c r="A150" s="7">
        <v>31203</v>
      </c>
      <c r="B150" s="8" t="s">
        <v>17</v>
      </c>
      <c r="C150" s="8" t="s">
        <v>199</v>
      </c>
      <c r="D150" s="8" t="s">
        <v>202</v>
      </c>
      <c r="E150" s="89">
        <v>3.2</v>
      </c>
      <c r="F150" s="90">
        <v>153.80000000000001</v>
      </c>
      <c r="G150" s="75">
        <f t="shared" si="32"/>
        <v>7.1079520213238566E-3</v>
      </c>
      <c r="H150" s="78">
        <f t="shared" si="28"/>
        <v>9.8281652598844971E-2</v>
      </c>
      <c r="I150" s="75">
        <f t="shared" si="33"/>
        <v>5.9763433172202625E-3</v>
      </c>
      <c r="J150" s="79">
        <f t="shared" si="30"/>
        <v>7.5122635497458701</v>
      </c>
      <c r="K150" s="79">
        <f t="shared" si="31"/>
        <v>13.082828091430539</v>
      </c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</row>
    <row r="151" spans="1:40" ht="14.25" customHeight="1">
      <c r="A151" s="7">
        <v>31204</v>
      </c>
      <c r="B151" s="8" t="s">
        <v>17</v>
      </c>
      <c r="C151" s="8" t="s">
        <v>199</v>
      </c>
      <c r="D151" s="8" t="s">
        <v>203</v>
      </c>
      <c r="E151" s="89">
        <v>10.4</v>
      </c>
      <c r="F151" s="90">
        <v>432.6</v>
      </c>
      <c r="G151" s="75">
        <f t="shared" si="32"/>
        <v>2.3100844069302535E-2</v>
      </c>
      <c r="H151" s="78">
        <f t="shared" si="28"/>
        <v>0.31941537094624617</v>
      </c>
      <c r="I151" s="75">
        <f t="shared" si="33"/>
        <v>1.680992275051681E-2</v>
      </c>
      <c r="J151" s="79">
        <f t="shared" si="30"/>
        <v>21.130072897399629</v>
      </c>
      <c r="K151" s="79">
        <f t="shared" si="31"/>
        <v>15.116624182851496</v>
      </c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</row>
    <row r="152" spans="1:40" ht="14.25" customHeight="1">
      <c r="A152" s="7">
        <v>31205</v>
      </c>
      <c r="B152" s="8" t="s">
        <v>17</v>
      </c>
      <c r="C152" s="8" t="s">
        <v>199</v>
      </c>
      <c r="D152" s="8" t="s">
        <v>204</v>
      </c>
      <c r="E152" s="89">
        <v>19</v>
      </c>
      <c r="F152" s="90">
        <v>1071</v>
      </c>
      <c r="G152" s="75">
        <f t="shared" si="32"/>
        <v>4.2203465126610398E-2</v>
      </c>
      <c r="H152" s="78">
        <f t="shared" si="28"/>
        <v>0.58354731230564194</v>
      </c>
      <c r="I152" s="75">
        <f t="shared" si="33"/>
        <v>4.1616799042541619E-2</v>
      </c>
      <c r="J152" s="79">
        <f t="shared" si="30"/>
        <v>52.312316396474813</v>
      </c>
      <c r="K152" s="79">
        <f t="shared" si="31"/>
        <v>11.155065432066504</v>
      </c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</row>
    <row r="153" spans="1:40" ht="14.25" customHeight="1">
      <c r="A153" s="7">
        <v>31206</v>
      </c>
      <c r="B153" s="8" t="s">
        <v>17</v>
      </c>
      <c r="C153" s="8" t="s">
        <v>199</v>
      </c>
      <c r="D153" s="8" t="s">
        <v>205</v>
      </c>
      <c r="E153" s="89">
        <v>13.8</v>
      </c>
      <c r="F153" s="90">
        <v>743.6</v>
      </c>
      <c r="G153" s="75">
        <f t="shared" si="32"/>
        <v>3.0653043091959133E-2</v>
      </c>
      <c r="H153" s="78">
        <f t="shared" si="28"/>
        <v>0.42383962683251891</v>
      </c>
      <c r="I153" s="75">
        <f t="shared" si="33"/>
        <v>2.8894726207314612E-2</v>
      </c>
      <c r="J153" s="79">
        <f t="shared" si="30"/>
        <v>36.320670842594467</v>
      </c>
      <c r="K153" s="79">
        <f t="shared" si="31"/>
        <v>11.669377712469672</v>
      </c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</row>
    <row r="154" spans="1:40" ht="14.25" customHeight="1">
      <c r="A154" s="7">
        <v>31301</v>
      </c>
      <c r="B154" s="8" t="s">
        <v>17</v>
      </c>
      <c r="C154" s="8" t="s">
        <v>206</v>
      </c>
      <c r="D154" s="8" t="s">
        <v>206</v>
      </c>
      <c r="E154" s="89">
        <v>4.4000000000000004</v>
      </c>
      <c r="F154" s="90">
        <v>277.39999999999998</v>
      </c>
      <c r="G154" s="75">
        <f t="shared" si="32"/>
        <v>9.7734340293203024E-3</v>
      </c>
      <c r="H154" s="78">
        <f t="shared" si="28"/>
        <v>0.13513727232341183</v>
      </c>
      <c r="I154" s="75">
        <f t="shared" si="33"/>
        <v>1.0779178388796494E-2</v>
      </c>
      <c r="J154" s="79">
        <f t="shared" si="30"/>
        <v>13.549427234717193</v>
      </c>
      <c r="K154" s="79">
        <f t="shared" si="31"/>
        <v>9.9736520210355923</v>
      </c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</row>
    <row r="155" spans="1:40" ht="14.25" customHeight="1">
      <c r="A155" s="7">
        <v>31302</v>
      </c>
      <c r="B155" s="8" t="s">
        <v>17</v>
      </c>
      <c r="C155" s="8" t="s">
        <v>206</v>
      </c>
      <c r="D155" s="8" t="s">
        <v>207</v>
      </c>
      <c r="E155" s="89">
        <v>2.4</v>
      </c>
      <c r="F155" s="90">
        <v>69</v>
      </c>
      <c r="G155" s="75">
        <f t="shared" si="32"/>
        <v>5.3309640159928916E-3</v>
      </c>
      <c r="H155" s="78">
        <f t="shared" si="28"/>
        <v>7.3711239449133714E-2</v>
      </c>
      <c r="I155" s="75">
        <f t="shared" si="33"/>
        <v>2.68119433607411E-3</v>
      </c>
      <c r="J155" s="79">
        <f t="shared" si="30"/>
        <v>3.3702612804451562</v>
      </c>
      <c r="K155" s="79">
        <f t="shared" si="31"/>
        <v>21.871075657195835</v>
      </c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</row>
    <row r="156" spans="1:40" ht="14.25" customHeight="1">
      <c r="A156" s="7">
        <v>31303</v>
      </c>
      <c r="B156" s="8" t="s">
        <v>17</v>
      </c>
      <c r="C156" s="8" t="s">
        <v>206</v>
      </c>
      <c r="D156" s="8" t="s">
        <v>208</v>
      </c>
      <c r="E156" s="89">
        <v>0.6</v>
      </c>
      <c r="F156" s="90">
        <v>41.2</v>
      </c>
      <c r="G156" s="75">
        <f>E156/$R$4</f>
        <v>1.3327410039982229E-3</v>
      </c>
      <c r="H156" s="78">
        <f>$S$19*G156</f>
        <v>1.8427809862283429E-2</v>
      </c>
      <c r="I156" s="75">
        <f>F156/$S$4</f>
        <v>1.6009450238587439E-3</v>
      </c>
      <c r="J156" s="79">
        <f>I156*$U$19</f>
        <v>2.0123878949904412</v>
      </c>
      <c r="K156" s="79">
        <f t="shared" si="31"/>
        <v>9.1571858030734976</v>
      </c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</row>
    <row r="157" spans="1:40" ht="14.25" customHeight="1">
      <c r="A157" s="19">
        <v>31304</v>
      </c>
      <c r="B157" s="8" t="s">
        <v>17</v>
      </c>
      <c r="C157" s="8" t="s">
        <v>206</v>
      </c>
      <c r="D157" s="8" t="s">
        <v>209</v>
      </c>
      <c r="E157" s="89">
        <v>5</v>
      </c>
      <c r="F157" s="90">
        <v>105</v>
      </c>
      <c r="G157" s="75">
        <f t="shared" ref="G157:G165" si="34">E157/$R$4</f>
        <v>1.1106175033318526E-2</v>
      </c>
      <c r="H157" s="78">
        <f t="shared" si="28"/>
        <v>0.15356508218569526</v>
      </c>
      <c r="I157" s="75">
        <f t="shared" ref="I157:I165" si="35">F157/$S$4</f>
        <v>4.0800783375040802E-3</v>
      </c>
      <c r="J157" s="79">
        <f t="shared" si="30"/>
        <v>5.1286584702426286</v>
      </c>
      <c r="K157" s="79">
        <f t="shared" si="31"/>
        <v>29.942544054494299</v>
      </c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</row>
    <row r="158" spans="1:40" ht="14.25" customHeight="1">
      <c r="A158" s="7">
        <v>31401</v>
      </c>
      <c r="B158" s="8" t="s">
        <v>17</v>
      </c>
      <c r="C158" s="8" t="s">
        <v>210</v>
      </c>
      <c r="D158" s="8" t="s">
        <v>210</v>
      </c>
      <c r="E158" s="89">
        <v>6.8</v>
      </c>
      <c r="F158" s="90">
        <v>430.6</v>
      </c>
      <c r="G158" s="75">
        <f t="shared" si="34"/>
        <v>1.5104398045313194E-2</v>
      </c>
      <c r="H158" s="78">
        <f t="shared" si="28"/>
        <v>0.20884851177254554</v>
      </c>
      <c r="I158" s="75">
        <f t="shared" si="35"/>
        <v>1.6732206972659591E-2</v>
      </c>
      <c r="J158" s="79">
        <f t="shared" si="30"/>
        <v>21.032384164633108</v>
      </c>
      <c r="K158" s="79">
        <f t="shared" si="31"/>
        <v>9.929854368280969</v>
      </c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</row>
    <row r="159" spans="1:40" ht="14.25" customHeight="1">
      <c r="A159" s="7">
        <v>31402</v>
      </c>
      <c r="B159" s="8" t="s">
        <v>17</v>
      </c>
      <c r="C159" s="8" t="s">
        <v>210</v>
      </c>
      <c r="D159" s="8" t="s">
        <v>211</v>
      </c>
      <c r="E159" s="89">
        <v>1.6</v>
      </c>
      <c r="F159" s="90">
        <v>109.2</v>
      </c>
      <c r="G159" s="75">
        <f t="shared" si="34"/>
        <v>3.5539760106619283E-3</v>
      </c>
      <c r="H159" s="78">
        <f t="shared" si="28"/>
        <v>4.9140826299422485E-2</v>
      </c>
      <c r="I159" s="75">
        <f t="shared" si="35"/>
        <v>4.2432814710042432E-3</v>
      </c>
      <c r="J159" s="79">
        <f t="shared" si="30"/>
        <v>5.3338048090523333</v>
      </c>
      <c r="K159" s="79">
        <f t="shared" si="31"/>
        <v>9.21309047830594</v>
      </c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</row>
    <row r="160" spans="1:40" ht="14.25" customHeight="1">
      <c r="A160" s="7">
        <v>31403</v>
      </c>
      <c r="B160" s="8" t="s">
        <v>17</v>
      </c>
      <c r="C160" s="8" t="s">
        <v>210</v>
      </c>
      <c r="D160" s="8" t="s">
        <v>212</v>
      </c>
      <c r="E160" s="89">
        <v>3.6</v>
      </c>
      <c r="F160" s="90">
        <v>158.4</v>
      </c>
      <c r="G160" s="75">
        <f t="shared" si="34"/>
        <v>7.9964460239893391E-3</v>
      </c>
      <c r="H160" s="78">
        <f t="shared" si="28"/>
        <v>0.11056685917370059</v>
      </c>
      <c r="I160" s="75">
        <f t="shared" si="35"/>
        <v>6.1550896062918699E-3</v>
      </c>
      <c r="J160" s="79">
        <f t="shared" si="30"/>
        <v>7.7369476351088808</v>
      </c>
      <c r="K160" s="79">
        <f t="shared" si="31"/>
        <v>14.290759662372277</v>
      </c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</row>
    <row r="161" spans="1:40" ht="14.25" customHeight="1">
      <c r="A161" s="7">
        <v>31404</v>
      </c>
      <c r="B161" s="8" t="s">
        <v>17</v>
      </c>
      <c r="C161" s="8" t="s">
        <v>210</v>
      </c>
      <c r="D161" s="8" t="s">
        <v>213</v>
      </c>
      <c r="E161" s="89">
        <v>0.4</v>
      </c>
      <c r="F161" s="90">
        <v>13.8</v>
      </c>
      <c r="G161" s="75">
        <f t="shared" si="34"/>
        <v>8.8849400266548207E-4</v>
      </c>
      <c r="H161" s="78">
        <f t="shared" si="28"/>
        <v>1.2285206574855621E-2</v>
      </c>
      <c r="I161" s="75">
        <f t="shared" si="35"/>
        <v>5.3623886721482195E-4</v>
      </c>
      <c r="J161" s="79">
        <f t="shared" si="30"/>
        <v>0.67405225608903119</v>
      </c>
      <c r="K161" s="79">
        <f t="shared" si="31"/>
        <v>18.225896380996531</v>
      </c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</row>
    <row r="162" spans="1:40" ht="14.25" customHeight="1">
      <c r="A162" s="7">
        <v>31405</v>
      </c>
      <c r="B162" s="8" t="s">
        <v>17</v>
      </c>
      <c r="C162" s="8" t="s">
        <v>210</v>
      </c>
      <c r="D162" s="8" t="s">
        <v>214</v>
      </c>
      <c r="E162" s="89">
        <v>0</v>
      </c>
      <c r="F162" s="90">
        <v>37.4</v>
      </c>
      <c r="G162" s="75">
        <f t="shared" si="34"/>
        <v>0</v>
      </c>
      <c r="H162" s="78">
        <f t="shared" si="28"/>
        <v>0</v>
      </c>
      <c r="I162" s="75">
        <f t="shared" si="35"/>
        <v>1.4532850459300247E-3</v>
      </c>
      <c r="J162" s="79">
        <f t="shared" si="30"/>
        <v>1.8267793027340411</v>
      </c>
      <c r="K162" s="79">
        <f t="shared" si="31"/>
        <v>0</v>
      </c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</row>
    <row r="163" spans="1:40" ht="14.25" customHeight="1">
      <c r="A163" s="7">
        <v>31501</v>
      </c>
      <c r="B163" s="8" t="s">
        <v>17</v>
      </c>
      <c r="C163" s="8" t="s">
        <v>215</v>
      </c>
      <c r="D163" s="8" t="s">
        <v>215</v>
      </c>
      <c r="E163" s="89">
        <v>6.4</v>
      </c>
      <c r="F163" s="90">
        <v>91.2</v>
      </c>
      <c r="G163" s="75">
        <f t="shared" si="34"/>
        <v>1.4215904042647713E-2</v>
      </c>
      <c r="H163" s="78">
        <f t="shared" si="28"/>
        <v>0.19656330519768994</v>
      </c>
      <c r="I163" s="75">
        <f t="shared" si="35"/>
        <v>3.5438394702892585E-3</v>
      </c>
      <c r="J163" s="79">
        <f t="shared" si="30"/>
        <v>4.454606214153598</v>
      </c>
      <c r="K163" s="79">
        <f t="shared" si="31"/>
        <v>44.125854396096862</v>
      </c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</row>
    <row r="164" spans="1:40" ht="14.25" customHeight="1">
      <c r="A164" s="7">
        <v>31601</v>
      </c>
      <c r="B164" s="8" t="s">
        <v>17</v>
      </c>
      <c r="C164" s="8" t="s">
        <v>216</v>
      </c>
      <c r="D164" s="8" t="s">
        <v>216</v>
      </c>
      <c r="E164" s="89">
        <v>5.6</v>
      </c>
      <c r="F164" s="90">
        <v>232.8</v>
      </c>
      <c r="G164" s="75">
        <f t="shared" si="34"/>
        <v>1.2438916037316748E-2</v>
      </c>
      <c r="H164" s="78">
        <f t="shared" si="28"/>
        <v>0.17199289204797868</v>
      </c>
      <c r="I164" s="75">
        <f t="shared" si="35"/>
        <v>9.0461165425804752E-3</v>
      </c>
      <c r="J164" s="79">
        <f t="shared" si="30"/>
        <v>11.370968494023657</v>
      </c>
      <c r="K164" s="79">
        <f t="shared" si="31"/>
        <v>15.125615037837326</v>
      </c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</row>
    <row r="165" spans="1:40" ht="14.25" customHeight="1">
      <c r="A165" s="7">
        <v>31602</v>
      </c>
      <c r="B165" s="8" t="s">
        <v>17</v>
      </c>
      <c r="C165" s="8" t="s">
        <v>216</v>
      </c>
      <c r="D165" s="8" t="s">
        <v>217</v>
      </c>
      <c r="E165" s="89">
        <v>8</v>
      </c>
      <c r="F165" s="90">
        <v>418.2</v>
      </c>
      <c r="G165" s="75">
        <f t="shared" si="34"/>
        <v>1.776988005330964E-2</v>
      </c>
      <c r="H165" s="78">
        <f t="shared" si="28"/>
        <v>0.2457041314971124</v>
      </c>
      <c r="I165" s="75">
        <f t="shared" si="35"/>
        <v>1.6250369149944821E-2</v>
      </c>
      <c r="J165" s="79">
        <f t="shared" si="30"/>
        <v>20.426714021480642</v>
      </c>
      <c r="K165" s="79">
        <f t="shared" si="31"/>
        <v>12.028568630212918</v>
      </c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</row>
    <row r="166" spans="1:40" ht="14.25" customHeight="1">
      <c r="A166" s="7">
        <v>40101</v>
      </c>
      <c r="B166" s="8" t="s">
        <v>20</v>
      </c>
      <c r="C166" s="8" t="s">
        <v>164</v>
      </c>
      <c r="D166" s="8" t="s">
        <v>20</v>
      </c>
      <c r="E166" s="89">
        <v>77.2</v>
      </c>
      <c r="F166" s="90">
        <v>3885.8</v>
      </c>
      <c r="G166" s="75">
        <f>E166/$R$5</f>
        <v>0.52804377564979488</v>
      </c>
      <c r="H166" s="78">
        <f>$S$20*G166</f>
        <v>4.7634829001368004</v>
      </c>
      <c r="I166" s="75">
        <f>F166/$S$5</f>
        <v>0.55473389675650986</v>
      </c>
      <c r="J166" s="79">
        <f>I166*$U$20</f>
        <v>161.42756395614438</v>
      </c>
      <c r="K166" s="79">
        <f>1000*H166/J166</f>
        <v>29.508485313145862</v>
      </c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</row>
    <row r="167" spans="1:40" ht="14.25" customHeight="1">
      <c r="A167" s="7">
        <v>40102</v>
      </c>
      <c r="B167" s="8" t="s">
        <v>20</v>
      </c>
      <c r="C167" s="8" t="s">
        <v>164</v>
      </c>
      <c r="D167" s="8" t="s">
        <v>218</v>
      </c>
      <c r="E167" s="89">
        <v>9</v>
      </c>
      <c r="F167" s="90">
        <v>285.39999999999998</v>
      </c>
      <c r="G167" s="75">
        <f t="shared" ref="G167:G186" si="36">E167/$R$5</f>
        <v>6.1559507523939815E-2</v>
      </c>
      <c r="H167" s="78">
        <f t="shared" ref="H167:H200" si="37">$S$20*G167</f>
        <v>0.55532831737346111</v>
      </c>
      <c r="I167" s="75">
        <f t="shared" ref="I167:I186" si="38">F167/$S$5</f>
        <v>4.074349017816354E-2</v>
      </c>
      <c r="J167" s="79">
        <f t="shared" ref="J167:J200" si="39">I167*$U$20</f>
        <v>11.856355641845591</v>
      </c>
      <c r="K167" s="79">
        <f t="shared" ref="K167:K186" si="40">1000*H167/J167</f>
        <v>46.838027986736172</v>
      </c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</row>
    <row r="168" spans="1:40" ht="14.25" customHeight="1">
      <c r="A168" s="7">
        <v>40103</v>
      </c>
      <c r="B168" s="8" t="s">
        <v>20</v>
      </c>
      <c r="C168" s="8" t="s">
        <v>164</v>
      </c>
      <c r="D168" s="8" t="s">
        <v>219</v>
      </c>
      <c r="E168" s="89">
        <v>0.8</v>
      </c>
      <c r="F168" s="90">
        <v>79</v>
      </c>
      <c r="G168" s="75">
        <f t="shared" si="36"/>
        <v>5.471956224350206E-3</v>
      </c>
      <c r="H168" s="78">
        <f t="shared" si="37"/>
        <v>4.936251709986321E-2</v>
      </c>
      <c r="I168" s="75">
        <f t="shared" si="38"/>
        <v>1.1277980813156693E-2</v>
      </c>
      <c r="J168" s="79">
        <f t="shared" si="39"/>
        <v>3.2818924166285979</v>
      </c>
      <c r="K168" s="79">
        <f t="shared" si="40"/>
        <v>15.040869971774404</v>
      </c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</row>
    <row r="169" spans="1:40" ht="14.25" customHeight="1">
      <c r="A169" s="7">
        <v>40104</v>
      </c>
      <c r="B169" s="8" t="s">
        <v>20</v>
      </c>
      <c r="C169" s="8" t="s">
        <v>164</v>
      </c>
      <c r="D169" s="8" t="s">
        <v>220</v>
      </c>
      <c r="E169" s="89">
        <v>4.2</v>
      </c>
      <c r="F169" s="90">
        <v>209.2</v>
      </c>
      <c r="G169" s="75">
        <f t="shared" si="36"/>
        <v>2.872777017783858E-2</v>
      </c>
      <c r="H169" s="78">
        <f t="shared" si="37"/>
        <v>0.25915321477428188</v>
      </c>
      <c r="I169" s="75">
        <f t="shared" si="38"/>
        <v>2.9865235267245317E-2</v>
      </c>
      <c r="J169" s="79">
        <f t="shared" si="39"/>
        <v>8.6907834627683869</v>
      </c>
      <c r="K169" s="79">
        <f t="shared" si="40"/>
        <v>29.819315586966709</v>
      </c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</row>
    <row r="170" spans="1:40" ht="14.25" customHeight="1">
      <c r="A170" s="7">
        <v>40201</v>
      </c>
      <c r="B170" s="8" t="s">
        <v>20</v>
      </c>
      <c r="C170" s="8" t="s">
        <v>221</v>
      </c>
      <c r="D170" s="8" t="s">
        <v>222</v>
      </c>
      <c r="E170" s="89">
        <v>10.6</v>
      </c>
      <c r="F170" s="90">
        <v>477.4</v>
      </c>
      <c r="G170" s="75">
        <f t="shared" si="36"/>
        <v>7.2503419972640218E-2</v>
      </c>
      <c r="H170" s="78">
        <f t="shared" si="37"/>
        <v>0.65405335157318745</v>
      </c>
      <c r="I170" s="75">
        <f t="shared" si="38"/>
        <v>6.8153266331658288E-2</v>
      </c>
      <c r="J170" s="79">
        <f t="shared" si="39"/>
        <v>19.832600502512562</v>
      </c>
      <c r="K170" s="79">
        <f t="shared" si="40"/>
        <v>32.978698456126637</v>
      </c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</row>
    <row r="171" spans="1:40" ht="14.25" customHeight="1">
      <c r="A171" s="7">
        <v>40202</v>
      </c>
      <c r="B171" s="8" t="s">
        <v>20</v>
      </c>
      <c r="C171" s="8" t="s">
        <v>221</v>
      </c>
      <c r="D171" s="8" t="s">
        <v>223</v>
      </c>
      <c r="E171" s="89">
        <v>1.8</v>
      </c>
      <c r="F171" s="90">
        <v>47.8</v>
      </c>
      <c r="G171" s="75">
        <f t="shared" si="36"/>
        <v>1.2311901504787963E-2</v>
      </c>
      <c r="H171" s="78">
        <f t="shared" si="37"/>
        <v>0.11106566347469222</v>
      </c>
      <c r="I171" s="75">
        <f t="shared" si="38"/>
        <v>6.8238921882137959E-3</v>
      </c>
      <c r="J171" s="79">
        <f t="shared" si="39"/>
        <v>1.9857526267702146</v>
      </c>
      <c r="K171" s="79">
        <f t="shared" si="40"/>
        <v>55.931268566587889</v>
      </c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</row>
    <row r="172" spans="1:40" ht="14.25" customHeight="1">
      <c r="A172" s="7">
        <v>40301</v>
      </c>
      <c r="B172" s="8" t="s">
        <v>20</v>
      </c>
      <c r="C172" s="8" t="s">
        <v>224</v>
      </c>
      <c r="D172" s="8" t="s">
        <v>225</v>
      </c>
      <c r="E172" s="89">
        <v>3</v>
      </c>
      <c r="F172" s="90">
        <v>170.8</v>
      </c>
      <c r="G172" s="75">
        <f t="shared" si="36"/>
        <v>2.0519835841313273E-2</v>
      </c>
      <c r="H172" s="78">
        <f t="shared" si="37"/>
        <v>0.18510943912448705</v>
      </c>
      <c r="I172" s="75">
        <f t="shared" si="38"/>
        <v>2.438328003654637E-2</v>
      </c>
      <c r="J172" s="79">
        <f t="shared" si="39"/>
        <v>7.0955344906349938</v>
      </c>
      <c r="K172" s="79">
        <f t="shared" si="40"/>
        <v>26.088160006663742</v>
      </c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</row>
    <row r="173" spans="1:40" ht="14.25" customHeight="1">
      <c r="A173" s="7">
        <v>40302</v>
      </c>
      <c r="B173" s="8" t="s">
        <v>20</v>
      </c>
      <c r="C173" s="8" t="s">
        <v>224</v>
      </c>
      <c r="D173" s="8" t="s">
        <v>226</v>
      </c>
      <c r="E173" s="89">
        <v>0.4</v>
      </c>
      <c r="F173" s="90">
        <v>24.4</v>
      </c>
      <c r="G173" s="75">
        <f t="shared" si="36"/>
        <v>2.735978112175103E-3</v>
      </c>
      <c r="H173" s="78">
        <f t="shared" si="37"/>
        <v>2.4681258549931605E-2</v>
      </c>
      <c r="I173" s="75">
        <f t="shared" si="38"/>
        <v>3.4833257195066238E-3</v>
      </c>
      <c r="J173" s="79">
        <f t="shared" si="39"/>
        <v>1.0136477843764276</v>
      </c>
      <c r="K173" s="79">
        <f t="shared" si="40"/>
        <v>24.348949339552831</v>
      </c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</row>
    <row r="174" spans="1:40" ht="14.25" customHeight="1">
      <c r="A174" s="7">
        <v>40401</v>
      </c>
      <c r="B174" s="8" t="s">
        <v>20</v>
      </c>
      <c r="C174" s="8" t="s">
        <v>227</v>
      </c>
      <c r="D174" s="8" t="s">
        <v>228</v>
      </c>
      <c r="E174" s="89">
        <v>2.8</v>
      </c>
      <c r="F174" s="90">
        <v>70.2</v>
      </c>
      <c r="G174" s="75">
        <f t="shared" si="36"/>
        <v>1.9151846785225718E-2</v>
      </c>
      <c r="H174" s="78">
        <f t="shared" si="37"/>
        <v>0.17276880984952123</v>
      </c>
      <c r="I174" s="75">
        <f t="shared" si="38"/>
        <v>1.0021699406121517E-2</v>
      </c>
      <c r="J174" s="79">
        <f t="shared" si="39"/>
        <v>2.9163145271813615</v>
      </c>
      <c r="K174" s="79">
        <f t="shared" si="40"/>
        <v>59.242173036974684</v>
      </c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</row>
    <row r="175" spans="1:40" ht="14.25" customHeight="1">
      <c r="A175" s="7">
        <v>40402</v>
      </c>
      <c r="B175" s="8" t="s">
        <v>20</v>
      </c>
      <c r="C175" s="8" t="s">
        <v>227</v>
      </c>
      <c r="D175" s="8" t="s">
        <v>229</v>
      </c>
      <c r="E175" s="89">
        <v>0.6</v>
      </c>
      <c r="F175" s="90">
        <v>61</v>
      </c>
      <c r="G175" s="75">
        <f t="shared" si="36"/>
        <v>4.1039671682626538E-3</v>
      </c>
      <c r="H175" s="78">
        <f t="shared" si="37"/>
        <v>3.7021887824897404E-2</v>
      </c>
      <c r="I175" s="75">
        <f t="shared" si="38"/>
        <v>8.7083142987665601E-3</v>
      </c>
      <c r="J175" s="79">
        <f t="shared" si="39"/>
        <v>2.5341194609410689</v>
      </c>
      <c r="K175" s="79">
        <f t="shared" si="40"/>
        <v>14.609369603731697</v>
      </c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</row>
    <row r="176" spans="1:40" ht="14.25" customHeight="1">
      <c r="A176" s="7">
        <v>40501</v>
      </c>
      <c r="B176" s="8" t="s">
        <v>20</v>
      </c>
      <c r="C176" s="8" t="s">
        <v>230</v>
      </c>
      <c r="D176" s="8" t="s">
        <v>231</v>
      </c>
      <c r="E176" s="89">
        <v>0.4</v>
      </c>
      <c r="F176" s="90">
        <v>44.8</v>
      </c>
      <c r="G176" s="75">
        <f t="shared" si="36"/>
        <v>2.735978112175103E-3</v>
      </c>
      <c r="H176" s="78">
        <f t="shared" si="37"/>
        <v>2.4681258549931605E-2</v>
      </c>
      <c r="I176" s="75">
        <f t="shared" si="38"/>
        <v>6.3956144358154401E-3</v>
      </c>
      <c r="J176" s="79">
        <f t="shared" si="39"/>
        <v>1.861123800822293</v>
      </c>
      <c r="K176" s="79">
        <f t="shared" si="40"/>
        <v>13.26148133672074</v>
      </c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</row>
    <row r="177" spans="1:40" ht="14.25" customHeight="1">
      <c r="A177" s="7">
        <v>40502</v>
      </c>
      <c r="B177" s="8" t="s">
        <v>20</v>
      </c>
      <c r="C177" s="8" t="s">
        <v>230</v>
      </c>
      <c r="D177" s="8" t="s">
        <v>232</v>
      </c>
      <c r="E177" s="89">
        <v>0.4</v>
      </c>
      <c r="F177" s="90">
        <v>43.6</v>
      </c>
      <c r="G177" s="75">
        <f t="shared" si="36"/>
        <v>2.735978112175103E-3</v>
      </c>
      <c r="H177" s="78">
        <f t="shared" si="37"/>
        <v>2.4681258549931605E-2</v>
      </c>
      <c r="I177" s="75">
        <f t="shared" si="38"/>
        <v>6.2243033348560991E-3</v>
      </c>
      <c r="J177" s="79">
        <f t="shared" si="39"/>
        <v>1.8112722704431248</v>
      </c>
      <c r="K177" s="79">
        <f t="shared" si="40"/>
        <v>13.626476235896538</v>
      </c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</row>
    <row r="178" spans="1:40" ht="14.25" customHeight="1">
      <c r="A178" s="7">
        <v>40503</v>
      </c>
      <c r="B178" s="8" t="s">
        <v>20</v>
      </c>
      <c r="C178" s="8" t="s">
        <v>230</v>
      </c>
      <c r="D178" s="8" t="s">
        <v>233</v>
      </c>
      <c r="E178" s="89">
        <v>0.2</v>
      </c>
      <c r="F178" s="90">
        <v>16.2</v>
      </c>
      <c r="G178" s="75">
        <f t="shared" si="36"/>
        <v>1.3679890560875515E-3</v>
      </c>
      <c r="H178" s="78">
        <f t="shared" si="37"/>
        <v>1.2340629274965802E-2</v>
      </c>
      <c r="I178" s="75">
        <f t="shared" si="38"/>
        <v>2.3126998629511191E-3</v>
      </c>
      <c r="J178" s="79">
        <f t="shared" si="39"/>
        <v>0.67299566011877565</v>
      </c>
      <c r="K178" s="79">
        <f t="shared" si="40"/>
        <v>18.336863082873119</v>
      </c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</row>
    <row r="179" spans="1:40" ht="14.25" customHeight="1">
      <c r="A179" s="7">
        <v>40504</v>
      </c>
      <c r="B179" s="8" t="s">
        <v>20</v>
      </c>
      <c r="C179" s="8" t="s">
        <v>230</v>
      </c>
      <c r="D179" s="8" t="s">
        <v>234</v>
      </c>
      <c r="E179" s="89">
        <v>0</v>
      </c>
      <c r="F179" s="90">
        <v>9.8000000000000007</v>
      </c>
      <c r="G179" s="75">
        <f t="shared" si="36"/>
        <v>0</v>
      </c>
      <c r="H179" s="78">
        <f t="shared" si="37"/>
        <v>0</v>
      </c>
      <c r="I179" s="75">
        <f t="shared" si="38"/>
        <v>1.3990406578346277E-3</v>
      </c>
      <c r="J179" s="79">
        <f t="shared" si="39"/>
        <v>0.40712083142987665</v>
      </c>
      <c r="K179" s="79">
        <f t="shared" si="40"/>
        <v>0</v>
      </c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</row>
    <row r="180" spans="1:40" ht="14.25" customHeight="1">
      <c r="A180" s="7">
        <v>40505</v>
      </c>
      <c r="B180" s="8" t="s">
        <v>20</v>
      </c>
      <c r="C180" s="8" t="s">
        <v>230</v>
      </c>
      <c r="D180" s="8" t="s">
        <v>235</v>
      </c>
      <c r="E180" s="89">
        <v>0.8</v>
      </c>
      <c r="F180" s="90">
        <v>43</v>
      </c>
      <c r="G180" s="75">
        <f t="shared" si="36"/>
        <v>5.471956224350206E-3</v>
      </c>
      <c r="H180" s="78">
        <f t="shared" si="37"/>
        <v>4.936251709986321E-2</v>
      </c>
      <c r="I180" s="75">
        <f t="shared" si="38"/>
        <v>6.1386477843764272E-3</v>
      </c>
      <c r="J180" s="79">
        <f t="shared" si="39"/>
        <v>1.7863465052535403</v>
      </c>
      <c r="K180" s="79">
        <f t="shared" si="40"/>
        <v>27.633226227213445</v>
      </c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</row>
    <row r="181" spans="1:40" ht="14.25" customHeight="1">
      <c r="A181" s="7">
        <v>40601</v>
      </c>
      <c r="B181" s="8" t="s">
        <v>20</v>
      </c>
      <c r="C181" s="8" t="s">
        <v>236</v>
      </c>
      <c r="D181" s="8" t="s">
        <v>236</v>
      </c>
      <c r="E181" s="89">
        <v>2.6</v>
      </c>
      <c r="F181" s="90">
        <v>117.8</v>
      </c>
      <c r="G181" s="75">
        <f t="shared" si="36"/>
        <v>1.778385772913817E-2</v>
      </c>
      <c r="H181" s="78">
        <f t="shared" si="37"/>
        <v>0.16042818057455543</v>
      </c>
      <c r="I181" s="75">
        <f t="shared" si="38"/>
        <v>1.6817039744175422E-2</v>
      </c>
      <c r="J181" s="79">
        <f t="shared" si="39"/>
        <v>4.8937585655550473</v>
      </c>
      <c r="K181" s="79">
        <f t="shared" si="40"/>
        <v>32.782201742386071</v>
      </c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</row>
    <row r="182" spans="1:40" ht="14.25" customHeight="1">
      <c r="A182" s="7">
        <v>40602</v>
      </c>
      <c r="B182" s="8" t="s">
        <v>20</v>
      </c>
      <c r="C182" s="8" t="s">
        <v>236</v>
      </c>
      <c r="D182" s="8" t="s">
        <v>237</v>
      </c>
      <c r="E182" s="89">
        <v>0.6</v>
      </c>
      <c r="F182" s="90">
        <v>42</v>
      </c>
      <c r="G182" s="75">
        <f t="shared" si="36"/>
        <v>4.1039671682626538E-3</v>
      </c>
      <c r="H182" s="78">
        <f t="shared" si="37"/>
        <v>3.7021887824897404E-2</v>
      </c>
      <c r="I182" s="75">
        <f t="shared" si="38"/>
        <v>5.9958885335769756E-3</v>
      </c>
      <c r="J182" s="79">
        <f t="shared" si="39"/>
        <v>1.7448035632708998</v>
      </c>
      <c r="K182" s="79">
        <f t="shared" si="40"/>
        <v>21.21837013875318</v>
      </c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</row>
    <row r="183" spans="1:40" ht="14.25" customHeight="1">
      <c r="A183" s="7">
        <v>40603</v>
      </c>
      <c r="B183" s="8" t="s">
        <v>20</v>
      </c>
      <c r="C183" s="8" t="s">
        <v>236</v>
      </c>
      <c r="D183" s="8" t="s">
        <v>238</v>
      </c>
      <c r="E183" s="89">
        <v>0.4</v>
      </c>
      <c r="F183" s="90">
        <v>45</v>
      </c>
      <c r="G183" s="75">
        <f t="shared" si="36"/>
        <v>2.735978112175103E-3</v>
      </c>
      <c r="H183" s="78">
        <f t="shared" si="37"/>
        <v>2.4681258549931605E-2</v>
      </c>
      <c r="I183" s="75">
        <f t="shared" si="38"/>
        <v>6.4241662859753313E-3</v>
      </c>
      <c r="J183" s="79">
        <f t="shared" si="39"/>
        <v>1.8694323892188214</v>
      </c>
      <c r="K183" s="79">
        <f t="shared" si="40"/>
        <v>13.202541419668645</v>
      </c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</row>
    <row r="184" spans="1:40" ht="14.25" customHeight="1">
      <c r="A184" s="7">
        <v>40701</v>
      </c>
      <c r="B184" s="8" t="s">
        <v>20</v>
      </c>
      <c r="C184" s="8" t="s">
        <v>239</v>
      </c>
      <c r="D184" s="8" t="s">
        <v>240</v>
      </c>
      <c r="E184" s="89">
        <v>6.8</v>
      </c>
      <c r="F184" s="90">
        <v>237</v>
      </c>
      <c r="G184" s="75">
        <f t="shared" si="36"/>
        <v>4.6511627906976744E-2</v>
      </c>
      <c r="H184" s="78">
        <f t="shared" si="37"/>
        <v>0.41958139534883726</v>
      </c>
      <c r="I184" s="75">
        <f t="shared" si="38"/>
        <v>3.3833942439470077E-2</v>
      </c>
      <c r="J184" s="79">
        <f t="shared" si="39"/>
        <v>9.8456772498857923</v>
      </c>
      <c r="K184" s="79">
        <f t="shared" si="40"/>
        <v>42.615798253360815</v>
      </c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</row>
    <row r="185" spans="1:40" ht="14.25" customHeight="1">
      <c r="A185" s="7">
        <v>40702</v>
      </c>
      <c r="B185" s="8" t="s">
        <v>20</v>
      </c>
      <c r="C185" s="8" t="s">
        <v>239</v>
      </c>
      <c r="D185" s="8" t="s">
        <v>241</v>
      </c>
      <c r="E185" s="89">
        <v>1.8</v>
      </c>
      <c r="F185" s="90">
        <v>71.400000000000006</v>
      </c>
      <c r="G185" s="75">
        <f t="shared" si="36"/>
        <v>1.2311901504787963E-2</v>
      </c>
      <c r="H185" s="78">
        <f t="shared" si="37"/>
        <v>0.11106566347469222</v>
      </c>
      <c r="I185" s="75">
        <f t="shared" si="38"/>
        <v>1.0193010507080859E-2</v>
      </c>
      <c r="J185" s="79">
        <f t="shared" si="39"/>
        <v>2.96616605756053</v>
      </c>
      <c r="K185" s="79">
        <f t="shared" si="40"/>
        <v>37.444182597799731</v>
      </c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</row>
    <row r="186" spans="1:40" ht="14.25" customHeight="1">
      <c r="A186" s="7">
        <v>40801</v>
      </c>
      <c r="B186" s="8" t="s">
        <v>20</v>
      </c>
      <c r="C186" s="8" t="s">
        <v>242</v>
      </c>
      <c r="D186" s="8" t="s">
        <v>243</v>
      </c>
      <c r="E186" s="89">
        <v>3.8</v>
      </c>
      <c r="F186" s="90">
        <v>184.6</v>
      </c>
      <c r="G186" s="75">
        <f t="shared" si="36"/>
        <v>2.5991792065663474E-2</v>
      </c>
      <c r="H186" s="78">
        <f t="shared" si="37"/>
        <v>0.23447195622435021</v>
      </c>
      <c r="I186" s="75">
        <f t="shared" si="38"/>
        <v>2.6353357697578801E-2</v>
      </c>
      <c r="J186" s="79">
        <f t="shared" si="39"/>
        <v>7.6688270899954309</v>
      </c>
      <c r="K186" s="79">
        <f t="shared" si="40"/>
        <v>30.574682865158966</v>
      </c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</row>
    <row r="187" spans="1:40" ht="14.25" customHeight="1">
      <c r="A187" s="7">
        <v>40802</v>
      </c>
      <c r="B187" s="8" t="s">
        <v>20</v>
      </c>
      <c r="C187" s="8" t="s">
        <v>242</v>
      </c>
      <c r="D187" s="8" t="s">
        <v>244</v>
      </c>
      <c r="E187" s="89">
        <v>0.4</v>
      </c>
      <c r="F187" s="90">
        <v>36.6</v>
      </c>
      <c r="G187" s="75">
        <f>E187/$R$5</f>
        <v>2.735978112175103E-3</v>
      </c>
      <c r="H187" s="78">
        <f>$S$20*G187</f>
        <v>2.4681258549931605E-2</v>
      </c>
      <c r="I187" s="75">
        <f>F187/$S$5</f>
        <v>5.2249885792599359E-3</v>
      </c>
      <c r="J187" s="79">
        <f>I187*$U$20</f>
        <v>1.5204716765646413</v>
      </c>
      <c r="K187" s="79">
        <f>1000*H187/J187</f>
        <v>16.23263289303522</v>
      </c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</row>
    <row r="188" spans="1:40" ht="14.25" customHeight="1">
      <c r="A188" s="7">
        <v>40901</v>
      </c>
      <c r="B188" s="8" t="s">
        <v>20</v>
      </c>
      <c r="C188" s="8" t="s">
        <v>245</v>
      </c>
      <c r="D188" s="8" t="s">
        <v>245</v>
      </c>
      <c r="E188" s="89">
        <v>2.4</v>
      </c>
      <c r="F188" s="90">
        <v>208</v>
      </c>
      <c r="G188" s="75">
        <f t="shared" ref="G188:G200" si="41">E188/$R$5</f>
        <v>1.6415868673050615E-2</v>
      </c>
      <c r="H188" s="78">
        <f t="shared" si="37"/>
        <v>0.14808755129958961</v>
      </c>
      <c r="I188" s="75">
        <f t="shared" ref="I188:I200" si="42">F188/$S$5</f>
        <v>2.9693924166285975E-2</v>
      </c>
      <c r="J188" s="79">
        <f t="shared" si="39"/>
        <v>8.6409319323892184</v>
      </c>
      <c r="K188" s="79">
        <f t="shared" ref="K188:K242" si="43">1000*H188/J188</f>
        <v>17.137914342839107</v>
      </c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</row>
    <row r="189" spans="1:40" ht="14.25" customHeight="1">
      <c r="A189" s="7">
        <v>40902</v>
      </c>
      <c r="B189" s="8" t="s">
        <v>20</v>
      </c>
      <c r="C189" s="8" t="s">
        <v>245</v>
      </c>
      <c r="D189" s="8" t="s">
        <v>246</v>
      </c>
      <c r="E189" s="89">
        <v>0.2</v>
      </c>
      <c r="F189" s="90">
        <v>23.6</v>
      </c>
      <c r="G189" s="75">
        <f t="shared" si="41"/>
        <v>1.3679890560875515E-3</v>
      </c>
      <c r="H189" s="78">
        <f t="shared" si="37"/>
        <v>1.2340629274965802E-2</v>
      </c>
      <c r="I189" s="75">
        <f t="shared" si="42"/>
        <v>3.3691183188670629E-3</v>
      </c>
      <c r="J189" s="79">
        <f t="shared" si="39"/>
        <v>0.98041343079031529</v>
      </c>
      <c r="K189" s="79">
        <f t="shared" si="43"/>
        <v>12.587168726379005</v>
      </c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</row>
    <row r="190" spans="1:40" ht="14.25" customHeight="1">
      <c r="A190" s="7">
        <v>40903</v>
      </c>
      <c r="B190" s="8" t="s">
        <v>20</v>
      </c>
      <c r="C190" s="8" t="s">
        <v>245</v>
      </c>
      <c r="D190" s="8" t="s">
        <v>247</v>
      </c>
      <c r="E190" s="89">
        <v>0.8</v>
      </c>
      <c r="F190" s="90">
        <v>33.200000000000003</v>
      </c>
      <c r="G190" s="75">
        <f t="shared" si="41"/>
        <v>5.471956224350206E-3</v>
      </c>
      <c r="H190" s="78">
        <f t="shared" si="37"/>
        <v>4.936251709986321E-2</v>
      </c>
      <c r="I190" s="75">
        <f t="shared" si="42"/>
        <v>4.7396071265418003E-3</v>
      </c>
      <c r="J190" s="79">
        <f t="shared" si="39"/>
        <v>1.3792256738236639</v>
      </c>
      <c r="K190" s="79">
        <f t="shared" si="43"/>
        <v>35.79002192078849</v>
      </c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</row>
    <row r="191" spans="1:40" ht="14.25" customHeight="1">
      <c r="A191" s="7">
        <v>41001</v>
      </c>
      <c r="B191" s="8" t="s">
        <v>20</v>
      </c>
      <c r="C191" s="8" t="s">
        <v>248</v>
      </c>
      <c r="D191" s="8" t="s">
        <v>249</v>
      </c>
      <c r="E191" s="89">
        <v>2.8</v>
      </c>
      <c r="F191" s="90">
        <v>106.8</v>
      </c>
      <c r="G191" s="75">
        <f t="shared" si="41"/>
        <v>1.9151846785225718E-2</v>
      </c>
      <c r="H191" s="78">
        <f t="shared" si="37"/>
        <v>0.17276880984952123</v>
      </c>
      <c r="I191" s="75">
        <f t="shared" si="42"/>
        <v>1.5246687985381452E-2</v>
      </c>
      <c r="J191" s="79">
        <f t="shared" si="39"/>
        <v>4.4367862037460029</v>
      </c>
      <c r="K191" s="79">
        <f t="shared" si="43"/>
        <v>38.940080029921567</v>
      </c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</row>
    <row r="192" spans="1:40" ht="14.25" customHeight="1">
      <c r="A192" s="7">
        <v>41101</v>
      </c>
      <c r="B192" s="8" t="s">
        <v>20</v>
      </c>
      <c r="C192" s="8" t="s">
        <v>250</v>
      </c>
      <c r="D192" s="8" t="s">
        <v>251</v>
      </c>
      <c r="E192" s="89">
        <v>3.4</v>
      </c>
      <c r="F192" s="90">
        <v>64</v>
      </c>
      <c r="G192" s="75">
        <f t="shared" si="41"/>
        <v>2.3255813953488372E-2</v>
      </c>
      <c r="H192" s="78">
        <f t="shared" si="37"/>
        <v>0.20979069767441863</v>
      </c>
      <c r="I192" s="75">
        <f t="shared" si="42"/>
        <v>9.136592051164915E-3</v>
      </c>
      <c r="J192" s="79">
        <f t="shared" si="39"/>
        <v>2.6587482868889905</v>
      </c>
      <c r="K192" s="79">
        <f t="shared" si="43"/>
        <v>78.905813953488376</v>
      </c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</row>
    <row r="193" spans="1:40" ht="14.25" customHeight="1">
      <c r="A193" s="7">
        <v>41201</v>
      </c>
      <c r="B193" s="8" t="s">
        <v>20</v>
      </c>
      <c r="C193" s="8" t="s">
        <v>252</v>
      </c>
      <c r="D193" s="8" t="s">
        <v>253</v>
      </c>
      <c r="E193" s="89">
        <v>0.8</v>
      </c>
      <c r="F193" s="90">
        <v>50.8</v>
      </c>
      <c r="G193" s="75">
        <f t="shared" si="41"/>
        <v>5.471956224350206E-3</v>
      </c>
      <c r="H193" s="78">
        <f t="shared" si="37"/>
        <v>4.936251709986321E-2</v>
      </c>
      <c r="I193" s="75">
        <f t="shared" si="42"/>
        <v>7.2521699406121508E-3</v>
      </c>
      <c r="J193" s="79">
        <f t="shared" si="39"/>
        <v>2.1103814527181357</v>
      </c>
      <c r="K193" s="79">
        <f t="shared" si="43"/>
        <v>23.390329286814534</v>
      </c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</row>
    <row r="194" spans="1:40" ht="14.25" customHeight="1">
      <c r="A194" s="7">
        <v>41202</v>
      </c>
      <c r="B194" s="8" t="s">
        <v>20</v>
      </c>
      <c r="C194" s="8" t="s">
        <v>252</v>
      </c>
      <c r="D194" s="8" t="s">
        <v>254</v>
      </c>
      <c r="E194" s="89">
        <v>0.6</v>
      </c>
      <c r="F194" s="90">
        <v>31.2</v>
      </c>
      <c r="G194" s="75">
        <f t="shared" si="41"/>
        <v>4.1039671682626538E-3</v>
      </c>
      <c r="H194" s="78">
        <f t="shared" si="37"/>
        <v>3.7021887824897404E-2</v>
      </c>
      <c r="I194" s="75">
        <f t="shared" si="42"/>
        <v>4.4540886249428962E-3</v>
      </c>
      <c r="J194" s="79">
        <f t="shared" si="39"/>
        <v>1.2961397898583829</v>
      </c>
      <c r="K194" s="79">
        <f t="shared" si="43"/>
        <v>28.563190571398508</v>
      </c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</row>
    <row r="195" spans="1:40" ht="14.25" customHeight="1">
      <c r="A195" s="7">
        <v>41301</v>
      </c>
      <c r="B195" s="8" t="s">
        <v>20</v>
      </c>
      <c r="C195" s="8" t="s">
        <v>255</v>
      </c>
      <c r="D195" s="8" t="s">
        <v>255</v>
      </c>
      <c r="E195" s="89">
        <v>2.4</v>
      </c>
      <c r="F195" s="90">
        <v>67.400000000000006</v>
      </c>
      <c r="G195" s="75">
        <f t="shared" si="41"/>
        <v>1.6415868673050615E-2</v>
      </c>
      <c r="H195" s="78">
        <f t="shared" si="37"/>
        <v>0.14808755129958961</v>
      </c>
      <c r="I195" s="75">
        <f t="shared" si="42"/>
        <v>9.6219735038830523E-3</v>
      </c>
      <c r="J195" s="79">
        <f t="shared" si="39"/>
        <v>2.7999942896299683</v>
      </c>
      <c r="K195" s="79">
        <f t="shared" si="43"/>
        <v>52.888519040215634</v>
      </c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</row>
    <row r="196" spans="1:40" ht="14.25" customHeight="1">
      <c r="A196" s="7">
        <v>41401</v>
      </c>
      <c r="B196" s="8" t="s">
        <v>20</v>
      </c>
      <c r="C196" s="8" t="s">
        <v>256</v>
      </c>
      <c r="D196" s="8" t="s">
        <v>257</v>
      </c>
      <c r="E196" s="89">
        <v>2</v>
      </c>
      <c r="F196" s="90">
        <v>122</v>
      </c>
      <c r="G196" s="75">
        <f t="shared" si="41"/>
        <v>1.3679890560875515E-2</v>
      </c>
      <c r="H196" s="78">
        <f t="shared" si="37"/>
        <v>0.12340629274965803</v>
      </c>
      <c r="I196" s="75">
        <f t="shared" si="42"/>
        <v>1.741662859753312E-2</v>
      </c>
      <c r="J196" s="79">
        <f t="shared" si="39"/>
        <v>5.0682389218821378</v>
      </c>
      <c r="K196" s="79">
        <f t="shared" si="43"/>
        <v>24.348949339552831</v>
      </c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</row>
    <row r="197" spans="1:40" ht="14.25" customHeight="1">
      <c r="A197" s="7">
        <v>41501</v>
      </c>
      <c r="B197" s="8" t="s">
        <v>20</v>
      </c>
      <c r="C197" s="8" t="s">
        <v>258</v>
      </c>
      <c r="D197" s="8" t="s">
        <v>259</v>
      </c>
      <c r="E197" s="89">
        <v>0</v>
      </c>
      <c r="F197" s="90">
        <v>17.399999999999999</v>
      </c>
      <c r="G197" s="75">
        <f t="shared" si="41"/>
        <v>0</v>
      </c>
      <c r="H197" s="78">
        <f t="shared" si="37"/>
        <v>0</v>
      </c>
      <c r="I197" s="75">
        <f t="shared" si="42"/>
        <v>2.484010963910461E-3</v>
      </c>
      <c r="J197" s="79">
        <f t="shared" si="39"/>
        <v>0.72284719049794421</v>
      </c>
      <c r="K197" s="79">
        <f t="shared" si="43"/>
        <v>0</v>
      </c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</row>
    <row r="198" spans="1:40" ht="14.25" customHeight="1">
      <c r="A198" s="7">
        <v>41502</v>
      </c>
      <c r="B198" s="8" t="s">
        <v>20</v>
      </c>
      <c r="C198" s="8" t="s">
        <v>258</v>
      </c>
      <c r="D198" s="8" t="s">
        <v>260</v>
      </c>
      <c r="E198" s="89">
        <v>0.2</v>
      </c>
      <c r="F198" s="90">
        <v>15.6</v>
      </c>
      <c r="G198" s="75">
        <f t="shared" si="41"/>
        <v>1.3679890560875515E-3</v>
      </c>
      <c r="H198" s="78">
        <f t="shared" si="37"/>
        <v>1.2340629274965802E-2</v>
      </c>
      <c r="I198" s="75">
        <f t="shared" si="42"/>
        <v>2.2270443124714481E-3</v>
      </c>
      <c r="J198" s="79">
        <f t="shared" si="39"/>
        <v>0.64806989492919143</v>
      </c>
      <c r="K198" s="79">
        <f t="shared" si="43"/>
        <v>19.042127047599006</v>
      </c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</row>
    <row r="199" spans="1:40" ht="14.25" customHeight="1">
      <c r="A199" s="7">
        <v>41503</v>
      </c>
      <c r="B199" s="8" t="s">
        <v>20</v>
      </c>
      <c r="C199" s="8" t="s">
        <v>258</v>
      </c>
      <c r="D199" s="8" t="s">
        <v>224</v>
      </c>
      <c r="E199" s="89">
        <v>0</v>
      </c>
      <c r="F199" s="90">
        <v>12.8</v>
      </c>
      <c r="G199" s="75">
        <f t="shared" si="41"/>
        <v>0</v>
      </c>
      <c r="H199" s="78">
        <f t="shared" si="37"/>
        <v>0</v>
      </c>
      <c r="I199" s="75">
        <f t="shared" si="42"/>
        <v>1.8273184102329831E-3</v>
      </c>
      <c r="J199" s="79">
        <f t="shared" si="39"/>
        <v>0.53174965737779811</v>
      </c>
      <c r="K199" s="79">
        <f t="shared" si="43"/>
        <v>0</v>
      </c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</row>
    <row r="200" spans="1:40" ht="14.25" customHeight="1">
      <c r="A200" s="7">
        <v>41601</v>
      </c>
      <c r="B200" s="8" t="s">
        <v>20</v>
      </c>
      <c r="C200" s="8" t="s">
        <v>261</v>
      </c>
      <c r="D200" s="8" t="s">
        <v>262</v>
      </c>
      <c r="E200" s="89">
        <v>2</v>
      </c>
      <c r="F200" s="90">
        <v>49.2</v>
      </c>
      <c r="G200" s="75">
        <f t="shared" si="41"/>
        <v>1.3679890560875515E-2</v>
      </c>
      <c r="H200" s="78">
        <f t="shared" si="37"/>
        <v>0.12340629274965803</v>
      </c>
      <c r="I200" s="75">
        <f t="shared" si="42"/>
        <v>7.0237551393330291E-3</v>
      </c>
      <c r="J200" s="79">
        <f t="shared" si="39"/>
        <v>2.0439127455459114</v>
      </c>
      <c r="K200" s="79">
        <f t="shared" si="43"/>
        <v>60.377476004582221</v>
      </c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</row>
    <row r="201" spans="1:40" ht="14.25" customHeight="1">
      <c r="A201" s="7">
        <v>50101</v>
      </c>
      <c r="B201" s="8" t="s">
        <v>263</v>
      </c>
      <c r="C201" s="8" t="s">
        <v>264</v>
      </c>
      <c r="D201" s="8" t="s">
        <v>263</v>
      </c>
      <c r="E201" s="89">
        <v>65</v>
      </c>
      <c r="F201" s="90">
        <v>3218.4</v>
      </c>
      <c r="G201" s="75">
        <f>E201/$R$6</f>
        <v>0.19720873786407767</v>
      </c>
      <c r="H201" s="78">
        <f>$S$21*G201</f>
        <v>4.215928398058252</v>
      </c>
      <c r="I201" s="75">
        <f>F201/$S$6</f>
        <v>0.28216233276639019</v>
      </c>
      <c r="J201" s="79">
        <f>I201*$U$21</f>
        <v>143.62062737809259</v>
      </c>
      <c r="K201" s="79">
        <f t="shared" si="43"/>
        <v>29.354616220687362</v>
      </c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</row>
    <row r="202" spans="1:40" ht="14.25" customHeight="1">
      <c r="A202" s="7">
        <v>50102</v>
      </c>
      <c r="B202" s="8" t="s">
        <v>263</v>
      </c>
      <c r="C202" s="8" t="s">
        <v>264</v>
      </c>
      <c r="D202" s="8" t="s">
        <v>265</v>
      </c>
      <c r="E202" s="89">
        <v>18.2</v>
      </c>
      <c r="F202" s="90">
        <v>382.8</v>
      </c>
      <c r="G202" s="75">
        <f t="shared" ref="G202:G223" si="44">E202/$R$6</f>
        <v>5.5218446601941744E-2</v>
      </c>
      <c r="H202" s="78">
        <f t="shared" ref="H202:H242" si="45">$S$21*G202</f>
        <v>1.1804599514563106</v>
      </c>
      <c r="I202" s="75">
        <f t="shared" ref="I202:I223" si="46">F202/$S$6</f>
        <v>3.3560695060581083E-2</v>
      </c>
      <c r="J202" s="79">
        <f t="shared" ref="J202:J242" si="47">I202*$U$21</f>
        <v>17.082393785835773</v>
      </c>
      <c r="K202" s="79">
        <f t="shared" si="43"/>
        <v>69.103895288675162</v>
      </c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</row>
    <row r="203" spans="1:40" ht="14.25" customHeight="1">
      <c r="A203" s="7">
        <v>50103</v>
      </c>
      <c r="B203" s="8" t="s">
        <v>263</v>
      </c>
      <c r="C203" s="8" t="s">
        <v>264</v>
      </c>
      <c r="D203" s="8" t="s">
        <v>266</v>
      </c>
      <c r="E203" s="89">
        <v>4.2</v>
      </c>
      <c r="F203" s="90">
        <v>143.6</v>
      </c>
      <c r="G203" s="75">
        <f t="shared" si="44"/>
        <v>1.2742718446601941E-2</v>
      </c>
      <c r="H203" s="78">
        <f t="shared" si="45"/>
        <v>0.27241383495145632</v>
      </c>
      <c r="I203" s="75">
        <f t="shared" si="46"/>
        <v>1.2589644228577439E-2</v>
      </c>
      <c r="J203" s="79">
        <f t="shared" si="47"/>
        <v>6.4081289123459166</v>
      </c>
      <c r="K203" s="79">
        <f t="shared" si="43"/>
        <v>42.510667103875392</v>
      </c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</row>
    <row r="204" spans="1:40" ht="14.25" customHeight="1">
      <c r="A204" s="7">
        <v>50104</v>
      </c>
      <c r="B204" s="8" t="s">
        <v>263</v>
      </c>
      <c r="C204" s="8" t="s">
        <v>264</v>
      </c>
      <c r="D204" s="8" t="s">
        <v>267</v>
      </c>
      <c r="E204" s="89">
        <v>0.2</v>
      </c>
      <c r="F204" s="90">
        <v>29.4</v>
      </c>
      <c r="G204" s="75">
        <f t="shared" si="44"/>
        <v>6.0679611650485432E-4</v>
      </c>
      <c r="H204" s="78">
        <f t="shared" si="45"/>
        <v>1.2972087378640775E-2</v>
      </c>
      <c r="I204" s="75">
        <f t="shared" si="46"/>
        <v>2.5775455454051304E-3</v>
      </c>
      <c r="J204" s="79">
        <f t="shared" si="47"/>
        <v>1.3119706826112114</v>
      </c>
      <c r="K204" s="79">
        <f t="shared" si="43"/>
        <v>9.8874826629680985</v>
      </c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</row>
    <row r="205" spans="1:40" ht="14.25" customHeight="1">
      <c r="A205" s="7">
        <v>50201</v>
      </c>
      <c r="B205" s="8" t="s">
        <v>263</v>
      </c>
      <c r="C205" s="8" t="s">
        <v>268</v>
      </c>
      <c r="D205" s="8" t="s">
        <v>269</v>
      </c>
      <c r="E205" s="89">
        <v>11.8</v>
      </c>
      <c r="F205" s="90">
        <v>293</v>
      </c>
      <c r="G205" s="75">
        <f t="shared" si="44"/>
        <v>3.5800970873786406E-2</v>
      </c>
      <c r="H205" s="78">
        <f t="shared" si="45"/>
        <v>0.76535315533980575</v>
      </c>
      <c r="I205" s="75">
        <f t="shared" si="46"/>
        <v>2.5687783836860652E-2</v>
      </c>
      <c r="J205" s="79">
        <f t="shared" si="47"/>
        <v>13.075081972962073</v>
      </c>
      <c r="K205" s="79">
        <f t="shared" si="43"/>
        <v>58.535247191755857</v>
      </c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</row>
    <row r="206" spans="1:40" ht="14.25" customHeight="1">
      <c r="A206" s="7">
        <v>50202</v>
      </c>
      <c r="B206" s="8" t="s">
        <v>263</v>
      </c>
      <c r="C206" s="8" t="s">
        <v>268</v>
      </c>
      <c r="D206" s="8" t="s">
        <v>270</v>
      </c>
      <c r="E206" s="89">
        <v>8.1999999999999993</v>
      </c>
      <c r="F206" s="90">
        <v>202.2</v>
      </c>
      <c r="G206" s="75">
        <f t="shared" si="44"/>
        <v>2.4878640776699025E-2</v>
      </c>
      <c r="H206" s="78">
        <f t="shared" si="45"/>
        <v>0.53185558252427179</v>
      </c>
      <c r="I206" s="75">
        <f t="shared" si="46"/>
        <v>1.7727200995949568E-2</v>
      </c>
      <c r="J206" s="79">
        <f t="shared" si="47"/>
        <v>9.0231453069383303</v>
      </c>
      <c r="K206" s="79">
        <f t="shared" si="43"/>
        <v>58.943479732649593</v>
      </c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</row>
    <row r="207" spans="1:40" ht="14.25" customHeight="1">
      <c r="A207" s="7">
        <v>50203</v>
      </c>
      <c r="B207" s="8" t="s">
        <v>263</v>
      </c>
      <c r="C207" s="8" t="s">
        <v>268</v>
      </c>
      <c r="D207" s="8" t="s">
        <v>271</v>
      </c>
      <c r="E207" s="89">
        <v>14.8</v>
      </c>
      <c r="F207" s="90">
        <v>562</v>
      </c>
      <c r="G207" s="75">
        <f t="shared" si="44"/>
        <v>4.4902912621359224E-2</v>
      </c>
      <c r="H207" s="78">
        <f t="shared" si="45"/>
        <v>0.95993446601941745</v>
      </c>
      <c r="I207" s="75">
        <f t="shared" si="46"/>
        <v>4.9271448861145692E-2</v>
      </c>
      <c r="J207" s="79">
        <f t="shared" si="47"/>
        <v>25.079167470323156</v>
      </c>
      <c r="K207" s="79">
        <f t="shared" si="43"/>
        <v>38.276169540130603</v>
      </c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</row>
    <row r="208" spans="1:40" ht="14.25" customHeight="1">
      <c r="A208" s="7">
        <v>50204</v>
      </c>
      <c r="B208" s="8" t="s">
        <v>263</v>
      </c>
      <c r="C208" s="8" t="s">
        <v>268</v>
      </c>
      <c r="D208" s="8" t="s">
        <v>272</v>
      </c>
      <c r="E208" s="89">
        <v>4.8</v>
      </c>
      <c r="F208" s="90">
        <v>114</v>
      </c>
      <c r="G208" s="75">
        <f t="shared" si="44"/>
        <v>1.4563106796116504E-2</v>
      </c>
      <c r="H208" s="78">
        <f t="shared" si="45"/>
        <v>0.31133009708737863</v>
      </c>
      <c r="I208" s="75">
        <f t="shared" si="46"/>
        <v>9.9945643597341791E-3</v>
      </c>
      <c r="J208" s="79">
        <f t="shared" si="47"/>
        <v>5.0872332591046971</v>
      </c>
      <c r="K208" s="79">
        <f t="shared" si="43"/>
        <v>61.198313745528878</v>
      </c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</row>
    <row r="209" spans="1:40" ht="14.25" customHeight="1">
      <c r="A209" s="7">
        <v>50301</v>
      </c>
      <c r="B209" s="8" t="s">
        <v>263</v>
      </c>
      <c r="C209" s="8" t="s">
        <v>273</v>
      </c>
      <c r="D209" s="8" t="s">
        <v>274</v>
      </c>
      <c r="E209" s="89">
        <v>13</v>
      </c>
      <c r="F209" s="90">
        <v>410</v>
      </c>
      <c r="G209" s="75">
        <f t="shared" si="44"/>
        <v>3.944174757281553E-2</v>
      </c>
      <c r="H209" s="78">
        <f t="shared" si="45"/>
        <v>0.84318567961165036</v>
      </c>
      <c r="I209" s="75">
        <f t="shared" si="46"/>
        <v>3.5945363048166784E-2</v>
      </c>
      <c r="J209" s="79">
        <f t="shared" si="47"/>
        <v>18.296189791516895</v>
      </c>
      <c r="K209" s="79">
        <f t="shared" si="43"/>
        <v>46.085315533980577</v>
      </c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</row>
    <row r="210" spans="1:40" ht="14.25" customHeight="1">
      <c r="A210" s="7">
        <v>50302</v>
      </c>
      <c r="B210" s="8" t="s">
        <v>263</v>
      </c>
      <c r="C210" s="8" t="s">
        <v>273</v>
      </c>
      <c r="D210" s="8" t="s">
        <v>275</v>
      </c>
      <c r="E210" s="89">
        <v>3.8</v>
      </c>
      <c r="F210" s="90">
        <v>111.2</v>
      </c>
      <c r="G210" s="75">
        <f t="shared" si="44"/>
        <v>1.1529126213592231E-2</v>
      </c>
      <c r="H210" s="78">
        <f t="shared" si="45"/>
        <v>0.24646966019417471</v>
      </c>
      <c r="I210" s="75">
        <f t="shared" si="46"/>
        <v>9.7490838316003567E-3</v>
      </c>
      <c r="J210" s="79">
        <f t="shared" si="47"/>
        <v>4.9622836702845818</v>
      </c>
      <c r="K210" s="79">
        <f t="shared" si="43"/>
        <v>49.668595463435068</v>
      </c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</row>
    <row r="211" spans="1:40" ht="14.25" customHeight="1">
      <c r="A211" s="7">
        <v>50303</v>
      </c>
      <c r="B211" s="8" t="s">
        <v>263</v>
      </c>
      <c r="C211" s="8" t="s">
        <v>273</v>
      </c>
      <c r="D211" s="8" t="s">
        <v>276</v>
      </c>
      <c r="E211" s="89">
        <v>3.4</v>
      </c>
      <c r="F211" s="90">
        <v>179.2</v>
      </c>
      <c r="G211" s="75">
        <f t="shared" si="44"/>
        <v>1.0315533980582523E-2</v>
      </c>
      <c r="H211" s="78">
        <f t="shared" si="45"/>
        <v>0.22052548543689318</v>
      </c>
      <c r="I211" s="75">
        <f t="shared" si="46"/>
        <v>1.5710753800564602E-2</v>
      </c>
      <c r="J211" s="79">
        <f t="shared" si="47"/>
        <v>7.9967736844873825</v>
      </c>
      <c r="K211" s="79">
        <f t="shared" si="43"/>
        <v>27.576807114684467</v>
      </c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</row>
    <row r="212" spans="1:40" ht="14.25" customHeight="1">
      <c r="A212" s="7">
        <v>50401</v>
      </c>
      <c r="B212" s="8" t="s">
        <v>263</v>
      </c>
      <c r="C212" s="8" t="s">
        <v>270</v>
      </c>
      <c r="D212" s="8" t="s">
        <v>277</v>
      </c>
      <c r="E212" s="89">
        <v>14.8</v>
      </c>
      <c r="F212" s="90">
        <v>208.8</v>
      </c>
      <c r="G212" s="75">
        <f t="shared" si="44"/>
        <v>4.4902912621359224E-2</v>
      </c>
      <c r="H212" s="78">
        <f t="shared" si="45"/>
        <v>0.95993446601941745</v>
      </c>
      <c r="I212" s="75">
        <f t="shared" si="46"/>
        <v>1.8305833669407866E-2</v>
      </c>
      <c r="J212" s="79">
        <f t="shared" si="47"/>
        <v>9.3176693377286046</v>
      </c>
      <c r="K212" s="79">
        <f t="shared" si="43"/>
        <v>103.02302337908714</v>
      </c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</row>
    <row r="213" spans="1:40" ht="14.25" customHeight="1">
      <c r="A213" s="7">
        <v>50402</v>
      </c>
      <c r="B213" s="8" t="s">
        <v>263</v>
      </c>
      <c r="C213" s="8" t="s">
        <v>270</v>
      </c>
      <c r="D213" s="8" t="s">
        <v>278</v>
      </c>
      <c r="E213" s="89">
        <v>4.8</v>
      </c>
      <c r="F213" s="90">
        <v>180.8</v>
      </c>
      <c r="G213" s="75">
        <f t="shared" si="44"/>
        <v>1.4563106796116504E-2</v>
      </c>
      <c r="H213" s="78">
        <f t="shared" si="45"/>
        <v>0.31133009708737863</v>
      </c>
      <c r="I213" s="75">
        <f t="shared" si="46"/>
        <v>1.5851028388069646E-2</v>
      </c>
      <c r="J213" s="79">
        <f t="shared" si="47"/>
        <v>8.0681734495274497</v>
      </c>
      <c r="K213" s="79">
        <f t="shared" si="43"/>
        <v>38.587432339548073</v>
      </c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</row>
    <row r="214" spans="1:40" ht="14.25" customHeight="1">
      <c r="A214" s="7">
        <v>50403</v>
      </c>
      <c r="B214" s="8" t="s">
        <v>263</v>
      </c>
      <c r="C214" s="8" t="s">
        <v>270</v>
      </c>
      <c r="D214" s="8" t="s">
        <v>279</v>
      </c>
      <c r="E214" s="89">
        <v>20.8</v>
      </c>
      <c r="F214" s="90">
        <v>394.6</v>
      </c>
      <c r="G214" s="75">
        <f t="shared" si="44"/>
        <v>6.3106796116504854E-2</v>
      </c>
      <c r="H214" s="78">
        <f t="shared" si="45"/>
        <v>1.3490970873786408</v>
      </c>
      <c r="I214" s="75">
        <f t="shared" si="46"/>
        <v>3.4595220143430763E-2</v>
      </c>
      <c r="J214" s="79">
        <f t="shared" si="47"/>
        <v>17.608967053006257</v>
      </c>
      <c r="K214" s="79">
        <f t="shared" si="43"/>
        <v>76.614209301295659</v>
      </c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</row>
    <row r="215" spans="1:40" ht="14.25" customHeight="1">
      <c r="A215" s="7">
        <v>50404</v>
      </c>
      <c r="B215" s="8" t="s">
        <v>263</v>
      </c>
      <c r="C215" s="8" t="s">
        <v>270</v>
      </c>
      <c r="D215" s="8" t="s">
        <v>280</v>
      </c>
      <c r="E215" s="89">
        <v>6.2</v>
      </c>
      <c r="F215" s="90">
        <v>158.80000000000001</v>
      </c>
      <c r="G215" s="75">
        <f t="shared" si="44"/>
        <v>1.8810679611650484E-2</v>
      </c>
      <c r="H215" s="78">
        <f t="shared" si="45"/>
        <v>0.40213470873786406</v>
      </c>
      <c r="I215" s="75">
        <f t="shared" si="46"/>
        <v>1.3922252809875331E-2</v>
      </c>
      <c r="J215" s="79">
        <f t="shared" si="47"/>
        <v>7.0864266802265439</v>
      </c>
      <c r="K215" s="79">
        <f t="shared" si="43"/>
        <v>56.747176946027238</v>
      </c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</row>
    <row r="216" spans="1:40" ht="14.25" customHeight="1">
      <c r="A216" s="19">
        <v>50405</v>
      </c>
      <c r="B216" s="8" t="s">
        <v>263</v>
      </c>
      <c r="C216" s="8" t="s">
        <v>270</v>
      </c>
      <c r="D216" s="8" t="s">
        <v>281</v>
      </c>
      <c r="E216" s="89">
        <v>16.600000000000001</v>
      </c>
      <c r="F216" s="90">
        <v>265.60000000000002</v>
      </c>
      <c r="G216" s="75">
        <f t="shared" si="44"/>
        <v>5.0364077669902911E-2</v>
      </c>
      <c r="H216" s="78">
        <f t="shared" si="45"/>
        <v>1.0766832524271845</v>
      </c>
      <c r="I216" s="75">
        <f t="shared" si="46"/>
        <v>2.3285581525836825E-2</v>
      </c>
      <c r="J216" s="79">
        <f t="shared" si="47"/>
        <v>11.852360996650944</v>
      </c>
      <c r="K216" s="79">
        <f t="shared" si="43"/>
        <v>90.841246966019426</v>
      </c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</row>
    <row r="217" spans="1:40" ht="14.25" customHeight="1">
      <c r="A217" s="7">
        <v>50501</v>
      </c>
      <c r="B217" s="8" t="s">
        <v>263</v>
      </c>
      <c r="C217" s="8" t="s">
        <v>282</v>
      </c>
      <c r="D217" s="8" t="s">
        <v>283</v>
      </c>
      <c r="E217" s="89">
        <v>17.8</v>
      </c>
      <c r="F217" s="90">
        <v>374.8</v>
      </c>
      <c r="G217" s="75">
        <f t="shared" si="44"/>
        <v>5.4004854368932036E-2</v>
      </c>
      <c r="H217" s="78">
        <f t="shared" si="45"/>
        <v>1.1545157766990291</v>
      </c>
      <c r="I217" s="75">
        <f t="shared" si="46"/>
        <v>3.2859322123055881E-2</v>
      </c>
      <c r="J217" s="79">
        <f t="shared" si="47"/>
        <v>16.725394960635445</v>
      </c>
      <c r="K217" s="79">
        <f t="shared" si="43"/>
        <v>69.027713809824775</v>
      </c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</row>
    <row r="218" spans="1:40" ht="14.25" customHeight="1">
      <c r="A218" s="7">
        <v>50502</v>
      </c>
      <c r="B218" s="8" t="s">
        <v>263</v>
      </c>
      <c r="C218" s="8" t="s">
        <v>282</v>
      </c>
      <c r="D218" s="8" t="s">
        <v>284</v>
      </c>
      <c r="E218" s="89">
        <v>4.8</v>
      </c>
      <c r="F218" s="90">
        <v>152.19999999999999</v>
      </c>
      <c r="G218" s="75">
        <f t="shared" si="44"/>
        <v>1.4563106796116504E-2</v>
      </c>
      <c r="H218" s="78">
        <f t="shared" si="45"/>
        <v>0.31133009708737863</v>
      </c>
      <c r="I218" s="75">
        <f t="shared" si="46"/>
        <v>1.3343620136417034E-2</v>
      </c>
      <c r="J218" s="79">
        <f t="shared" si="47"/>
        <v>6.7919026494362704</v>
      </c>
      <c r="K218" s="79">
        <f t="shared" si="43"/>
        <v>45.838421596519659</v>
      </c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</row>
    <row r="219" spans="1:40" ht="14.25" customHeight="1">
      <c r="A219" s="7">
        <v>50601</v>
      </c>
      <c r="B219" s="8" t="s">
        <v>263</v>
      </c>
      <c r="C219" s="8" t="s">
        <v>285</v>
      </c>
      <c r="D219" s="8" t="s">
        <v>286</v>
      </c>
      <c r="E219" s="89">
        <v>5.6</v>
      </c>
      <c r="F219" s="90">
        <v>345.6</v>
      </c>
      <c r="G219" s="75">
        <f t="shared" si="44"/>
        <v>1.6990291262135922E-2</v>
      </c>
      <c r="H219" s="78">
        <f t="shared" si="45"/>
        <v>0.36321844660194175</v>
      </c>
      <c r="I219" s="75">
        <f t="shared" si="46"/>
        <v>3.029931090108888E-2</v>
      </c>
      <c r="J219" s="79">
        <f t="shared" si="47"/>
        <v>15.422349248654239</v>
      </c>
      <c r="K219" s="79">
        <f t="shared" si="43"/>
        <v>23.551434398597632</v>
      </c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</row>
    <row r="220" spans="1:40" ht="14.25" customHeight="1">
      <c r="A220" s="7">
        <v>50602</v>
      </c>
      <c r="B220" s="8" t="s">
        <v>263</v>
      </c>
      <c r="C220" s="8" t="s">
        <v>285</v>
      </c>
      <c r="D220" s="8" t="s">
        <v>287</v>
      </c>
      <c r="E220" s="89">
        <v>2.2000000000000002</v>
      </c>
      <c r="F220" s="90">
        <v>115.2</v>
      </c>
      <c r="G220" s="75">
        <f t="shared" si="44"/>
        <v>6.6747572815533986E-3</v>
      </c>
      <c r="H220" s="78">
        <f t="shared" si="45"/>
        <v>0.14269296116504857</v>
      </c>
      <c r="I220" s="75">
        <f t="shared" si="46"/>
        <v>1.0099770300362959E-2</v>
      </c>
      <c r="J220" s="79">
        <f t="shared" si="47"/>
        <v>5.1407830828847461</v>
      </c>
      <c r="K220" s="79">
        <f t="shared" si="43"/>
        <v>27.757047684061497</v>
      </c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</row>
    <row r="221" spans="1:40" ht="14.25" customHeight="1">
      <c r="A221" s="7">
        <v>50701</v>
      </c>
      <c r="B221" s="8" t="s">
        <v>263</v>
      </c>
      <c r="C221" s="8" t="s">
        <v>288</v>
      </c>
      <c r="D221" s="8" t="s">
        <v>289</v>
      </c>
      <c r="E221" s="89">
        <v>12</v>
      </c>
      <c r="F221" s="90">
        <v>222</v>
      </c>
      <c r="G221" s="75">
        <f t="shared" si="44"/>
        <v>3.640776699029126E-2</v>
      </c>
      <c r="H221" s="78">
        <f t="shared" si="45"/>
        <v>0.77832524271844661</v>
      </c>
      <c r="I221" s="75">
        <f t="shared" si="46"/>
        <v>1.9463099016324453E-2</v>
      </c>
      <c r="J221" s="79">
        <f t="shared" si="47"/>
        <v>9.9067173993091462</v>
      </c>
      <c r="K221" s="79">
        <f t="shared" si="43"/>
        <v>78.565402781422208</v>
      </c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</row>
    <row r="222" spans="1:40" ht="14.25" customHeight="1">
      <c r="A222" s="7">
        <v>50702</v>
      </c>
      <c r="B222" s="8" t="s">
        <v>263</v>
      </c>
      <c r="C222" s="8" t="s">
        <v>288</v>
      </c>
      <c r="D222" s="8" t="s">
        <v>290</v>
      </c>
      <c r="E222" s="89">
        <v>5</v>
      </c>
      <c r="F222" s="90">
        <v>101.6</v>
      </c>
      <c r="G222" s="75">
        <f t="shared" si="44"/>
        <v>1.5169902912621358E-2</v>
      </c>
      <c r="H222" s="78">
        <f t="shared" si="45"/>
        <v>0.32430218446601938</v>
      </c>
      <c r="I222" s="75">
        <f t="shared" si="46"/>
        <v>8.9074363065701108E-3</v>
      </c>
      <c r="J222" s="79">
        <f t="shared" si="47"/>
        <v>4.5338850800441861</v>
      </c>
      <c r="K222" s="79">
        <f t="shared" si="43"/>
        <v>71.528540918125515</v>
      </c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</row>
    <row r="223" spans="1:40" ht="14.25" customHeight="1">
      <c r="A223" s="7">
        <v>50801</v>
      </c>
      <c r="B223" s="8" t="s">
        <v>263</v>
      </c>
      <c r="C223" s="8" t="s">
        <v>291</v>
      </c>
      <c r="D223" s="8" t="s">
        <v>292</v>
      </c>
      <c r="E223" s="89">
        <v>8</v>
      </c>
      <c r="F223" s="90">
        <v>593.20000000000005</v>
      </c>
      <c r="G223" s="75">
        <f t="shared" si="44"/>
        <v>2.4271844660194174E-2</v>
      </c>
      <c r="H223" s="78">
        <f t="shared" si="45"/>
        <v>0.51888349514563104</v>
      </c>
      <c r="I223" s="75">
        <f t="shared" si="46"/>
        <v>5.2006803317493994E-2</v>
      </c>
      <c r="J223" s="79">
        <f t="shared" si="47"/>
        <v>26.471462888604442</v>
      </c>
      <c r="K223" s="79">
        <f t="shared" si="43"/>
        <v>19.601617686531501</v>
      </c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</row>
    <row r="224" spans="1:40" ht="14.25" customHeight="1">
      <c r="A224" s="7">
        <v>50802</v>
      </c>
      <c r="B224" s="8" t="s">
        <v>263</v>
      </c>
      <c r="C224" s="8" t="s">
        <v>291</v>
      </c>
      <c r="D224" s="8" t="s">
        <v>293</v>
      </c>
      <c r="E224" s="89">
        <v>3.4</v>
      </c>
      <c r="F224" s="90">
        <v>137.4</v>
      </c>
      <c r="G224" s="75">
        <f>E224/$R$6</f>
        <v>1.0315533980582523E-2</v>
      </c>
      <c r="H224" s="78">
        <f>$S$21*G224</f>
        <v>0.22052548543689318</v>
      </c>
      <c r="I224" s="75">
        <f>F224/$S$6</f>
        <v>1.2046080201995405E-2</v>
      </c>
      <c r="J224" s="79">
        <f>I224*$U$21</f>
        <v>6.1314548228156616</v>
      </c>
      <c r="K224" s="79">
        <f t="shared" si="43"/>
        <v>35.966257896298806</v>
      </c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</row>
    <row r="225" spans="1:40" ht="14.25" customHeight="1">
      <c r="A225" s="7">
        <v>50901</v>
      </c>
      <c r="B225" s="8" t="s">
        <v>263</v>
      </c>
      <c r="C225" s="8" t="s">
        <v>294</v>
      </c>
      <c r="D225" s="8" t="s">
        <v>295</v>
      </c>
      <c r="E225" s="89">
        <v>4</v>
      </c>
      <c r="F225" s="90">
        <v>163.80000000000001</v>
      </c>
      <c r="G225" s="75">
        <f t="shared" ref="G225:G242" si="48">E225/$R$6</f>
        <v>1.2135922330097087E-2</v>
      </c>
      <c r="H225" s="78">
        <f t="shared" si="45"/>
        <v>0.25944174757281552</v>
      </c>
      <c r="I225" s="75">
        <f t="shared" ref="I225:I242" si="49">F225/$S$6</f>
        <v>1.4360610895828584E-2</v>
      </c>
      <c r="J225" s="79">
        <f t="shared" si="47"/>
        <v>7.3095509459767491</v>
      </c>
      <c r="K225" s="79">
        <f t="shared" si="43"/>
        <v>35.493527508090615</v>
      </c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</row>
    <row r="226" spans="1:40" ht="14.25" customHeight="1">
      <c r="A226" s="7">
        <v>50902</v>
      </c>
      <c r="B226" s="8" t="s">
        <v>263</v>
      </c>
      <c r="C226" s="8" t="s">
        <v>294</v>
      </c>
      <c r="D226" s="8" t="s">
        <v>296</v>
      </c>
      <c r="E226" s="89">
        <v>0.4</v>
      </c>
      <c r="F226" s="90">
        <v>17.2</v>
      </c>
      <c r="G226" s="75">
        <f t="shared" si="48"/>
        <v>1.2135922330097086E-3</v>
      </c>
      <c r="H226" s="78">
        <f t="shared" si="45"/>
        <v>2.594417475728155E-2</v>
      </c>
      <c r="I226" s="75">
        <f t="shared" si="49"/>
        <v>1.5079518156791919E-3</v>
      </c>
      <c r="J226" s="79">
        <f t="shared" si="47"/>
        <v>0.76754747418070868</v>
      </c>
      <c r="K226" s="79">
        <f t="shared" si="43"/>
        <v>33.801394219914201</v>
      </c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</row>
    <row r="227" spans="1:40" ht="14.25" customHeight="1">
      <c r="A227" s="7">
        <v>51001</v>
      </c>
      <c r="B227" s="8" t="s">
        <v>263</v>
      </c>
      <c r="C227" s="8" t="s">
        <v>297</v>
      </c>
      <c r="D227" s="8" t="s">
        <v>298</v>
      </c>
      <c r="E227" s="89">
        <v>1.8</v>
      </c>
      <c r="F227" s="90">
        <v>40.6</v>
      </c>
      <c r="G227" s="75">
        <f t="shared" si="48"/>
        <v>5.4611650485436895E-3</v>
      </c>
      <c r="H227" s="78">
        <f t="shared" si="45"/>
        <v>0.11674878640776699</v>
      </c>
      <c r="I227" s="75">
        <f t="shared" si="49"/>
        <v>3.5594676579404185E-3</v>
      </c>
      <c r="J227" s="79">
        <f t="shared" si="47"/>
        <v>1.8117690378916731</v>
      </c>
      <c r="K227" s="79">
        <f t="shared" si="43"/>
        <v>64.439111148309337</v>
      </c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</row>
    <row r="228" spans="1:40" ht="14.25" customHeight="1">
      <c r="A228" s="7">
        <v>51002</v>
      </c>
      <c r="B228" s="8" t="s">
        <v>263</v>
      </c>
      <c r="C228" s="8" t="s">
        <v>297</v>
      </c>
      <c r="D228" s="8" t="s">
        <v>299</v>
      </c>
      <c r="E228" s="89">
        <v>0.2</v>
      </c>
      <c r="F228" s="90">
        <v>12.2</v>
      </c>
      <c r="G228" s="75">
        <f t="shared" si="48"/>
        <v>6.0679611650485432E-4</v>
      </c>
      <c r="H228" s="78">
        <f t="shared" si="45"/>
        <v>1.2972087378640775E-2</v>
      </c>
      <c r="I228" s="75">
        <f t="shared" si="49"/>
        <v>1.0695937297259383E-3</v>
      </c>
      <c r="J228" s="79">
        <f t="shared" si="47"/>
        <v>0.54442320843050263</v>
      </c>
      <c r="K228" s="79">
        <f t="shared" si="43"/>
        <v>23.827212318955915</v>
      </c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</row>
    <row r="229" spans="1:40" ht="14.25" customHeight="1">
      <c r="A229" s="7">
        <v>51003</v>
      </c>
      <c r="B229" s="8" t="s">
        <v>263</v>
      </c>
      <c r="C229" s="8" t="s">
        <v>297</v>
      </c>
      <c r="D229" s="8" t="s">
        <v>300</v>
      </c>
      <c r="E229" s="89">
        <v>1</v>
      </c>
      <c r="F229" s="90">
        <v>27.8</v>
      </c>
      <c r="G229" s="75">
        <f t="shared" si="48"/>
        <v>3.0339805825242718E-3</v>
      </c>
      <c r="H229" s="78">
        <f t="shared" si="45"/>
        <v>6.4860436893203879E-2</v>
      </c>
      <c r="I229" s="75">
        <f t="shared" si="49"/>
        <v>2.4372709579000892E-3</v>
      </c>
      <c r="J229" s="79">
        <f t="shared" si="47"/>
        <v>1.2405709175711455</v>
      </c>
      <c r="K229" s="79">
        <f t="shared" si="43"/>
        <v>52.282732066773768</v>
      </c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</row>
    <row r="230" spans="1:40" ht="14.25" customHeight="1">
      <c r="A230" s="7">
        <v>51101</v>
      </c>
      <c r="B230" s="8" t="s">
        <v>263</v>
      </c>
      <c r="C230" s="8" t="s">
        <v>301</v>
      </c>
      <c r="D230" s="8" t="s">
        <v>302</v>
      </c>
      <c r="E230" s="89">
        <v>3.2</v>
      </c>
      <c r="F230" s="90">
        <v>173</v>
      </c>
      <c r="G230" s="75">
        <f t="shared" si="48"/>
        <v>9.7087378640776691E-3</v>
      </c>
      <c r="H230" s="78">
        <f t="shared" si="45"/>
        <v>0.2075533980582524</v>
      </c>
      <c r="I230" s="75">
        <f t="shared" si="49"/>
        <v>1.516718977398257E-2</v>
      </c>
      <c r="J230" s="79">
        <f t="shared" si="47"/>
        <v>7.7200995949571283</v>
      </c>
      <c r="K230" s="79">
        <f t="shared" si="43"/>
        <v>26.884808350636959</v>
      </c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</row>
    <row r="231" spans="1:40" ht="14.25" customHeight="1">
      <c r="A231" s="7">
        <v>51102</v>
      </c>
      <c r="B231" s="8" t="s">
        <v>263</v>
      </c>
      <c r="C231" s="8" t="s">
        <v>301</v>
      </c>
      <c r="D231" s="8" t="s">
        <v>303</v>
      </c>
      <c r="E231" s="89">
        <v>5.2</v>
      </c>
      <c r="F231" s="90">
        <v>177.4</v>
      </c>
      <c r="G231" s="75">
        <f t="shared" si="48"/>
        <v>1.5776699029126214E-2</v>
      </c>
      <c r="H231" s="78">
        <f t="shared" si="45"/>
        <v>0.33727427184466019</v>
      </c>
      <c r="I231" s="75">
        <f t="shared" si="49"/>
        <v>1.5552944889621433E-2</v>
      </c>
      <c r="J231" s="79">
        <f t="shared" si="47"/>
        <v>7.9164489488173091</v>
      </c>
      <c r="K231" s="79">
        <f t="shared" si="43"/>
        <v>42.604237584965141</v>
      </c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</row>
    <row r="232" spans="1:40" ht="14.25" customHeight="1">
      <c r="A232" s="7">
        <v>51103</v>
      </c>
      <c r="B232" s="8" t="s">
        <v>263</v>
      </c>
      <c r="C232" s="8" t="s">
        <v>301</v>
      </c>
      <c r="D232" s="8" t="s">
        <v>304</v>
      </c>
      <c r="E232" s="89">
        <v>5.4</v>
      </c>
      <c r="F232" s="90">
        <v>201.2</v>
      </c>
      <c r="G232" s="75">
        <f t="shared" si="48"/>
        <v>1.6383495145631068E-2</v>
      </c>
      <c r="H232" s="78">
        <f t="shared" si="45"/>
        <v>0.35024635922330094</v>
      </c>
      <c r="I232" s="75">
        <f t="shared" si="49"/>
        <v>1.7639529378758918E-2</v>
      </c>
      <c r="J232" s="79">
        <f t="shared" si="47"/>
        <v>8.9785204537882883</v>
      </c>
      <c r="K232" s="79">
        <f t="shared" si="43"/>
        <v>39.009362514234986</v>
      </c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</row>
    <row r="233" spans="1:40" ht="14.25" customHeight="1">
      <c r="A233" s="7">
        <v>51201</v>
      </c>
      <c r="B233" s="8" t="s">
        <v>263</v>
      </c>
      <c r="C233" s="8" t="s">
        <v>305</v>
      </c>
      <c r="D233" s="8" t="s">
        <v>306</v>
      </c>
      <c r="E233" s="89">
        <v>11.6</v>
      </c>
      <c r="F233" s="90">
        <v>489</v>
      </c>
      <c r="G233" s="75">
        <f t="shared" si="48"/>
        <v>3.5194174757281552E-2</v>
      </c>
      <c r="H233" s="78">
        <f t="shared" si="45"/>
        <v>0.752381067961165</v>
      </c>
      <c r="I233" s="75">
        <f t="shared" si="49"/>
        <v>4.2871420806228189E-2</v>
      </c>
      <c r="J233" s="79">
        <f t="shared" si="47"/>
        <v>21.82155319037015</v>
      </c>
      <c r="K233" s="79">
        <f t="shared" si="43"/>
        <v>34.478804574423727</v>
      </c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</row>
    <row r="234" spans="1:40" ht="14.25" customHeight="1">
      <c r="A234" s="7">
        <v>51202</v>
      </c>
      <c r="B234" s="8" t="s">
        <v>263</v>
      </c>
      <c r="C234" s="8" t="s">
        <v>305</v>
      </c>
      <c r="D234" s="8" t="s">
        <v>307</v>
      </c>
      <c r="E234" s="89">
        <v>2.4</v>
      </c>
      <c r="F234" s="90">
        <v>92.2</v>
      </c>
      <c r="G234" s="75">
        <f t="shared" si="48"/>
        <v>7.2815533980582518E-3</v>
      </c>
      <c r="H234" s="78">
        <f t="shared" si="45"/>
        <v>0.15566504854368932</v>
      </c>
      <c r="I234" s="75">
        <f t="shared" si="49"/>
        <v>8.0833231049779949E-3</v>
      </c>
      <c r="J234" s="79">
        <f t="shared" si="47"/>
        <v>4.1144114604337991</v>
      </c>
      <c r="K234" s="79">
        <f t="shared" si="43"/>
        <v>37.834098519470125</v>
      </c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</row>
    <row r="235" spans="1:40" ht="14.25" customHeight="1">
      <c r="A235" s="7">
        <v>51203</v>
      </c>
      <c r="B235" s="8" t="s">
        <v>263</v>
      </c>
      <c r="C235" s="8" t="s">
        <v>305</v>
      </c>
      <c r="D235" s="8" t="s">
        <v>308</v>
      </c>
      <c r="E235" s="89">
        <v>3.8</v>
      </c>
      <c r="F235" s="90">
        <v>246</v>
      </c>
      <c r="G235" s="75">
        <f t="shared" si="48"/>
        <v>1.1529126213592231E-2</v>
      </c>
      <c r="H235" s="78">
        <f t="shared" si="45"/>
        <v>0.24646966019417471</v>
      </c>
      <c r="I235" s="75">
        <f t="shared" si="49"/>
        <v>2.156721782890007E-2</v>
      </c>
      <c r="J235" s="79">
        <f t="shared" si="47"/>
        <v>10.977713874910135</v>
      </c>
      <c r="K235" s="79">
        <f t="shared" si="43"/>
        <v>22.451820388349514</v>
      </c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</row>
    <row r="236" spans="1:40" ht="14.25" customHeight="1">
      <c r="A236" s="19">
        <v>51204</v>
      </c>
      <c r="B236" s="8" t="s">
        <v>263</v>
      </c>
      <c r="C236" s="8"/>
      <c r="D236" s="8" t="s">
        <v>309</v>
      </c>
      <c r="E236" s="89">
        <v>2.2000000000000002</v>
      </c>
      <c r="F236" s="90">
        <v>72.599999999999994</v>
      </c>
      <c r="G236" s="75">
        <f t="shared" si="48"/>
        <v>6.6747572815533986E-3</v>
      </c>
      <c r="H236" s="78">
        <f t="shared" si="45"/>
        <v>0.14269296116504857</v>
      </c>
      <c r="I236" s="75">
        <f t="shared" si="49"/>
        <v>6.3649594080412396E-3</v>
      </c>
      <c r="J236" s="79">
        <f t="shared" si="47"/>
        <v>3.2397643386929911</v>
      </c>
      <c r="K236" s="79">
        <f t="shared" si="43"/>
        <v>44.044240953221546</v>
      </c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</row>
    <row r="237" spans="1:40" ht="14.25" customHeight="1">
      <c r="A237" s="7">
        <v>51301</v>
      </c>
      <c r="B237" s="8" t="s">
        <v>263</v>
      </c>
      <c r="C237" s="8" t="s">
        <v>310</v>
      </c>
      <c r="D237" s="8" t="s">
        <v>311</v>
      </c>
      <c r="E237" s="89">
        <v>2</v>
      </c>
      <c r="F237" s="90">
        <v>45.6</v>
      </c>
      <c r="G237" s="75">
        <f t="shared" si="48"/>
        <v>6.0679611650485436E-3</v>
      </c>
      <c r="H237" s="78">
        <f t="shared" si="45"/>
        <v>0.12972087378640776</v>
      </c>
      <c r="I237" s="75">
        <f t="shared" si="49"/>
        <v>3.9978257438936715E-3</v>
      </c>
      <c r="J237" s="79">
        <f t="shared" si="47"/>
        <v>2.0348933036418786</v>
      </c>
      <c r="K237" s="79">
        <f t="shared" si="43"/>
        <v>63.748243484925915</v>
      </c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</row>
    <row r="238" spans="1:40" ht="14.25" customHeight="1">
      <c r="A238" s="7">
        <v>51302</v>
      </c>
      <c r="B238" s="8" t="s">
        <v>263</v>
      </c>
      <c r="C238" s="8" t="s">
        <v>310</v>
      </c>
      <c r="D238" s="8" t="s">
        <v>312</v>
      </c>
      <c r="E238" s="89">
        <v>2.2000000000000002</v>
      </c>
      <c r="F238" s="90">
        <v>53</v>
      </c>
      <c r="G238" s="75">
        <f t="shared" si="48"/>
        <v>6.6747572815533986E-3</v>
      </c>
      <c r="H238" s="78">
        <f t="shared" si="45"/>
        <v>0.14269296116504857</v>
      </c>
      <c r="I238" s="75">
        <f t="shared" si="49"/>
        <v>4.6465957111044868E-3</v>
      </c>
      <c r="J238" s="79">
        <f t="shared" si="47"/>
        <v>2.3651172169521839</v>
      </c>
      <c r="K238" s="79">
        <f t="shared" si="43"/>
        <v>60.33229987177139</v>
      </c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</row>
    <row r="239" spans="1:40" ht="14.25" customHeight="1">
      <c r="A239" s="7">
        <v>51401</v>
      </c>
      <c r="B239" s="8" t="s">
        <v>263</v>
      </c>
      <c r="C239" s="8" t="s">
        <v>313</v>
      </c>
      <c r="D239" s="8" t="s">
        <v>314</v>
      </c>
      <c r="E239" s="89">
        <v>2.2000000000000002</v>
      </c>
      <c r="F239" s="90">
        <v>57</v>
      </c>
      <c r="G239" s="75">
        <f t="shared" si="48"/>
        <v>6.6747572815533986E-3</v>
      </c>
      <c r="H239" s="78">
        <f t="shared" si="45"/>
        <v>0.14269296116504857</v>
      </c>
      <c r="I239" s="75">
        <f t="shared" si="49"/>
        <v>4.9972821798670896E-3</v>
      </c>
      <c r="J239" s="79">
        <f t="shared" si="47"/>
        <v>2.5436166295523486</v>
      </c>
      <c r="K239" s="79">
        <f t="shared" si="43"/>
        <v>56.098454266734805</v>
      </c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</row>
    <row r="240" spans="1:40" ht="14.25" customHeight="1">
      <c r="A240" s="7">
        <v>51402</v>
      </c>
      <c r="B240" s="8" t="s">
        <v>263</v>
      </c>
      <c r="C240" s="8" t="s">
        <v>313</v>
      </c>
      <c r="D240" s="8" t="s">
        <v>315</v>
      </c>
      <c r="E240" s="89">
        <v>0</v>
      </c>
      <c r="F240" s="90">
        <v>16.8</v>
      </c>
      <c r="G240" s="75">
        <f t="shared" si="48"/>
        <v>0</v>
      </c>
      <c r="H240" s="78">
        <f t="shared" si="45"/>
        <v>0</v>
      </c>
      <c r="I240" s="75">
        <f t="shared" si="49"/>
        <v>1.4728831688029316E-3</v>
      </c>
      <c r="J240" s="79">
        <f t="shared" si="47"/>
        <v>0.74969753292069219</v>
      </c>
      <c r="K240" s="79">
        <f t="shared" si="43"/>
        <v>0</v>
      </c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</row>
    <row r="241" spans="1:40" ht="14.25" customHeight="1">
      <c r="A241" s="7">
        <v>51501</v>
      </c>
      <c r="B241" s="8" t="s">
        <v>263</v>
      </c>
      <c r="C241" s="8" t="s">
        <v>316</v>
      </c>
      <c r="D241" s="8" t="s">
        <v>317</v>
      </c>
      <c r="E241" s="89">
        <v>11.6</v>
      </c>
      <c r="F241" s="90">
        <v>598.79999999999995</v>
      </c>
      <c r="G241" s="75">
        <f t="shared" si="48"/>
        <v>3.5194174757281552E-2</v>
      </c>
      <c r="H241" s="78">
        <f t="shared" si="45"/>
        <v>0.752381067961165</v>
      </c>
      <c r="I241" s="75">
        <f t="shared" si="49"/>
        <v>5.2497764373761628E-2</v>
      </c>
      <c r="J241" s="79">
        <f t="shared" si="47"/>
        <v>26.721362066244669</v>
      </c>
      <c r="K241" s="79">
        <f t="shared" si="43"/>
        <v>28.156538805766875</v>
      </c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</row>
    <row r="242" spans="1:40" ht="14.25" customHeight="1">
      <c r="A242" s="7">
        <v>51601</v>
      </c>
      <c r="B242" s="8" t="s">
        <v>263</v>
      </c>
      <c r="C242" s="8" t="s">
        <v>318</v>
      </c>
      <c r="D242" s="8" t="s">
        <v>319</v>
      </c>
      <c r="E242" s="89">
        <v>1</v>
      </c>
      <c r="F242" s="90">
        <v>25.6</v>
      </c>
      <c r="G242" s="75">
        <f t="shared" si="48"/>
        <v>3.0339805825242718E-3</v>
      </c>
      <c r="H242" s="78">
        <f t="shared" si="45"/>
        <v>6.4860436893203879E-2</v>
      </c>
      <c r="I242" s="75">
        <f t="shared" si="49"/>
        <v>2.2443934000806577E-3</v>
      </c>
      <c r="J242" s="79">
        <f t="shared" si="47"/>
        <v>1.1423962406410548</v>
      </c>
      <c r="K242" s="79">
        <f t="shared" si="43"/>
        <v>56.77577935376214</v>
      </c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</row>
    <row r="243" spans="1:40" ht="14.25" customHeight="1">
      <c r="A243" s="7">
        <v>60101</v>
      </c>
      <c r="B243" s="8" t="s">
        <v>25</v>
      </c>
      <c r="C243" s="8" t="s">
        <v>164</v>
      </c>
      <c r="D243" s="8" t="s">
        <v>25</v>
      </c>
      <c r="E243" s="89">
        <v>28</v>
      </c>
      <c r="F243" s="90">
        <v>2617</v>
      </c>
      <c r="G243" s="75">
        <f>E243/$R$7</f>
        <v>0.39106145251396651</v>
      </c>
      <c r="H243" s="78">
        <f>$S$22*G243</f>
        <v>3.4706703910614527</v>
      </c>
      <c r="I243" s="75">
        <f>F243/$S$7</f>
        <v>0.41477795035978066</v>
      </c>
      <c r="J243" s="79">
        <f>I243*$U$22</f>
        <v>147.24617237772213</v>
      </c>
      <c r="K243" s="79">
        <f>1000*H243/J243</f>
        <v>23.570530459415554</v>
      </c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</row>
    <row r="244" spans="1:40" ht="14.25" customHeight="1">
      <c r="A244" s="7">
        <v>60201</v>
      </c>
      <c r="B244" s="8" t="s">
        <v>25</v>
      </c>
      <c r="C244" s="8" t="s">
        <v>320</v>
      </c>
      <c r="D244" s="8" t="s">
        <v>321</v>
      </c>
      <c r="E244" s="89">
        <v>2.4</v>
      </c>
      <c r="F244" s="90">
        <v>200.8</v>
      </c>
      <c r="G244" s="75">
        <f t="shared" ref="G244:G253" si="50">E244/$R$7</f>
        <v>3.3519553072625698E-2</v>
      </c>
      <c r="H244" s="78">
        <f t="shared" ref="H244:H253" si="51">$S$22*G244</f>
        <v>0.29748603351955305</v>
      </c>
      <c r="I244" s="75">
        <f t="shared" ref="I244:I253" si="52">F244/$S$7</f>
        <v>3.1825530161346566E-2</v>
      </c>
      <c r="J244" s="79">
        <f t="shared" ref="J244:J253" si="53">I244*$U$22</f>
        <v>11.29806320727803</v>
      </c>
      <c r="K244" s="79">
        <f t="shared" ref="K244:K307" si="54">1000*H244/J244</f>
        <v>26.330710676845687</v>
      </c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</row>
    <row r="245" spans="1:40" ht="14.25" customHeight="1">
      <c r="A245" s="7">
        <v>60202</v>
      </c>
      <c r="B245" s="8" t="s">
        <v>25</v>
      </c>
      <c r="C245" s="8" t="s">
        <v>320</v>
      </c>
      <c r="D245" s="8" t="s">
        <v>322</v>
      </c>
      <c r="E245" s="89">
        <v>3.6</v>
      </c>
      <c r="F245" s="90">
        <v>451.2</v>
      </c>
      <c r="G245" s="75">
        <f t="shared" si="50"/>
        <v>5.027932960893855E-2</v>
      </c>
      <c r="H245" s="78">
        <f t="shared" si="51"/>
        <v>0.44622905027932963</v>
      </c>
      <c r="I245" s="75">
        <f t="shared" si="52"/>
        <v>7.1512346657368372E-2</v>
      </c>
      <c r="J245" s="79">
        <f t="shared" si="53"/>
        <v>25.386883063365772</v>
      </c>
      <c r="K245" s="79">
        <f t="shared" si="54"/>
        <v>17.577149946511351</v>
      </c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</row>
    <row r="246" spans="1:40" ht="14.25" customHeight="1">
      <c r="A246" s="7">
        <v>60301</v>
      </c>
      <c r="B246" s="8" t="s">
        <v>25</v>
      </c>
      <c r="C246" s="8" t="s">
        <v>323</v>
      </c>
      <c r="D246" s="8" t="s">
        <v>324</v>
      </c>
      <c r="E246" s="89">
        <v>19.2</v>
      </c>
      <c r="F246" s="90">
        <v>1244.8</v>
      </c>
      <c r="G246" s="75">
        <f t="shared" si="50"/>
        <v>0.26815642458100558</v>
      </c>
      <c r="H246" s="78">
        <f t="shared" si="51"/>
        <v>2.3798882681564244</v>
      </c>
      <c r="I246" s="75">
        <f t="shared" si="52"/>
        <v>0.19729292801217233</v>
      </c>
      <c r="J246" s="79">
        <f t="shared" si="53"/>
        <v>70.038989444321174</v>
      </c>
      <c r="K246" s="79">
        <f t="shared" si="54"/>
        <v>33.979477531559219</v>
      </c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</row>
    <row r="247" spans="1:40" ht="14.25" customHeight="1">
      <c r="A247" s="7">
        <v>60302</v>
      </c>
      <c r="B247" s="8" t="s">
        <v>25</v>
      </c>
      <c r="C247" s="8" t="s">
        <v>323</v>
      </c>
      <c r="D247" s="8" t="s">
        <v>325</v>
      </c>
      <c r="E247" s="89">
        <v>1.6</v>
      </c>
      <c r="F247" s="90">
        <v>214.8</v>
      </c>
      <c r="G247" s="75">
        <f t="shared" si="50"/>
        <v>2.2346368715083803E-2</v>
      </c>
      <c r="H247" s="78">
        <f t="shared" si="51"/>
        <v>0.19832402234636876</v>
      </c>
      <c r="I247" s="75">
        <f t="shared" si="52"/>
        <v>3.4044441626779096E-2</v>
      </c>
      <c r="J247" s="79">
        <f t="shared" si="53"/>
        <v>12.085776777506579</v>
      </c>
      <c r="K247" s="79">
        <f t="shared" si="54"/>
        <v>16.409704233117985</v>
      </c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</row>
    <row r="248" spans="1:40" ht="14.25" customHeight="1">
      <c r="A248" s="7">
        <v>60303</v>
      </c>
      <c r="B248" s="8" t="s">
        <v>25</v>
      </c>
      <c r="C248" s="8" t="s">
        <v>323</v>
      </c>
      <c r="D248" s="8" t="s">
        <v>326</v>
      </c>
      <c r="E248" s="89">
        <v>6.2</v>
      </c>
      <c r="F248" s="90">
        <v>606.20000000000005</v>
      </c>
      <c r="G248" s="75">
        <f t="shared" si="50"/>
        <v>8.6592178770949726E-2</v>
      </c>
      <c r="H248" s="78">
        <f t="shared" si="51"/>
        <v>0.76850558659217882</v>
      </c>
      <c r="I248" s="75">
        <f t="shared" si="52"/>
        <v>9.6078866453228523E-2</v>
      </c>
      <c r="J248" s="79">
        <f t="shared" si="53"/>
        <v>34.107997590896126</v>
      </c>
      <c r="K248" s="79">
        <f t="shared" si="54"/>
        <v>22.53153632206492</v>
      </c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</row>
    <row r="249" spans="1:40" ht="14.25" customHeight="1">
      <c r="A249" s="7">
        <v>60401</v>
      </c>
      <c r="B249" s="8" t="s">
        <v>25</v>
      </c>
      <c r="C249" s="8" t="s">
        <v>327</v>
      </c>
      <c r="D249" s="8" t="s">
        <v>328</v>
      </c>
      <c r="E249" s="89">
        <v>1.8</v>
      </c>
      <c r="F249" s="90">
        <v>192.8</v>
      </c>
      <c r="G249" s="75">
        <f t="shared" si="50"/>
        <v>2.5139664804469275E-2</v>
      </c>
      <c r="H249" s="78">
        <f t="shared" si="51"/>
        <v>0.22311452513966482</v>
      </c>
      <c r="I249" s="75">
        <f t="shared" si="52"/>
        <v>3.0557580752527978E-2</v>
      </c>
      <c r="J249" s="79">
        <f t="shared" si="53"/>
        <v>10.847941167147432</v>
      </c>
      <c r="K249" s="79">
        <f t="shared" si="54"/>
        <v>20.567453464382574</v>
      </c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</row>
    <row r="250" spans="1:40" ht="14.25" customHeight="1">
      <c r="A250" s="7">
        <v>60402</v>
      </c>
      <c r="B250" s="8" t="s">
        <v>25</v>
      </c>
      <c r="C250" s="8" t="s">
        <v>327</v>
      </c>
      <c r="D250" s="8" t="s">
        <v>329</v>
      </c>
      <c r="E250" s="89">
        <v>0.8</v>
      </c>
      <c r="F250" s="90">
        <v>62.2</v>
      </c>
      <c r="G250" s="75">
        <f t="shared" si="50"/>
        <v>1.1173184357541902E-2</v>
      </c>
      <c r="H250" s="78">
        <f t="shared" si="51"/>
        <v>9.9162011173184378E-2</v>
      </c>
      <c r="I250" s="75">
        <f t="shared" si="52"/>
        <v>9.8583066535645244E-3</v>
      </c>
      <c r="J250" s="79">
        <f t="shared" si="53"/>
        <v>3.4996988620154061</v>
      </c>
      <c r="K250" s="79">
        <f t="shared" si="54"/>
        <v>28.334441071332343</v>
      </c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</row>
    <row r="251" spans="1:40" ht="14.25" customHeight="1">
      <c r="A251" s="7">
        <v>60501</v>
      </c>
      <c r="B251" s="8" t="s">
        <v>25</v>
      </c>
      <c r="C251" s="8" t="s">
        <v>330</v>
      </c>
      <c r="D251" s="8" t="s">
        <v>331</v>
      </c>
      <c r="E251" s="89">
        <v>2.2000000000000002</v>
      </c>
      <c r="F251" s="90">
        <v>348.2</v>
      </c>
      <c r="G251" s="75">
        <f t="shared" si="50"/>
        <v>3.0726256983240229E-2</v>
      </c>
      <c r="H251" s="78">
        <f t="shared" si="51"/>
        <v>0.27269553072625702</v>
      </c>
      <c r="I251" s="75">
        <f t="shared" si="52"/>
        <v>5.5187498018829051E-2</v>
      </c>
      <c r="J251" s="79">
        <f t="shared" si="53"/>
        <v>19.591561796684314</v>
      </c>
      <c r="K251" s="79">
        <f t="shared" si="54"/>
        <v>13.919029710658807</v>
      </c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</row>
    <row r="252" spans="1:40" ht="14.25" customHeight="1">
      <c r="A252" s="7">
        <v>60502</v>
      </c>
      <c r="B252" s="8" t="s">
        <v>25</v>
      </c>
      <c r="C252" s="8" t="s">
        <v>330</v>
      </c>
      <c r="D252" s="8" t="s">
        <v>332</v>
      </c>
      <c r="E252" s="89">
        <v>2.6</v>
      </c>
      <c r="F252" s="90">
        <v>112.2</v>
      </c>
      <c r="G252" s="75">
        <f t="shared" si="50"/>
        <v>3.6312849162011177E-2</v>
      </c>
      <c r="H252" s="78">
        <f t="shared" si="51"/>
        <v>0.32227653631284919</v>
      </c>
      <c r="I252" s="75">
        <f t="shared" si="52"/>
        <v>1.77829904586807E-2</v>
      </c>
      <c r="J252" s="79">
        <f t="shared" si="53"/>
        <v>6.3129616128316481</v>
      </c>
      <c r="K252" s="79">
        <f t="shared" si="54"/>
        <v>51.049975602226674</v>
      </c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</row>
    <row r="253" spans="1:40" ht="14.25" customHeight="1">
      <c r="A253" s="7">
        <v>60601</v>
      </c>
      <c r="B253" s="8" t="s">
        <v>25</v>
      </c>
      <c r="C253" s="8" t="s">
        <v>333</v>
      </c>
      <c r="D253" s="8" t="s">
        <v>205</v>
      </c>
      <c r="E253" s="89">
        <v>3.2</v>
      </c>
      <c r="F253" s="90">
        <v>259.2</v>
      </c>
      <c r="G253" s="75">
        <f t="shared" si="50"/>
        <v>4.4692737430167606E-2</v>
      </c>
      <c r="H253" s="78">
        <f t="shared" si="51"/>
        <v>0.39664804469273751</v>
      </c>
      <c r="I253" s="75">
        <f t="shared" si="52"/>
        <v>4.1081560845722259E-2</v>
      </c>
      <c r="J253" s="79">
        <f t="shared" si="53"/>
        <v>14.583954100231402</v>
      </c>
      <c r="K253" s="79">
        <f t="shared" si="54"/>
        <v>27.19756534933444</v>
      </c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</row>
    <row r="254" spans="1:40" ht="14.25" customHeight="1">
      <c r="A254" s="7">
        <v>70101</v>
      </c>
      <c r="B254" s="8" t="s">
        <v>27</v>
      </c>
      <c r="C254" s="8" t="s">
        <v>334</v>
      </c>
      <c r="D254" s="8" t="s">
        <v>335</v>
      </c>
      <c r="E254" s="89">
        <v>208.8</v>
      </c>
      <c r="F254" s="90">
        <v>20068</v>
      </c>
      <c r="G254" s="75">
        <f>E254/$R$8</f>
        <v>0.37192732454577843</v>
      </c>
      <c r="H254" s="78">
        <f>$S$23*G254</f>
        <v>6.209698610616317</v>
      </c>
      <c r="I254" s="75">
        <f>F254/$S$8</f>
        <v>0.47646634250113962</v>
      </c>
      <c r="J254" s="79">
        <f>I254*$U$23</f>
        <v>994.38525679987833</v>
      </c>
      <c r="K254" s="79">
        <f t="shared" si="54"/>
        <v>6.2447613418971164</v>
      </c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</row>
    <row r="255" spans="1:40" ht="14.25" customHeight="1">
      <c r="A255" s="7">
        <v>70102</v>
      </c>
      <c r="B255" s="8" t="s">
        <v>27</v>
      </c>
      <c r="C255" s="8" t="s">
        <v>334</v>
      </c>
      <c r="D255" s="8" t="s">
        <v>336</v>
      </c>
      <c r="E255" s="89">
        <v>21.2</v>
      </c>
      <c r="F255" s="90">
        <v>1633.6</v>
      </c>
      <c r="G255" s="75">
        <f t="shared" ref="G255:G279" si="55">E255/$R$8</f>
        <v>3.7762736017100104E-2</v>
      </c>
      <c r="H255" s="78">
        <f t="shared" ref="H255:H309" si="56">$S$23*G255</f>
        <v>0.63048664054150338</v>
      </c>
      <c r="I255" s="75">
        <f t="shared" ref="I255:I279" si="57">F255/$S$8</f>
        <v>3.8785898799574531E-2</v>
      </c>
      <c r="J255" s="79">
        <f t="shared" ref="J255:J309" si="58">I255*$U$23</f>
        <v>80.946170794712046</v>
      </c>
      <c r="K255" s="79">
        <f t="shared" si="54"/>
        <v>7.788961903342944</v>
      </c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</row>
    <row r="256" spans="1:40" ht="14.25" customHeight="1">
      <c r="A256" s="7">
        <v>70103</v>
      </c>
      <c r="B256" s="8" t="s">
        <v>27</v>
      </c>
      <c r="C256" s="8" t="s">
        <v>334</v>
      </c>
      <c r="D256" s="8" t="s">
        <v>337</v>
      </c>
      <c r="E256" s="89">
        <v>2.8</v>
      </c>
      <c r="F256" s="90">
        <v>278.8</v>
      </c>
      <c r="G256" s="75">
        <f t="shared" si="55"/>
        <v>4.9875311720698253E-3</v>
      </c>
      <c r="H256" s="78">
        <f t="shared" si="56"/>
        <v>8.3271820448877806E-2</v>
      </c>
      <c r="I256" s="75">
        <f t="shared" si="57"/>
        <v>6.6194347363622546E-3</v>
      </c>
      <c r="J256" s="79">
        <f t="shared" si="58"/>
        <v>13.814760294788025</v>
      </c>
      <c r="K256" s="79">
        <f t="shared" si="54"/>
        <v>6.0277426949126474</v>
      </c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</row>
    <row r="257" spans="1:40" ht="14.25" customHeight="1">
      <c r="A257" s="7">
        <v>70104</v>
      </c>
      <c r="B257" s="8" t="s">
        <v>27</v>
      </c>
      <c r="C257" s="8" t="s">
        <v>334</v>
      </c>
      <c r="D257" s="8" t="s">
        <v>338</v>
      </c>
      <c r="E257" s="89">
        <v>19.8</v>
      </c>
      <c r="F257" s="90">
        <v>2145.4</v>
      </c>
      <c r="G257" s="75">
        <f t="shared" si="55"/>
        <v>3.5268970431065194E-2</v>
      </c>
      <c r="H257" s="78">
        <f t="shared" si="56"/>
        <v>0.58885073031706459</v>
      </c>
      <c r="I257" s="75">
        <f t="shared" si="57"/>
        <v>5.0937357544446137E-2</v>
      </c>
      <c r="J257" s="79">
        <f t="shared" si="58"/>
        <v>106.30626519525909</v>
      </c>
      <c r="K257" s="79">
        <f t="shared" si="54"/>
        <v>5.5391912154517629</v>
      </c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</row>
    <row r="258" spans="1:40" ht="14.25" customHeight="1">
      <c r="A258" s="7">
        <v>70105</v>
      </c>
      <c r="B258" s="8" t="s">
        <v>27</v>
      </c>
      <c r="C258" s="8" t="s">
        <v>334</v>
      </c>
      <c r="D258" s="8" t="s">
        <v>339</v>
      </c>
      <c r="E258" s="89">
        <v>10.199999999999999</v>
      </c>
      <c r="F258" s="90">
        <v>760.8</v>
      </c>
      <c r="G258" s="75">
        <f t="shared" si="55"/>
        <v>1.8168863555397222E-2</v>
      </c>
      <c r="H258" s="78">
        <f t="shared" si="56"/>
        <v>0.30334734592091206</v>
      </c>
      <c r="I258" s="75">
        <f t="shared" si="57"/>
        <v>1.8063364230360125E-2</v>
      </c>
      <c r="J258" s="79">
        <f t="shared" si="58"/>
        <v>37.698241148761582</v>
      </c>
      <c r="K258" s="79">
        <f t="shared" si="54"/>
        <v>8.0467241090603849</v>
      </c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</row>
    <row r="259" spans="1:40" ht="14.25" customHeight="1">
      <c r="A259" s="7">
        <v>70201</v>
      </c>
      <c r="B259" s="8" t="s">
        <v>27</v>
      </c>
      <c r="C259" s="8" t="s">
        <v>340</v>
      </c>
      <c r="D259" s="8" t="s">
        <v>340</v>
      </c>
      <c r="E259" s="89">
        <v>27.6</v>
      </c>
      <c r="F259" s="90">
        <v>2229.4</v>
      </c>
      <c r="G259" s="75">
        <f t="shared" si="55"/>
        <v>4.9162807267545426E-2</v>
      </c>
      <c r="H259" s="78">
        <f t="shared" si="56"/>
        <v>0.82082223013893851</v>
      </c>
      <c r="I259" s="75">
        <f t="shared" si="57"/>
        <v>5.2931735298586843E-2</v>
      </c>
      <c r="J259" s="79">
        <f t="shared" si="58"/>
        <v>110.46853156815074</v>
      </c>
      <c r="K259" s="79">
        <f t="shared" si="54"/>
        <v>7.4303715138329069</v>
      </c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</row>
    <row r="260" spans="1:40" ht="14.25" customHeight="1">
      <c r="A260" s="7">
        <v>70202</v>
      </c>
      <c r="B260" s="8" t="s">
        <v>27</v>
      </c>
      <c r="C260" s="8" t="s">
        <v>340</v>
      </c>
      <c r="D260" s="8" t="s">
        <v>341</v>
      </c>
      <c r="E260" s="89">
        <v>2.4</v>
      </c>
      <c r="F260" s="90">
        <v>147.4</v>
      </c>
      <c r="G260" s="75">
        <f t="shared" si="55"/>
        <v>4.2750267189169931E-3</v>
      </c>
      <c r="H260" s="78">
        <f t="shared" si="56"/>
        <v>7.1375846099038118E-2</v>
      </c>
      <c r="I260" s="75">
        <f t="shared" si="57"/>
        <v>3.4996581066707188E-3</v>
      </c>
      <c r="J260" s="79">
        <f t="shared" si="58"/>
        <v>7.3037864686217899</v>
      </c>
      <c r="K260" s="79">
        <f t="shared" si="54"/>
        <v>9.7724442528105016</v>
      </c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</row>
    <row r="261" spans="1:40" ht="14.25" customHeight="1">
      <c r="A261" s="7">
        <v>70301</v>
      </c>
      <c r="B261" s="8" t="s">
        <v>27</v>
      </c>
      <c r="C261" s="8" t="s">
        <v>342</v>
      </c>
      <c r="D261" s="8" t="s">
        <v>343</v>
      </c>
      <c r="E261" s="89">
        <v>20</v>
      </c>
      <c r="F261" s="90">
        <v>1110.2</v>
      </c>
      <c r="G261" s="75">
        <f t="shared" si="55"/>
        <v>3.5625222657641613E-2</v>
      </c>
      <c r="H261" s="78">
        <f t="shared" si="56"/>
        <v>0.59479871749198443</v>
      </c>
      <c r="I261" s="75">
        <f t="shared" si="57"/>
        <v>2.6359025983893024E-2</v>
      </c>
      <c r="J261" s="79">
        <f t="shared" si="58"/>
        <v>55.011287228384738</v>
      </c>
      <c r="K261" s="79">
        <f t="shared" si="54"/>
        <v>10.812303210114306</v>
      </c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</row>
    <row r="262" spans="1:40" ht="14.25" customHeight="1">
      <c r="A262" s="7">
        <v>70302</v>
      </c>
      <c r="B262" s="8" t="s">
        <v>27</v>
      </c>
      <c r="C262" s="8" t="s">
        <v>342</v>
      </c>
      <c r="D262" s="8" t="s">
        <v>344</v>
      </c>
      <c r="E262" s="89">
        <v>6.2</v>
      </c>
      <c r="F262" s="90">
        <v>198.2</v>
      </c>
      <c r="G262" s="75">
        <f t="shared" si="55"/>
        <v>1.10438190238689E-2</v>
      </c>
      <c r="H262" s="78">
        <f t="shared" si="56"/>
        <v>0.18438760242251517</v>
      </c>
      <c r="I262" s="75">
        <f t="shared" si="57"/>
        <v>4.7057817960796224E-3</v>
      </c>
      <c r="J262" s="79">
        <f t="shared" si="58"/>
        <v>9.8209666084181713</v>
      </c>
      <c r="K262" s="79">
        <f t="shared" si="54"/>
        <v>18.774893528755602</v>
      </c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</row>
    <row r="263" spans="1:40" ht="14.25" customHeight="1">
      <c r="A263" s="7">
        <v>70303</v>
      </c>
      <c r="B263" s="8" t="s">
        <v>27</v>
      </c>
      <c r="C263" s="8" t="s">
        <v>342</v>
      </c>
      <c r="D263" s="8" t="s">
        <v>345</v>
      </c>
      <c r="E263" s="89">
        <v>2.4</v>
      </c>
      <c r="F263" s="90">
        <v>132</v>
      </c>
      <c r="G263" s="75">
        <f t="shared" si="55"/>
        <v>4.2750267189169931E-3</v>
      </c>
      <c r="H263" s="78">
        <f t="shared" si="56"/>
        <v>7.1375846099038118E-2</v>
      </c>
      <c r="I263" s="75">
        <f t="shared" si="57"/>
        <v>3.1340221850782554E-3</v>
      </c>
      <c r="J263" s="79">
        <f t="shared" si="58"/>
        <v>6.5407043002583194</v>
      </c>
      <c r="K263" s="79">
        <f t="shared" si="54"/>
        <v>10.912562748971725</v>
      </c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</row>
    <row r="264" spans="1:40" ht="14.25" customHeight="1">
      <c r="A264" s="7">
        <v>70401</v>
      </c>
      <c r="B264" s="8" t="s">
        <v>27</v>
      </c>
      <c r="C264" s="8" t="s">
        <v>346</v>
      </c>
      <c r="D264" s="8" t="s">
        <v>347</v>
      </c>
      <c r="E264" s="89">
        <v>1</v>
      </c>
      <c r="F264" s="90">
        <v>186.8</v>
      </c>
      <c r="G264" s="75">
        <f t="shared" si="55"/>
        <v>1.7812611328820807E-3</v>
      </c>
      <c r="H264" s="78">
        <f t="shared" si="56"/>
        <v>2.9739935874599221E-2</v>
      </c>
      <c r="I264" s="75">
        <f t="shared" si="57"/>
        <v>4.4351162437319559E-3</v>
      </c>
      <c r="J264" s="79">
        <f t="shared" si="58"/>
        <v>9.2560876006685913</v>
      </c>
      <c r="K264" s="79">
        <f t="shared" si="54"/>
        <v>3.2130136573524899</v>
      </c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</row>
    <row r="265" spans="1:40" ht="14.25" customHeight="1">
      <c r="A265" s="7">
        <v>70402</v>
      </c>
      <c r="B265" s="8" t="s">
        <v>27</v>
      </c>
      <c r="C265" s="8" t="s">
        <v>346</v>
      </c>
      <c r="D265" s="8" t="s">
        <v>348</v>
      </c>
      <c r="E265" s="89">
        <v>4.4000000000000004</v>
      </c>
      <c r="F265" s="90">
        <v>261.8</v>
      </c>
      <c r="G265" s="75">
        <f t="shared" si="55"/>
        <v>7.8375489846811558E-3</v>
      </c>
      <c r="H265" s="78">
        <f t="shared" si="56"/>
        <v>0.1308557178482366</v>
      </c>
      <c r="I265" s="75">
        <f t="shared" si="57"/>
        <v>6.2158106670718739E-3</v>
      </c>
      <c r="J265" s="79">
        <f t="shared" si="58"/>
        <v>12.972396862179</v>
      </c>
      <c r="K265" s="79">
        <f t="shared" si="54"/>
        <v>10.08724287720076</v>
      </c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</row>
    <row r="266" spans="1:40" ht="14.25" customHeight="1">
      <c r="A266" s="7">
        <v>70403</v>
      </c>
      <c r="B266" s="8" t="s">
        <v>27</v>
      </c>
      <c r="C266" s="8" t="s">
        <v>346</v>
      </c>
      <c r="D266" s="8" t="s">
        <v>349</v>
      </c>
      <c r="E266" s="89">
        <v>15.8</v>
      </c>
      <c r="F266" s="90">
        <v>820.6</v>
      </c>
      <c r="G266" s="75">
        <f t="shared" si="55"/>
        <v>2.8143925899536876E-2</v>
      </c>
      <c r="H266" s="78">
        <f t="shared" si="56"/>
        <v>0.4698909868186677</v>
      </c>
      <c r="I266" s="75">
        <f t="shared" si="57"/>
        <v>1.9483171250569822E-2</v>
      </c>
      <c r="J266" s="79">
        <f t="shared" si="58"/>
        <v>40.661378399939217</v>
      </c>
      <c r="K266" s="79">
        <f t="shared" si="54"/>
        <v>11.556199157758266</v>
      </c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</row>
    <row r="267" spans="1:40" ht="14.25" customHeight="1">
      <c r="A267" s="7">
        <v>70404</v>
      </c>
      <c r="B267" s="8" t="s">
        <v>27</v>
      </c>
      <c r="C267" s="8" t="s">
        <v>346</v>
      </c>
      <c r="D267" s="8" t="s">
        <v>350</v>
      </c>
      <c r="E267" s="89">
        <v>1.6</v>
      </c>
      <c r="F267" s="90">
        <v>136.4</v>
      </c>
      <c r="G267" s="75">
        <f t="shared" si="55"/>
        <v>2.8500178126113292E-3</v>
      </c>
      <c r="H267" s="78">
        <f t="shared" si="56"/>
        <v>4.7583897399358754E-2</v>
      </c>
      <c r="I267" s="75">
        <f t="shared" si="57"/>
        <v>3.2384895912475307E-3</v>
      </c>
      <c r="J267" s="79">
        <f t="shared" si="58"/>
        <v>6.7587277769335969</v>
      </c>
      <c r="K267" s="79">
        <f t="shared" si="54"/>
        <v>7.0403630638527277</v>
      </c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</row>
    <row r="268" spans="1:40" ht="14.25" customHeight="1">
      <c r="A268" s="7">
        <v>70501</v>
      </c>
      <c r="B268" s="8" t="s">
        <v>27</v>
      </c>
      <c r="C268" s="8" t="s">
        <v>351</v>
      </c>
      <c r="D268" s="8" t="s">
        <v>352</v>
      </c>
      <c r="E268" s="89">
        <v>12.6</v>
      </c>
      <c r="F268" s="90">
        <v>626.4</v>
      </c>
      <c r="G268" s="75">
        <f t="shared" si="55"/>
        <v>2.2443890274314215E-2</v>
      </c>
      <c r="H268" s="78">
        <f t="shared" si="56"/>
        <v>0.37472319201995019</v>
      </c>
      <c r="I268" s="75">
        <f t="shared" si="57"/>
        <v>1.4872359823734993E-2</v>
      </c>
      <c r="J268" s="79">
        <f t="shared" si="58"/>
        <v>31.038614952134932</v>
      </c>
      <c r="K268" s="79">
        <f t="shared" si="54"/>
        <v>12.072806489523321</v>
      </c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</row>
    <row r="269" spans="1:40" ht="14.25" customHeight="1">
      <c r="A269" s="7">
        <v>70502</v>
      </c>
      <c r="B269" s="8" t="s">
        <v>27</v>
      </c>
      <c r="C269" s="8" t="s">
        <v>351</v>
      </c>
      <c r="D269" s="8" t="s">
        <v>353</v>
      </c>
      <c r="E269" s="89">
        <v>19.8</v>
      </c>
      <c r="F269" s="90">
        <v>921.4</v>
      </c>
      <c r="G269" s="75">
        <f t="shared" si="55"/>
        <v>3.5268970431065194E-2</v>
      </c>
      <c r="H269" s="78">
        <f t="shared" si="56"/>
        <v>0.58885073031706459</v>
      </c>
      <c r="I269" s="75">
        <f t="shared" si="57"/>
        <v>2.1876424555538669E-2</v>
      </c>
      <c r="J269" s="79">
        <f t="shared" si="58"/>
        <v>45.656098047409202</v>
      </c>
      <c r="K269" s="79">
        <f t="shared" si="54"/>
        <v>12.897526409409828</v>
      </c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</row>
    <row r="270" spans="1:40" ht="14.25" customHeight="1">
      <c r="A270" s="7">
        <v>70503</v>
      </c>
      <c r="B270" s="8" t="s">
        <v>27</v>
      </c>
      <c r="C270" s="8" t="s">
        <v>351</v>
      </c>
      <c r="D270" s="8" t="s">
        <v>354</v>
      </c>
      <c r="E270" s="89">
        <v>3.8</v>
      </c>
      <c r="F270" s="90">
        <v>250.4</v>
      </c>
      <c r="G270" s="75">
        <f t="shared" si="55"/>
        <v>6.7687923049519058E-3</v>
      </c>
      <c r="H270" s="78">
        <f t="shared" si="56"/>
        <v>0.11301175632347703</v>
      </c>
      <c r="I270" s="75">
        <f t="shared" si="57"/>
        <v>5.9451451147242056E-3</v>
      </c>
      <c r="J270" s="79">
        <f t="shared" si="58"/>
        <v>12.407517854429416</v>
      </c>
      <c r="K270" s="79">
        <f t="shared" si="54"/>
        <v>9.1083291315299171</v>
      </c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</row>
    <row r="271" spans="1:40" ht="14.25" customHeight="1">
      <c r="A271" s="7">
        <v>70601</v>
      </c>
      <c r="B271" s="8" t="s">
        <v>27</v>
      </c>
      <c r="C271" s="8" t="s">
        <v>355</v>
      </c>
      <c r="D271" s="8" t="s">
        <v>356</v>
      </c>
      <c r="E271" s="89">
        <v>2</v>
      </c>
      <c r="F271" s="90">
        <v>287</v>
      </c>
      <c r="G271" s="75">
        <f t="shared" si="55"/>
        <v>3.5625222657641614E-3</v>
      </c>
      <c r="H271" s="78">
        <f t="shared" si="56"/>
        <v>5.9479871749198443E-2</v>
      </c>
      <c r="I271" s="75">
        <f t="shared" si="57"/>
        <v>6.8141239933140856E-3</v>
      </c>
      <c r="J271" s="79">
        <f t="shared" si="58"/>
        <v>14.221076774046496</v>
      </c>
      <c r="K271" s="79">
        <f t="shared" si="54"/>
        <v>4.1825153393271437</v>
      </c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</row>
    <row r="272" spans="1:40" ht="14.25" customHeight="1">
      <c r="A272" s="7">
        <v>70602</v>
      </c>
      <c r="B272" s="8" t="s">
        <v>27</v>
      </c>
      <c r="C272" s="8" t="s">
        <v>355</v>
      </c>
      <c r="D272" s="8" t="s">
        <v>357</v>
      </c>
      <c r="E272" s="89">
        <v>4.4000000000000004</v>
      </c>
      <c r="F272" s="90">
        <v>246.6</v>
      </c>
      <c r="G272" s="75">
        <f t="shared" si="55"/>
        <v>7.8375489846811558E-3</v>
      </c>
      <c r="H272" s="78">
        <f t="shared" si="56"/>
        <v>0.1308557178482366</v>
      </c>
      <c r="I272" s="75">
        <f t="shared" si="57"/>
        <v>5.8549232639416495E-3</v>
      </c>
      <c r="J272" s="79">
        <f t="shared" si="58"/>
        <v>12.219224851846223</v>
      </c>
      <c r="K272" s="79">
        <f t="shared" si="54"/>
        <v>10.709003184311269</v>
      </c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</row>
    <row r="273" spans="1:40" ht="14.25" customHeight="1">
      <c r="A273" s="7">
        <v>70603</v>
      </c>
      <c r="B273" s="8" t="s">
        <v>27</v>
      </c>
      <c r="C273" s="8" t="s">
        <v>355</v>
      </c>
      <c r="D273" s="8" t="s">
        <v>358</v>
      </c>
      <c r="E273" s="89">
        <v>0.6</v>
      </c>
      <c r="F273" s="90">
        <v>85.8</v>
      </c>
      <c r="G273" s="75">
        <f t="shared" si="55"/>
        <v>1.0687566797292483E-3</v>
      </c>
      <c r="H273" s="78">
        <f t="shared" si="56"/>
        <v>1.7843961524759529E-2</v>
      </c>
      <c r="I273" s="75">
        <f t="shared" si="57"/>
        <v>2.0371144203008662E-3</v>
      </c>
      <c r="J273" s="79">
        <f t="shared" si="58"/>
        <v>4.2514577951679078</v>
      </c>
      <c r="K273" s="79">
        <f t="shared" si="54"/>
        <v>4.1971395188352787</v>
      </c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</row>
    <row r="274" spans="1:40" ht="14.25" customHeight="1">
      <c r="A274" s="7">
        <v>70701</v>
      </c>
      <c r="B274" s="8" t="s">
        <v>27</v>
      </c>
      <c r="C274" s="8" t="s">
        <v>359</v>
      </c>
      <c r="D274" s="8" t="s">
        <v>360</v>
      </c>
      <c r="E274" s="89">
        <v>1.6</v>
      </c>
      <c r="F274" s="90">
        <v>86.2</v>
      </c>
      <c r="G274" s="75">
        <f t="shared" si="55"/>
        <v>2.8500178126113292E-3</v>
      </c>
      <c r="H274" s="78">
        <f t="shared" si="56"/>
        <v>4.7583897399358754E-2</v>
      </c>
      <c r="I274" s="75">
        <f t="shared" si="57"/>
        <v>2.0466114572253455E-3</v>
      </c>
      <c r="J274" s="79">
        <f t="shared" si="58"/>
        <v>4.2712781112292957</v>
      </c>
      <c r="K274" s="79">
        <f t="shared" si="54"/>
        <v>11.14043528897346</v>
      </c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</row>
    <row r="275" spans="1:40" ht="14.25" customHeight="1">
      <c r="A275" s="7">
        <v>70702</v>
      </c>
      <c r="B275" s="8" t="s">
        <v>27</v>
      </c>
      <c r="C275" s="8" t="s">
        <v>359</v>
      </c>
      <c r="D275" s="8" t="s">
        <v>361</v>
      </c>
      <c r="E275" s="89">
        <v>19</v>
      </c>
      <c r="F275" s="90">
        <v>565.6</v>
      </c>
      <c r="G275" s="75">
        <f t="shared" si="55"/>
        <v>3.3843961524759533E-2</v>
      </c>
      <c r="H275" s="78">
        <f t="shared" si="56"/>
        <v>0.56505878161738521</v>
      </c>
      <c r="I275" s="75">
        <f t="shared" si="57"/>
        <v>1.3428810211214101E-2</v>
      </c>
      <c r="J275" s="79">
        <f t="shared" si="58"/>
        <v>28.025926910803829</v>
      </c>
      <c r="K275" s="79">
        <f t="shared" si="54"/>
        <v>20.162001542919832</v>
      </c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</row>
    <row r="276" spans="1:40" ht="14.25" customHeight="1">
      <c r="A276" s="7">
        <v>70703</v>
      </c>
      <c r="B276" s="8" t="s">
        <v>27</v>
      </c>
      <c r="C276" s="8" t="s">
        <v>359</v>
      </c>
      <c r="D276" s="8" t="s">
        <v>362</v>
      </c>
      <c r="E276" s="89">
        <v>7.8</v>
      </c>
      <c r="F276" s="90">
        <v>493.4</v>
      </c>
      <c r="G276" s="75">
        <f t="shared" si="55"/>
        <v>1.3893836836480229E-2</v>
      </c>
      <c r="H276" s="78">
        <f t="shared" si="56"/>
        <v>0.23197149982187393</v>
      </c>
      <c r="I276" s="75">
        <f t="shared" si="57"/>
        <v>1.171459504634554E-2</v>
      </c>
      <c r="J276" s="79">
        <f t="shared" si="58"/>
        <v>24.448359861723141</v>
      </c>
      <c r="K276" s="79">
        <f t="shared" si="54"/>
        <v>9.4882233873305069</v>
      </c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</row>
    <row r="277" spans="1:40" ht="14.25" customHeight="1">
      <c r="A277" s="7">
        <v>70704</v>
      </c>
      <c r="B277" s="8" t="s">
        <v>27</v>
      </c>
      <c r="C277" s="8" t="s">
        <v>359</v>
      </c>
      <c r="D277" s="8" t="s">
        <v>363</v>
      </c>
      <c r="E277" s="89">
        <v>0.8</v>
      </c>
      <c r="F277" s="90">
        <v>55.4</v>
      </c>
      <c r="G277" s="75">
        <f t="shared" si="55"/>
        <v>1.4250089063056646E-3</v>
      </c>
      <c r="H277" s="78">
        <f t="shared" si="56"/>
        <v>2.3791948699679377E-2</v>
      </c>
      <c r="I277" s="75">
        <f t="shared" si="57"/>
        <v>1.3153396140404192E-3</v>
      </c>
      <c r="J277" s="79">
        <f t="shared" si="58"/>
        <v>2.7451137745023551</v>
      </c>
      <c r="K277" s="79">
        <f t="shared" si="54"/>
        <v>8.6670173457537203</v>
      </c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</row>
    <row r="278" spans="1:40" ht="14.25" customHeight="1">
      <c r="A278" s="7">
        <v>70705</v>
      </c>
      <c r="B278" s="8" t="s">
        <v>27</v>
      </c>
      <c r="C278" s="8" t="s">
        <v>359</v>
      </c>
      <c r="D278" s="8" t="s">
        <v>364</v>
      </c>
      <c r="E278" s="89">
        <v>6.2</v>
      </c>
      <c r="F278" s="90">
        <v>240.4</v>
      </c>
      <c r="G278" s="75">
        <f t="shared" si="55"/>
        <v>1.10438190238689E-2</v>
      </c>
      <c r="H278" s="78">
        <f t="shared" si="56"/>
        <v>0.18438760242251517</v>
      </c>
      <c r="I278" s="75">
        <f t="shared" si="57"/>
        <v>5.7077191916122165E-3</v>
      </c>
      <c r="J278" s="79">
        <f t="shared" si="58"/>
        <v>11.912009952894696</v>
      </c>
      <c r="K278" s="79">
        <f t="shared" si="54"/>
        <v>15.479134348583028</v>
      </c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</row>
    <row r="279" spans="1:40" ht="14.25" customHeight="1">
      <c r="A279" s="7">
        <v>70706</v>
      </c>
      <c r="B279" s="8" t="s">
        <v>27</v>
      </c>
      <c r="C279" s="8" t="s">
        <v>359</v>
      </c>
      <c r="D279" s="8" t="s">
        <v>365</v>
      </c>
      <c r="E279" s="89">
        <v>4.8</v>
      </c>
      <c r="F279" s="90">
        <v>386.2</v>
      </c>
      <c r="G279" s="75">
        <f t="shared" si="55"/>
        <v>8.5500534378339862E-3</v>
      </c>
      <c r="H279" s="78">
        <f t="shared" si="56"/>
        <v>0.14275169219807624</v>
      </c>
      <c r="I279" s="75">
        <f t="shared" si="57"/>
        <v>9.1693891505850167E-3</v>
      </c>
      <c r="J279" s="79">
        <f t="shared" si="58"/>
        <v>19.136515157270932</v>
      </c>
      <c r="K279" s="79">
        <f t="shared" si="54"/>
        <v>7.4596493157134534</v>
      </c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</row>
    <row r="280" spans="1:40" ht="14.25" customHeight="1">
      <c r="A280" s="7">
        <v>70707</v>
      </c>
      <c r="B280" s="8" t="s">
        <v>27</v>
      </c>
      <c r="C280" s="8" t="s">
        <v>359</v>
      </c>
      <c r="D280" s="8" t="s">
        <v>366</v>
      </c>
      <c r="E280" s="89">
        <v>0.8</v>
      </c>
      <c r="F280" s="90">
        <v>79.2</v>
      </c>
      <c r="G280" s="75">
        <f>E280/$R$8</f>
        <v>1.4250089063056646E-3</v>
      </c>
      <c r="H280" s="78">
        <f>$S$23*G280</f>
        <v>2.3791948699679377E-2</v>
      </c>
      <c r="I280" s="75">
        <f>F280/$S$8</f>
        <v>1.8804133110469534E-3</v>
      </c>
      <c r="J280" s="79">
        <f>I280*$U$23</f>
        <v>3.9244225801549919</v>
      </c>
      <c r="K280" s="79">
        <f t="shared" si="54"/>
        <v>6.0625348605398486</v>
      </c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</row>
    <row r="281" spans="1:40" ht="14.25" customHeight="1">
      <c r="A281" s="7">
        <v>70801</v>
      </c>
      <c r="B281" s="8" t="s">
        <v>27</v>
      </c>
      <c r="C281" s="8" t="s">
        <v>367</v>
      </c>
      <c r="D281" s="8" t="s">
        <v>367</v>
      </c>
      <c r="E281" s="89">
        <v>1.8</v>
      </c>
      <c r="F281" s="90">
        <v>193.6</v>
      </c>
      <c r="G281" s="75">
        <f t="shared" ref="G281:G299" si="59">E281/$R$8</f>
        <v>3.2062700391877453E-3</v>
      </c>
      <c r="H281" s="78">
        <f t="shared" si="56"/>
        <v>5.3531884574278599E-2</v>
      </c>
      <c r="I281" s="75">
        <f t="shared" ref="I281:I299" si="60">F281/$S$8</f>
        <v>4.5965658714481076E-3</v>
      </c>
      <c r="J281" s="79">
        <f t="shared" si="58"/>
        <v>9.5930329737121998</v>
      </c>
      <c r="K281" s="79">
        <f t="shared" si="54"/>
        <v>5.5802877693605444</v>
      </c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</row>
    <row r="282" spans="1:40" ht="14.25" customHeight="1">
      <c r="A282" s="7">
        <v>70802</v>
      </c>
      <c r="B282" s="8" t="s">
        <v>27</v>
      </c>
      <c r="C282" s="8" t="s">
        <v>367</v>
      </c>
      <c r="D282" s="8" t="s">
        <v>368</v>
      </c>
      <c r="E282" s="89">
        <v>0.4</v>
      </c>
      <c r="F282" s="90">
        <v>22.4</v>
      </c>
      <c r="G282" s="75">
        <f t="shared" si="59"/>
        <v>7.125044531528323E-4</v>
      </c>
      <c r="H282" s="78">
        <f t="shared" si="56"/>
        <v>1.1895974349839689E-2</v>
      </c>
      <c r="I282" s="75">
        <f t="shared" si="60"/>
        <v>5.3183406777085546E-4</v>
      </c>
      <c r="J282" s="79">
        <f t="shared" si="58"/>
        <v>1.1099376994377754</v>
      </c>
      <c r="K282" s="79">
        <f t="shared" si="54"/>
        <v>10.717695557025804</v>
      </c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</row>
    <row r="283" spans="1:40" ht="14.25" customHeight="1">
      <c r="A283" s="7">
        <v>70803</v>
      </c>
      <c r="B283" s="8" t="s">
        <v>27</v>
      </c>
      <c r="C283" s="8" t="s">
        <v>367</v>
      </c>
      <c r="D283" s="8" t="s">
        <v>369</v>
      </c>
      <c r="E283" s="89">
        <v>0.2</v>
      </c>
      <c r="F283" s="90">
        <v>30.8</v>
      </c>
      <c r="G283" s="75">
        <f t="shared" si="59"/>
        <v>3.5625222657641615E-4</v>
      </c>
      <c r="H283" s="78">
        <f t="shared" si="56"/>
        <v>5.9479871749198443E-3</v>
      </c>
      <c r="I283" s="75">
        <f t="shared" si="60"/>
        <v>7.3127184318492631E-4</v>
      </c>
      <c r="J283" s="79">
        <f t="shared" si="58"/>
        <v>1.5261643367269413</v>
      </c>
      <c r="K283" s="79">
        <f t="shared" si="54"/>
        <v>3.897343838918474</v>
      </c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</row>
    <row r="284" spans="1:40" ht="14.25" customHeight="1">
      <c r="A284" s="7">
        <v>70804</v>
      </c>
      <c r="B284" s="8" t="s">
        <v>27</v>
      </c>
      <c r="C284" s="8" t="s">
        <v>367</v>
      </c>
      <c r="D284" s="8" t="s">
        <v>370</v>
      </c>
      <c r="E284" s="89">
        <v>0</v>
      </c>
      <c r="F284" s="90">
        <v>18.2</v>
      </c>
      <c r="G284" s="75">
        <f t="shared" si="59"/>
        <v>0</v>
      </c>
      <c r="H284" s="78">
        <f t="shared" si="56"/>
        <v>0</v>
      </c>
      <c r="I284" s="75">
        <f t="shared" si="60"/>
        <v>4.3211518006382003E-4</v>
      </c>
      <c r="J284" s="79">
        <f t="shared" si="58"/>
        <v>0.90182438079319238</v>
      </c>
      <c r="K284" s="79">
        <f t="shared" si="54"/>
        <v>0</v>
      </c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</row>
    <row r="285" spans="1:40" ht="14.25" customHeight="1">
      <c r="A285" s="7">
        <v>70805</v>
      </c>
      <c r="B285" s="8" t="s">
        <v>27</v>
      </c>
      <c r="C285" s="8" t="s">
        <v>367</v>
      </c>
      <c r="D285" s="8" t="s">
        <v>371</v>
      </c>
      <c r="E285" s="89">
        <v>0.4</v>
      </c>
      <c r="F285" s="90">
        <v>23.2</v>
      </c>
      <c r="G285" s="75">
        <f t="shared" si="59"/>
        <v>7.125044531528323E-4</v>
      </c>
      <c r="H285" s="78">
        <f t="shared" si="56"/>
        <v>1.1895974349839689E-2</v>
      </c>
      <c r="I285" s="75">
        <f t="shared" si="60"/>
        <v>5.5082814161981457E-4</v>
      </c>
      <c r="J285" s="79">
        <f t="shared" si="58"/>
        <v>1.149578331560553</v>
      </c>
      <c r="K285" s="79">
        <f t="shared" si="54"/>
        <v>10.348119848162847</v>
      </c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</row>
    <row r="286" spans="1:40" ht="14.25" customHeight="1">
      <c r="A286" s="7">
        <v>70901</v>
      </c>
      <c r="B286" s="8" t="s">
        <v>27</v>
      </c>
      <c r="C286" s="8" t="s">
        <v>372</v>
      </c>
      <c r="D286" s="8" t="s">
        <v>373</v>
      </c>
      <c r="E286" s="89">
        <v>2.8</v>
      </c>
      <c r="F286" s="90">
        <v>142</v>
      </c>
      <c r="G286" s="75">
        <f t="shared" si="59"/>
        <v>4.9875311720698253E-3</v>
      </c>
      <c r="H286" s="78">
        <f t="shared" si="56"/>
        <v>8.3271820448877806E-2</v>
      </c>
      <c r="I286" s="75">
        <f t="shared" si="60"/>
        <v>3.3714481081902445E-3</v>
      </c>
      <c r="J286" s="79">
        <f t="shared" si="58"/>
        <v>7.03621220179304</v>
      </c>
      <c r="K286" s="79">
        <f t="shared" si="54"/>
        <v>11.834751150293283</v>
      </c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</row>
    <row r="287" spans="1:40" ht="14.25" customHeight="1">
      <c r="A287" s="7">
        <v>70902</v>
      </c>
      <c r="B287" s="8" t="s">
        <v>27</v>
      </c>
      <c r="C287" s="8" t="s">
        <v>372</v>
      </c>
      <c r="D287" s="8" t="s">
        <v>374</v>
      </c>
      <c r="E287" s="89">
        <v>1.8</v>
      </c>
      <c r="F287" s="90">
        <v>149.19999999999999</v>
      </c>
      <c r="G287" s="75">
        <f t="shared" si="59"/>
        <v>3.2062700391877453E-3</v>
      </c>
      <c r="H287" s="78">
        <f t="shared" si="56"/>
        <v>5.3531884574278599E-2</v>
      </c>
      <c r="I287" s="75">
        <f t="shared" si="60"/>
        <v>3.5423947728308765E-3</v>
      </c>
      <c r="J287" s="79">
        <f t="shared" si="58"/>
        <v>7.392977890898039</v>
      </c>
      <c r="K287" s="79">
        <f t="shared" si="54"/>
        <v>7.2409095988485337</v>
      </c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</row>
    <row r="288" spans="1:40" ht="14.25" customHeight="1">
      <c r="A288" s="7">
        <v>70903</v>
      </c>
      <c r="B288" s="8" t="s">
        <v>27</v>
      </c>
      <c r="C288" s="8" t="s">
        <v>372</v>
      </c>
      <c r="D288" s="8" t="s">
        <v>375</v>
      </c>
      <c r="E288" s="89">
        <v>2.6</v>
      </c>
      <c r="F288" s="90">
        <v>185.8</v>
      </c>
      <c r="G288" s="75">
        <f t="shared" si="59"/>
        <v>4.6312789454934101E-3</v>
      </c>
      <c r="H288" s="78">
        <f t="shared" si="56"/>
        <v>7.7323833273957976E-2</v>
      </c>
      <c r="I288" s="75">
        <f t="shared" si="60"/>
        <v>4.4113736514207564E-3</v>
      </c>
      <c r="J288" s="79">
        <f t="shared" si="58"/>
        <v>9.206536810515118</v>
      </c>
      <c r="K288" s="79">
        <f t="shared" si="54"/>
        <v>8.3987969488856695</v>
      </c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</row>
    <row r="289" spans="1:40" ht="14.25" customHeight="1">
      <c r="A289" s="7">
        <v>70904</v>
      </c>
      <c r="B289" s="8" t="s">
        <v>27</v>
      </c>
      <c r="C289" s="8" t="s">
        <v>372</v>
      </c>
      <c r="D289" s="8" t="s">
        <v>376</v>
      </c>
      <c r="E289" s="89">
        <v>0.4</v>
      </c>
      <c r="F289" s="90">
        <v>30.2</v>
      </c>
      <c r="G289" s="75">
        <f t="shared" si="59"/>
        <v>7.125044531528323E-4</v>
      </c>
      <c r="H289" s="78">
        <f t="shared" si="56"/>
        <v>1.1895974349839689E-2</v>
      </c>
      <c r="I289" s="75">
        <f t="shared" si="60"/>
        <v>7.1702628779820687E-4</v>
      </c>
      <c r="J289" s="79">
        <f t="shared" si="58"/>
        <v>1.4964338626348577</v>
      </c>
      <c r="K289" s="79">
        <f t="shared" si="54"/>
        <v>7.9495490224297374</v>
      </c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</row>
    <row r="290" spans="1:40" ht="14.25" customHeight="1">
      <c r="A290" s="7">
        <v>71001</v>
      </c>
      <c r="B290" s="8" t="s">
        <v>27</v>
      </c>
      <c r="C290" s="8" t="s">
        <v>377</v>
      </c>
      <c r="D290" s="8" t="s">
        <v>378</v>
      </c>
      <c r="E290" s="89">
        <v>22.6</v>
      </c>
      <c r="F290" s="90">
        <v>1821.6</v>
      </c>
      <c r="G290" s="75">
        <f t="shared" si="59"/>
        <v>4.0256501603135021E-2</v>
      </c>
      <c r="H290" s="78">
        <f t="shared" si="56"/>
        <v>0.67212255076594241</v>
      </c>
      <c r="I290" s="75">
        <f t="shared" si="60"/>
        <v>4.3249506154079922E-2</v>
      </c>
      <c r="J290" s="79">
        <f t="shared" si="58"/>
        <v>90.261719343564792</v>
      </c>
      <c r="K290" s="79">
        <f t="shared" si="54"/>
        <v>7.4463743395761197</v>
      </c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</row>
    <row r="291" spans="1:40" ht="14.25" customHeight="1">
      <c r="A291" s="7">
        <v>71002</v>
      </c>
      <c r="B291" s="8" t="s">
        <v>27</v>
      </c>
      <c r="C291" s="8" t="s">
        <v>377</v>
      </c>
      <c r="D291" s="8" t="s">
        <v>379</v>
      </c>
      <c r="E291" s="89">
        <v>4</v>
      </c>
      <c r="F291" s="90">
        <v>256.60000000000002</v>
      </c>
      <c r="G291" s="75">
        <f t="shared" si="59"/>
        <v>7.1250445315283227E-3</v>
      </c>
      <c r="H291" s="78">
        <f t="shared" si="56"/>
        <v>0.11895974349839689</v>
      </c>
      <c r="I291" s="75">
        <f t="shared" si="60"/>
        <v>6.0923491870536394E-3</v>
      </c>
      <c r="J291" s="79">
        <f t="shared" si="58"/>
        <v>12.714732753380945</v>
      </c>
      <c r="K291" s="79">
        <f t="shared" si="54"/>
        <v>9.3560553576530801</v>
      </c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</row>
    <row r="292" spans="1:40" ht="14.25" customHeight="1">
      <c r="A292" s="7">
        <v>71003</v>
      </c>
      <c r="B292" s="8" t="s">
        <v>27</v>
      </c>
      <c r="C292" s="8" t="s">
        <v>377</v>
      </c>
      <c r="D292" s="8" t="s">
        <v>380</v>
      </c>
      <c r="E292" s="89">
        <v>6.6</v>
      </c>
      <c r="F292" s="90">
        <v>345.8</v>
      </c>
      <c r="G292" s="75">
        <f t="shared" si="59"/>
        <v>1.1756323477021732E-2</v>
      </c>
      <c r="H292" s="78">
        <f t="shared" si="56"/>
        <v>0.19628357677235486</v>
      </c>
      <c r="I292" s="75">
        <f t="shared" si="60"/>
        <v>8.2101884212125824E-3</v>
      </c>
      <c r="J292" s="79">
        <f t="shared" si="58"/>
        <v>17.134663235070658</v>
      </c>
      <c r="K292" s="79">
        <f t="shared" si="54"/>
        <v>11.455350716821103</v>
      </c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</row>
    <row r="293" spans="1:40" ht="14.25" customHeight="1">
      <c r="A293" s="7">
        <v>71004</v>
      </c>
      <c r="B293" s="8" t="s">
        <v>27</v>
      </c>
      <c r="C293" s="8" t="s">
        <v>377</v>
      </c>
      <c r="D293" s="8" t="s">
        <v>381</v>
      </c>
      <c r="E293" s="89">
        <v>4</v>
      </c>
      <c r="F293" s="90">
        <v>198.2</v>
      </c>
      <c r="G293" s="75">
        <f t="shared" si="59"/>
        <v>7.1250445315283227E-3</v>
      </c>
      <c r="H293" s="78">
        <f t="shared" si="56"/>
        <v>0.11895974349839689</v>
      </c>
      <c r="I293" s="75">
        <f t="shared" si="60"/>
        <v>4.7057817960796224E-3</v>
      </c>
      <c r="J293" s="79">
        <f t="shared" si="58"/>
        <v>9.8209666084181713</v>
      </c>
      <c r="K293" s="79">
        <f t="shared" si="54"/>
        <v>12.112834534681033</v>
      </c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</row>
    <row r="294" spans="1:40" ht="14.25" customHeight="1">
      <c r="A294" s="7">
        <v>71005</v>
      </c>
      <c r="B294" s="8" t="s">
        <v>27</v>
      </c>
      <c r="C294" s="8" t="s">
        <v>377</v>
      </c>
      <c r="D294" s="8" t="s">
        <v>382</v>
      </c>
      <c r="E294" s="89">
        <v>1.8</v>
      </c>
      <c r="F294" s="90">
        <v>195.8</v>
      </c>
      <c r="G294" s="75">
        <f t="shared" si="59"/>
        <v>3.2062700391877453E-3</v>
      </c>
      <c r="H294" s="78">
        <f t="shared" si="56"/>
        <v>5.3531884574278599E-2</v>
      </c>
      <c r="I294" s="75">
        <f t="shared" si="60"/>
        <v>4.6487995745327455E-3</v>
      </c>
      <c r="J294" s="79">
        <f t="shared" si="58"/>
        <v>9.7020447120498403</v>
      </c>
      <c r="K294" s="79">
        <f t="shared" si="54"/>
        <v>5.5175879067834588</v>
      </c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</row>
    <row r="295" spans="1:40" ht="14.25" customHeight="1">
      <c r="A295" s="7">
        <v>71101</v>
      </c>
      <c r="B295" s="8" t="s">
        <v>27</v>
      </c>
      <c r="C295" s="8" t="s">
        <v>383</v>
      </c>
      <c r="D295" s="8" t="s">
        <v>384</v>
      </c>
      <c r="E295" s="89">
        <v>11.8</v>
      </c>
      <c r="F295" s="90">
        <v>484.6</v>
      </c>
      <c r="G295" s="75">
        <f t="shared" si="59"/>
        <v>2.1018881368008554E-2</v>
      </c>
      <c r="H295" s="78">
        <f t="shared" si="56"/>
        <v>0.35093124332027087</v>
      </c>
      <c r="I295" s="75">
        <f t="shared" si="60"/>
        <v>1.150566023400699E-2</v>
      </c>
      <c r="J295" s="79">
        <f t="shared" si="58"/>
        <v>24.012312908372589</v>
      </c>
      <c r="K295" s="79">
        <f t="shared" si="54"/>
        <v>14.614637276274562</v>
      </c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</row>
    <row r="296" spans="1:40" ht="14.25" customHeight="1">
      <c r="A296" s="7">
        <v>71102</v>
      </c>
      <c r="B296" s="8" t="s">
        <v>27</v>
      </c>
      <c r="C296" s="8" t="s">
        <v>383</v>
      </c>
      <c r="D296" s="8" t="s">
        <v>385</v>
      </c>
      <c r="E296" s="89">
        <v>8.6</v>
      </c>
      <c r="F296" s="90">
        <v>225.4</v>
      </c>
      <c r="G296" s="75">
        <f t="shared" si="59"/>
        <v>1.5318845742785893E-2</v>
      </c>
      <c r="H296" s="78">
        <f t="shared" si="56"/>
        <v>0.2557634485215533</v>
      </c>
      <c r="I296" s="75">
        <f t="shared" si="60"/>
        <v>5.3515803069442329E-3</v>
      </c>
      <c r="J296" s="79">
        <f t="shared" si="58"/>
        <v>11.168748100592614</v>
      </c>
      <c r="K296" s="79">
        <f t="shared" si="54"/>
        <v>22.899920941719735</v>
      </c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</row>
    <row r="297" spans="1:40" ht="14.25" customHeight="1">
      <c r="A297" s="7">
        <v>71103</v>
      </c>
      <c r="B297" s="8" t="s">
        <v>27</v>
      </c>
      <c r="C297" s="8" t="s">
        <v>383</v>
      </c>
      <c r="D297" s="8" t="s">
        <v>386</v>
      </c>
      <c r="E297" s="89">
        <v>1.6</v>
      </c>
      <c r="F297" s="90">
        <v>130.19999999999999</v>
      </c>
      <c r="G297" s="75">
        <f t="shared" si="59"/>
        <v>2.8500178126113292E-3</v>
      </c>
      <c r="H297" s="78">
        <f t="shared" si="56"/>
        <v>4.7583897399358754E-2</v>
      </c>
      <c r="I297" s="75">
        <f t="shared" si="60"/>
        <v>3.0912855189180973E-3</v>
      </c>
      <c r="J297" s="79">
        <f t="shared" si="58"/>
        <v>6.4515128779820694</v>
      </c>
      <c r="K297" s="79">
        <f t="shared" si="54"/>
        <v>7.3756184478457154</v>
      </c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</row>
    <row r="298" spans="1:40" ht="14.25" customHeight="1">
      <c r="A298" s="7">
        <v>71104</v>
      </c>
      <c r="B298" s="8" t="s">
        <v>27</v>
      </c>
      <c r="C298" s="8" t="s">
        <v>383</v>
      </c>
      <c r="D298" s="8" t="s">
        <v>387</v>
      </c>
      <c r="E298" s="89">
        <v>12</v>
      </c>
      <c r="F298" s="90">
        <v>692.4</v>
      </c>
      <c r="G298" s="75">
        <f t="shared" si="59"/>
        <v>2.1375133594584966E-2</v>
      </c>
      <c r="H298" s="78">
        <f t="shared" si="56"/>
        <v>0.3568792304951906</v>
      </c>
      <c r="I298" s="75">
        <f t="shared" si="60"/>
        <v>1.6439370916274121E-2</v>
      </c>
      <c r="J298" s="79">
        <f t="shared" si="58"/>
        <v>34.308967102264091</v>
      </c>
      <c r="K298" s="79">
        <f t="shared" si="54"/>
        <v>10.401922897633362</v>
      </c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</row>
    <row r="299" spans="1:40" ht="14.25" customHeight="1">
      <c r="A299" s="7">
        <v>71105</v>
      </c>
      <c r="B299" s="8" t="s">
        <v>27</v>
      </c>
      <c r="C299" s="8" t="s">
        <v>383</v>
      </c>
      <c r="D299" s="8" t="s">
        <v>388</v>
      </c>
      <c r="E299" s="89">
        <v>1.6</v>
      </c>
      <c r="F299" s="90">
        <v>101.4</v>
      </c>
      <c r="G299" s="75">
        <f t="shared" si="59"/>
        <v>2.8500178126113292E-3</v>
      </c>
      <c r="H299" s="78">
        <f t="shared" si="56"/>
        <v>4.7583897399358754E-2</v>
      </c>
      <c r="I299" s="75">
        <f t="shared" si="60"/>
        <v>2.407498860355569E-3</v>
      </c>
      <c r="J299" s="79">
        <f t="shared" si="58"/>
        <v>5.0244501215620723</v>
      </c>
      <c r="K299" s="79">
        <f t="shared" si="54"/>
        <v>9.4704686578847355</v>
      </c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</row>
    <row r="300" spans="1:40" ht="14.25" customHeight="1">
      <c r="A300" s="7">
        <v>71106</v>
      </c>
      <c r="B300" s="8" t="s">
        <v>27</v>
      </c>
      <c r="C300" s="8" t="s">
        <v>383</v>
      </c>
      <c r="D300" s="8" t="s">
        <v>389</v>
      </c>
      <c r="E300" s="89">
        <v>6.8</v>
      </c>
      <c r="F300" s="90">
        <v>407</v>
      </c>
      <c r="G300" s="75">
        <f>E300/$R$8</f>
        <v>1.2112575703598147E-2</v>
      </c>
      <c r="H300" s="78">
        <f>$S$23*G300</f>
        <v>0.20223156394727468</v>
      </c>
      <c r="I300" s="75">
        <f>F300/$S$8</f>
        <v>9.6632350706579544E-3</v>
      </c>
      <c r="J300" s="79">
        <f>I300*$U$23</f>
        <v>20.167171592463152</v>
      </c>
      <c r="K300" s="79">
        <f t="shared" si="54"/>
        <v>10.027760363919965</v>
      </c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</row>
    <row r="301" spans="1:40" ht="14.25" customHeight="1">
      <c r="A301" s="7">
        <v>71201</v>
      </c>
      <c r="B301" s="8" t="s">
        <v>27</v>
      </c>
      <c r="C301" s="8" t="s">
        <v>390</v>
      </c>
      <c r="D301" s="8" t="s">
        <v>391</v>
      </c>
      <c r="E301" s="89">
        <v>3.2</v>
      </c>
      <c r="F301" s="90">
        <v>252.4</v>
      </c>
      <c r="G301" s="75">
        <f t="shared" ref="G301:G309" si="61">E301/$R$8</f>
        <v>5.7000356252226584E-3</v>
      </c>
      <c r="H301" s="78">
        <f t="shared" si="56"/>
        <v>9.5167794798717509E-2</v>
      </c>
      <c r="I301" s="75">
        <f t="shared" ref="I301:I309" si="62">F301/$S$8</f>
        <v>5.9926302993466036E-3</v>
      </c>
      <c r="J301" s="79">
        <f t="shared" si="58"/>
        <v>12.506619434736361</v>
      </c>
      <c r="K301" s="79">
        <f t="shared" si="54"/>
        <v>7.6093939929438363</v>
      </c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</row>
    <row r="302" spans="1:40" ht="14.25" customHeight="1">
      <c r="A302" s="7">
        <v>71301</v>
      </c>
      <c r="B302" s="8" t="s">
        <v>27</v>
      </c>
      <c r="C302" s="8" t="s">
        <v>392</v>
      </c>
      <c r="D302" s="8" t="s">
        <v>393</v>
      </c>
      <c r="E302" s="89">
        <v>6</v>
      </c>
      <c r="F302" s="90">
        <v>245.6</v>
      </c>
      <c r="G302" s="75">
        <f t="shared" si="61"/>
        <v>1.0687566797292483E-2</v>
      </c>
      <c r="H302" s="78">
        <f t="shared" si="56"/>
        <v>0.1784396152475953</v>
      </c>
      <c r="I302" s="75">
        <f t="shared" si="62"/>
        <v>5.831180671630451E-3</v>
      </c>
      <c r="J302" s="79">
        <f t="shared" si="58"/>
        <v>12.169674061692751</v>
      </c>
      <c r="K302" s="79">
        <f t="shared" si="54"/>
        <v>14.662645387462012</v>
      </c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</row>
    <row r="303" spans="1:40" ht="14.25" customHeight="1">
      <c r="A303" s="7">
        <v>71302</v>
      </c>
      <c r="B303" s="8" t="s">
        <v>27</v>
      </c>
      <c r="C303" s="8" t="s">
        <v>392</v>
      </c>
      <c r="D303" s="8" t="s">
        <v>394</v>
      </c>
      <c r="E303" s="89">
        <v>1</v>
      </c>
      <c r="F303" s="90">
        <v>85.8</v>
      </c>
      <c r="G303" s="75">
        <f t="shared" si="61"/>
        <v>1.7812611328820807E-3</v>
      </c>
      <c r="H303" s="78">
        <f t="shared" si="56"/>
        <v>2.9739935874599221E-2</v>
      </c>
      <c r="I303" s="75">
        <f t="shared" si="62"/>
        <v>2.0371144203008662E-3</v>
      </c>
      <c r="J303" s="79">
        <f t="shared" si="58"/>
        <v>4.2514577951679078</v>
      </c>
      <c r="K303" s="79">
        <f t="shared" si="54"/>
        <v>6.9952325313921335</v>
      </c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</row>
    <row r="304" spans="1:40" ht="14.25" customHeight="1">
      <c r="A304" s="7">
        <v>71401</v>
      </c>
      <c r="B304" s="8" t="s">
        <v>27</v>
      </c>
      <c r="C304" s="8" t="s">
        <v>395</v>
      </c>
      <c r="D304" s="8" t="s">
        <v>396</v>
      </c>
      <c r="E304" s="89">
        <v>3.6</v>
      </c>
      <c r="F304" s="90">
        <v>219.2</v>
      </c>
      <c r="G304" s="75">
        <f t="shared" si="61"/>
        <v>6.4125400783754906E-3</v>
      </c>
      <c r="H304" s="78">
        <f t="shared" si="56"/>
        <v>0.1070637691485572</v>
      </c>
      <c r="I304" s="75">
        <f t="shared" si="62"/>
        <v>5.2043762346148E-3</v>
      </c>
      <c r="J304" s="79">
        <f t="shared" si="58"/>
        <v>10.861533201641087</v>
      </c>
      <c r="K304" s="79">
        <f t="shared" si="54"/>
        <v>9.8571506582865069</v>
      </c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</row>
    <row r="305" spans="1:40" ht="14.25" customHeight="1">
      <c r="A305" s="7">
        <v>71402</v>
      </c>
      <c r="B305" s="8" t="s">
        <v>27</v>
      </c>
      <c r="C305" s="8" t="s">
        <v>395</v>
      </c>
      <c r="D305" s="8" t="s">
        <v>397</v>
      </c>
      <c r="E305" s="89">
        <v>3.2</v>
      </c>
      <c r="F305" s="90">
        <v>243</v>
      </c>
      <c r="G305" s="75">
        <f t="shared" si="61"/>
        <v>5.7000356252226584E-3</v>
      </c>
      <c r="H305" s="78">
        <f t="shared" si="56"/>
        <v>9.5167794798717509E-2</v>
      </c>
      <c r="I305" s="75">
        <f t="shared" si="62"/>
        <v>5.7694499316213342E-3</v>
      </c>
      <c r="J305" s="79">
        <f t="shared" si="58"/>
        <v>12.040842007293724</v>
      </c>
      <c r="K305" s="79">
        <f t="shared" si="54"/>
        <v>7.9037491515186185</v>
      </c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</row>
    <row r="306" spans="1:40" ht="14.25" customHeight="1">
      <c r="A306" s="7">
        <v>71403</v>
      </c>
      <c r="B306" s="8" t="s">
        <v>27</v>
      </c>
      <c r="C306" s="8" t="s">
        <v>395</v>
      </c>
      <c r="D306" s="8" t="s">
        <v>398</v>
      </c>
      <c r="E306" s="89">
        <v>3.6</v>
      </c>
      <c r="F306" s="90">
        <v>128.80000000000001</v>
      </c>
      <c r="G306" s="75">
        <f t="shared" si="61"/>
        <v>6.4125400783754906E-3</v>
      </c>
      <c r="H306" s="78">
        <f t="shared" si="56"/>
        <v>0.1070637691485572</v>
      </c>
      <c r="I306" s="75">
        <f t="shared" si="62"/>
        <v>3.0580458896824194E-3</v>
      </c>
      <c r="J306" s="79">
        <f t="shared" si="58"/>
        <v>6.3821417717672091</v>
      </c>
      <c r="K306" s="79">
        <f t="shared" si="54"/>
        <v>16.775523480562128</v>
      </c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</row>
    <row r="307" spans="1:40" ht="14.25" customHeight="1">
      <c r="A307" s="7">
        <v>71501</v>
      </c>
      <c r="B307" s="8" t="s">
        <v>27</v>
      </c>
      <c r="C307" s="8" t="s">
        <v>399</v>
      </c>
      <c r="D307" s="8" t="s">
        <v>400</v>
      </c>
      <c r="E307" s="89">
        <v>12.2</v>
      </c>
      <c r="F307" s="90">
        <v>524.79999999999995</v>
      </c>
      <c r="G307" s="75">
        <f t="shared" si="61"/>
        <v>2.1731385821161381E-2</v>
      </c>
      <c r="H307" s="78">
        <f t="shared" si="56"/>
        <v>0.36282721767011045</v>
      </c>
      <c r="I307" s="75">
        <f t="shared" si="62"/>
        <v>1.2460112444917184E-2</v>
      </c>
      <c r="J307" s="79">
        <f t="shared" si="58"/>
        <v>26.004254672542164</v>
      </c>
      <c r="K307" s="79">
        <f t="shared" si="54"/>
        <v>13.952609764786642</v>
      </c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</row>
    <row r="308" spans="1:40" ht="14.25" customHeight="1">
      <c r="A308" s="7">
        <v>71502</v>
      </c>
      <c r="B308" s="8" t="s">
        <v>27</v>
      </c>
      <c r="C308" s="8" t="s">
        <v>399</v>
      </c>
      <c r="D308" s="8" t="s">
        <v>401</v>
      </c>
      <c r="E308" s="89">
        <v>4.4000000000000004</v>
      </c>
      <c r="F308" s="90">
        <v>97.6</v>
      </c>
      <c r="G308" s="75">
        <f t="shared" si="61"/>
        <v>7.8375489846811558E-3</v>
      </c>
      <c r="H308" s="78">
        <f t="shared" si="56"/>
        <v>0.1308557178482366</v>
      </c>
      <c r="I308" s="75">
        <f t="shared" si="62"/>
        <v>2.3172770095730129E-3</v>
      </c>
      <c r="J308" s="79">
        <f t="shared" si="58"/>
        <v>4.8361571189788783</v>
      </c>
      <c r="K308" s="79">
        <f t="shared" ref="K308:K344" si="63">1000*H308/J308</f>
        <v>27.057788783311054</v>
      </c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</row>
    <row r="309" spans="1:40" ht="14.25" customHeight="1">
      <c r="A309" s="7">
        <v>71503</v>
      </c>
      <c r="B309" s="8" t="s">
        <v>27</v>
      </c>
      <c r="C309" s="8" t="s">
        <v>399</v>
      </c>
      <c r="D309" s="8" t="s">
        <v>332</v>
      </c>
      <c r="E309" s="89">
        <v>4</v>
      </c>
      <c r="F309" s="90">
        <v>233.4</v>
      </c>
      <c r="G309" s="75">
        <f t="shared" si="61"/>
        <v>7.1250445315283227E-3</v>
      </c>
      <c r="H309" s="78">
        <f t="shared" si="56"/>
        <v>0.11895974349839689</v>
      </c>
      <c r="I309" s="75">
        <f t="shared" si="62"/>
        <v>5.5415210454338249E-3</v>
      </c>
      <c r="J309" s="79">
        <f t="shared" si="58"/>
        <v>11.565154421820392</v>
      </c>
      <c r="K309" s="79">
        <f t="shared" si="63"/>
        <v>10.286048863640875</v>
      </c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</row>
    <row r="310" spans="1:40" ht="14.25" customHeight="1">
      <c r="A310" s="7">
        <v>80101</v>
      </c>
      <c r="B310" s="8" t="s">
        <v>29</v>
      </c>
      <c r="C310" s="8" t="s">
        <v>164</v>
      </c>
      <c r="D310" s="8" t="s">
        <v>402</v>
      </c>
      <c r="E310" s="89">
        <v>21.4</v>
      </c>
      <c r="F310" s="90">
        <v>1736.2</v>
      </c>
      <c r="G310" s="75">
        <f>E310/$R$9</f>
        <v>0.16537867078825347</v>
      </c>
      <c r="H310" s="78">
        <f>$S$24*G310</f>
        <v>1.3137681607418856</v>
      </c>
      <c r="I310" s="75">
        <f>F310/$S$9</f>
        <v>0.2398132545097931</v>
      </c>
      <c r="J310" s="79">
        <f>I310*$U$24</f>
        <v>79.378187242741518</v>
      </c>
      <c r="K310" s="79">
        <f t="shared" si="63"/>
        <v>16.550745316522946</v>
      </c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</row>
    <row r="311" spans="1:40" ht="14.25" customHeight="1">
      <c r="A311" s="7">
        <v>80102</v>
      </c>
      <c r="B311" s="8" t="s">
        <v>29</v>
      </c>
      <c r="C311" s="8" t="s">
        <v>164</v>
      </c>
      <c r="D311" s="8" t="s">
        <v>385</v>
      </c>
      <c r="E311" s="89">
        <v>2.2000000000000002</v>
      </c>
      <c r="F311" s="90">
        <v>114</v>
      </c>
      <c r="G311" s="75">
        <f t="shared" ref="G311:G329" si="64">E311/$R$9</f>
        <v>1.7001545595054096E-2</v>
      </c>
      <c r="H311" s="78">
        <f t="shared" ref="H311:H329" si="65">$S$24*G311</f>
        <v>0.13506027820710975</v>
      </c>
      <c r="I311" s="75">
        <f t="shared" ref="I311:I329" si="66">F311/$S$9</f>
        <v>1.5746291334014752E-2</v>
      </c>
      <c r="J311" s="79">
        <f t="shared" ref="J311:J329" si="67">I311*$U$24</f>
        <v>5.212022431558883</v>
      </c>
      <c r="K311" s="79">
        <f t="shared" si="63"/>
        <v>25.913218905067925</v>
      </c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</row>
    <row r="312" spans="1:40" ht="14.25" customHeight="1">
      <c r="A312" s="7">
        <v>80201</v>
      </c>
      <c r="B312" s="8" t="s">
        <v>29</v>
      </c>
      <c r="C312" s="8" t="s">
        <v>403</v>
      </c>
      <c r="D312" s="8" t="s">
        <v>404</v>
      </c>
      <c r="E312" s="89">
        <v>31.6</v>
      </c>
      <c r="F312" s="90">
        <v>1729.2</v>
      </c>
      <c r="G312" s="75">
        <f t="shared" si="64"/>
        <v>0.24420401854714066</v>
      </c>
      <c r="H312" s="78">
        <f t="shared" si="65"/>
        <v>1.9399567233384853</v>
      </c>
      <c r="I312" s="75">
        <f t="shared" si="66"/>
        <v>0.23884637697173955</v>
      </c>
      <c r="J312" s="79">
        <f t="shared" si="67"/>
        <v>79.058150777645793</v>
      </c>
      <c r="K312" s="79">
        <f t="shared" si="63"/>
        <v>24.538351887267019</v>
      </c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</row>
    <row r="313" spans="1:40" ht="14.25" customHeight="1">
      <c r="A313" s="7">
        <v>80202</v>
      </c>
      <c r="B313" s="8" t="s">
        <v>29</v>
      </c>
      <c r="C313" s="8" t="s">
        <v>403</v>
      </c>
      <c r="D313" s="8" t="s">
        <v>405</v>
      </c>
      <c r="E313" s="89">
        <v>8.8000000000000007</v>
      </c>
      <c r="F313" s="90">
        <v>594.20000000000005</v>
      </c>
      <c r="G313" s="75">
        <f t="shared" si="64"/>
        <v>6.8006182380216385E-2</v>
      </c>
      <c r="H313" s="78">
        <f t="shared" si="65"/>
        <v>0.54024111282843901</v>
      </c>
      <c r="I313" s="75">
        <f t="shared" si="66"/>
        <v>8.2074090444487421E-2</v>
      </c>
      <c r="J313" s="79">
        <f t="shared" si="67"/>
        <v>27.166523937125337</v>
      </c>
      <c r="K313" s="79">
        <f t="shared" si="63"/>
        <v>19.886280411832672</v>
      </c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</row>
    <row r="314" spans="1:40" ht="14.25" customHeight="1">
      <c r="A314" s="7">
        <v>80301</v>
      </c>
      <c r="B314" s="8" t="s">
        <v>29</v>
      </c>
      <c r="C314" s="8" t="s">
        <v>406</v>
      </c>
      <c r="D314" s="8" t="s">
        <v>407</v>
      </c>
      <c r="E314" s="89">
        <v>4.2</v>
      </c>
      <c r="F314" s="90">
        <v>183.2</v>
      </c>
      <c r="G314" s="75">
        <f t="shared" si="64"/>
        <v>3.2457496136012363E-2</v>
      </c>
      <c r="H314" s="78">
        <f t="shared" si="65"/>
        <v>0.25784234930448219</v>
      </c>
      <c r="I314" s="75">
        <f t="shared" si="66"/>
        <v>2.5304566424486863E-2</v>
      </c>
      <c r="J314" s="79">
        <f t="shared" si="67"/>
        <v>8.3758114865051514</v>
      </c>
      <c r="K314" s="79">
        <f t="shared" si="63"/>
        <v>30.784163387620389</v>
      </c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</row>
    <row r="315" spans="1:40" ht="14.25" customHeight="1">
      <c r="A315" s="7">
        <v>80302</v>
      </c>
      <c r="B315" s="8" t="s">
        <v>29</v>
      </c>
      <c r="C315" s="8" t="s">
        <v>406</v>
      </c>
      <c r="D315" s="8" t="s">
        <v>408</v>
      </c>
      <c r="E315" s="89">
        <v>20.8</v>
      </c>
      <c r="F315" s="90">
        <v>736.2</v>
      </c>
      <c r="G315" s="75">
        <f t="shared" si="64"/>
        <v>0.160741885625966</v>
      </c>
      <c r="H315" s="78">
        <f t="shared" si="65"/>
        <v>1.276933539412674</v>
      </c>
      <c r="I315" s="75">
        <f t="shared" si="66"/>
        <v>0.10168789193071633</v>
      </c>
      <c r="J315" s="79">
        <f t="shared" si="67"/>
        <v>33.658692229067107</v>
      </c>
      <c r="K315" s="79">
        <f t="shared" si="63"/>
        <v>37.937705087363277</v>
      </c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</row>
    <row r="316" spans="1:40" ht="14.25" customHeight="1">
      <c r="A316" s="7">
        <v>80303</v>
      </c>
      <c r="B316" s="8" t="s">
        <v>29</v>
      </c>
      <c r="C316" s="8" t="s">
        <v>406</v>
      </c>
      <c r="D316" s="8" t="s">
        <v>409</v>
      </c>
      <c r="E316" s="89">
        <v>2.6</v>
      </c>
      <c r="F316" s="90">
        <v>177.8</v>
      </c>
      <c r="G316" s="75">
        <f t="shared" si="64"/>
        <v>2.009273570324575E-2</v>
      </c>
      <c r="H316" s="78">
        <f t="shared" si="65"/>
        <v>0.15961669242658424</v>
      </c>
      <c r="I316" s="75">
        <f t="shared" si="66"/>
        <v>2.4558689466559851E-2</v>
      </c>
      <c r="J316" s="79">
        <f t="shared" si="67"/>
        <v>8.1289262134313116</v>
      </c>
      <c r="K316" s="79">
        <f t="shared" si="63"/>
        <v>19.635642917123768</v>
      </c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</row>
    <row r="317" spans="1:40" ht="14.25" customHeight="1">
      <c r="A317" s="7">
        <v>80304</v>
      </c>
      <c r="B317" s="8" t="s">
        <v>29</v>
      </c>
      <c r="C317" s="8" t="s">
        <v>406</v>
      </c>
      <c r="D317" s="8" t="s">
        <v>410</v>
      </c>
      <c r="E317" s="89">
        <v>7.6</v>
      </c>
      <c r="F317" s="90">
        <v>334</v>
      </c>
      <c r="G317" s="75">
        <f t="shared" si="64"/>
        <v>5.8732612055641419E-2</v>
      </c>
      <c r="H317" s="78">
        <f t="shared" si="65"/>
        <v>0.46657187017001545</v>
      </c>
      <c r="I317" s="75">
        <f t="shared" si="66"/>
        <v>4.6133871101411643E-2</v>
      </c>
      <c r="J317" s="79">
        <f t="shared" si="67"/>
        <v>15.270311334567253</v>
      </c>
      <c r="K317" s="79">
        <f t="shared" si="63"/>
        <v>30.554181898953253</v>
      </c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</row>
    <row r="318" spans="1:40" ht="14.25" customHeight="1">
      <c r="A318" s="7">
        <v>80401</v>
      </c>
      <c r="B318" s="8" t="s">
        <v>29</v>
      </c>
      <c r="C318" s="8" t="s">
        <v>411</v>
      </c>
      <c r="D318" s="8" t="s">
        <v>412</v>
      </c>
      <c r="E318" s="89">
        <v>3.2</v>
      </c>
      <c r="F318" s="90">
        <v>282</v>
      </c>
      <c r="G318" s="75">
        <f t="shared" si="64"/>
        <v>2.472952086553323E-2</v>
      </c>
      <c r="H318" s="78">
        <f t="shared" si="65"/>
        <v>0.19645131375579597</v>
      </c>
      <c r="I318" s="75">
        <f t="shared" si="66"/>
        <v>3.8951352247299648E-2</v>
      </c>
      <c r="J318" s="79">
        <f t="shared" si="67"/>
        <v>12.892897593856183</v>
      </c>
      <c r="K318" s="79">
        <f t="shared" si="63"/>
        <v>15.237173205301062</v>
      </c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</row>
    <row r="319" spans="1:40" ht="14.25" customHeight="1">
      <c r="A319" s="7">
        <v>80402</v>
      </c>
      <c r="B319" s="8" t="s">
        <v>29</v>
      </c>
      <c r="C319" s="8" t="s">
        <v>411</v>
      </c>
      <c r="D319" s="8" t="s">
        <v>413</v>
      </c>
      <c r="E319" s="89">
        <v>1</v>
      </c>
      <c r="F319" s="90">
        <v>102</v>
      </c>
      <c r="G319" s="75">
        <f t="shared" si="64"/>
        <v>7.7279752704791345E-3</v>
      </c>
      <c r="H319" s="78">
        <f t="shared" si="65"/>
        <v>6.1391035548686246E-2</v>
      </c>
      <c r="I319" s="75">
        <f t="shared" si="66"/>
        <v>1.4088786983065831E-2</v>
      </c>
      <c r="J319" s="79">
        <f t="shared" si="67"/>
        <v>4.6633884913947901</v>
      </c>
      <c r="K319" s="79">
        <f t="shared" si="63"/>
        <v>13.164469497227021</v>
      </c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</row>
    <row r="320" spans="1:40" ht="14.25" customHeight="1">
      <c r="A320" s="7">
        <v>80501</v>
      </c>
      <c r="B320" s="8" t="s">
        <v>29</v>
      </c>
      <c r="C320" s="8" t="s">
        <v>414</v>
      </c>
      <c r="D320" s="8" t="s">
        <v>415</v>
      </c>
      <c r="E320" s="89">
        <v>8.6</v>
      </c>
      <c r="F320" s="90">
        <v>355.8</v>
      </c>
      <c r="G320" s="75">
        <f t="shared" si="64"/>
        <v>6.6460587326120549E-2</v>
      </c>
      <c r="H320" s="78">
        <f t="shared" si="65"/>
        <v>0.52796290571870164</v>
      </c>
      <c r="I320" s="75">
        <f t="shared" si="66"/>
        <v>4.9145004005635512E-2</v>
      </c>
      <c r="J320" s="79">
        <f t="shared" si="67"/>
        <v>16.266996325865353</v>
      </c>
      <c r="K320" s="79">
        <f t="shared" si="63"/>
        <v>32.456078254546213</v>
      </c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</row>
    <row r="321" spans="1:40" ht="14.25" customHeight="1">
      <c r="A321" s="7">
        <v>80601</v>
      </c>
      <c r="B321" s="8" t="s">
        <v>29</v>
      </c>
      <c r="C321" s="8" t="s">
        <v>416</v>
      </c>
      <c r="D321" s="8" t="s">
        <v>417</v>
      </c>
      <c r="E321" s="89">
        <v>1.4</v>
      </c>
      <c r="F321" s="90">
        <v>68</v>
      </c>
      <c r="G321" s="75">
        <f t="shared" si="64"/>
        <v>1.0819165378670788E-2</v>
      </c>
      <c r="H321" s="78">
        <f t="shared" si="65"/>
        <v>8.5947449768160739E-2</v>
      </c>
      <c r="I321" s="75">
        <f t="shared" si="66"/>
        <v>9.3925246553772206E-3</v>
      </c>
      <c r="J321" s="79">
        <f t="shared" si="67"/>
        <v>3.1089256609298599</v>
      </c>
      <c r="K321" s="79">
        <f t="shared" si="63"/>
        <v>27.645385944176741</v>
      </c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</row>
    <row r="322" spans="1:40" ht="14.25" customHeight="1">
      <c r="A322" s="7">
        <v>80602</v>
      </c>
      <c r="B322" s="8" t="s">
        <v>29</v>
      </c>
      <c r="C322" s="8" t="s">
        <v>416</v>
      </c>
      <c r="D322" s="8" t="s">
        <v>418</v>
      </c>
      <c r="E322" s="89">
        <v>5.2</v>
      </c>
      <c r="F322" s="90">
        <v>222.6</v>
      </c>
      <c r="G322" s="75">
        <f t="shared" si="64"/>
        <v>4.0185471406491501E-2</v>
      </c>
      <c r="H322" s="78">
        <f t="shared" si="65"/>
        <v>0.31923338485316849</v>
      </c>
      <c r="I322" s="75">
        <f t="shared" si="66"/>
        <v>3.0746705710102486E-2</v>
      </c>
      <c r="J322" s="79">
        <f t="shared" si="67"/>
        <v>10.177159590043923</v>
      </c>
      <c r="K322" s="79">
        <f t="shared" si="63"/>
        <v>31.367630823581372</v>
      </c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</row>
    <row r="323" spans="1:40" ht="14.25" customHeight="1">
      <c r="A323" s="7">
        <v>80701</v>
      </c>
      <c r="B323" s="8" t="s">
        <v>29</v>
      </c>
      <c r="C323" s="8" t="s">
        <v>419</v>
      </c>
      <c r="D323" s="8" t="s">
        <v>420</v>
      </c>
      <c r="E323" s="89">
        <v>1</v>
      </c>
      <c r="F323" s="90">
        <v>89.8</v>
      </c>
      <c r="G323" s="75">
        <f t="shared" si="64"/>
        <v>7.7279752704791345E-3</v>
      </c>
      <c r="H323" s="78">
        <f t="shared" si="65"/>
        <v>6.1391035548686246E-2</v>
      </c>
      <c r="I323" s="75">
        <f t="shared" si="66"/>
        <v>1.2403657559601093E-2</v>
      </c>
      <c r="J323" s="79">
        <f t="shared" si="67"/>
        <v>4.1056106522279618</v>
      </c>
      <c r="K323" s="79">
        <f t="shared" si="63"/>
        <v>14.952960898854746</v>
      </c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</row>
    <row r="324" spans="1:40" ht="14.25" customHeight="1">
      <c r="A324" s="7">
        <v>80702</v>
      </c>
      <c r="B324" s="8" t="s">
        <v>29</v>
      </c>
      <c r="C324" s="8" t="s">
        <v>419</v>
      </c>
      <c r="D324" s="8" t="s">
        <v>386</v>
      </c>
      <c r="E324" s="89">
        <v>1</v>
      </c>
      <c r="F324" s="90">
        <v>77</v>
      </c>
      <c r="G324" s="75">
        <f t="shared" si="64"/>
        <v>7.7279752704791345E-3</v>
      </c>
      <c r="H324" s="78">
        <f t="shared" si="65"/>
        <v>6.1391035548686246E-2</v>
      </c>
      <c r="I324" s="75">
        <f t="shared" si="66"/>
        <v>1.063565291858891E-2</v>
      </c>
      <c r="J324" s="79">
        <f t="shared" si="67"/>
        <v>3.5204011160529292</v>
      </c>
      <c r="K324" s="79">
        <f t="shared" si="63"/>
        <v>17.438647905417614</v>
      </c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</row>
    <row r="325" spans="1:40" ht="14.25" customHeight="1">
      <c r="A325" s="7">
        <v>80703</v>
      </c>
      <c r="B325" s="8" t="s">
        <v>29</v>
      </c>
      <c r="C325" s="8" t="s">
        <v>419</v>
      </c>
      <c r="D325" s="8" t="s">
        <v>421</v>
      </c>
      <c r="E325" s="89">
        <v>0</v>
      </c>
      <c r="F325" s="90">
        <v>18.399999999999999</v>
      </c>
      <c r="G325" s="75">
        <f t="shared" si="64"/>
        <v>0</v>
      </c>
      <c r="H325" s="78">
        <f t="shared" si="65"/>
        <v>0</v>
      </c>
      <c r="I325" s="75">
        <f t="shared" si="66"/>
        <v>2.5415066714550125E-3</v>
      </c>
      <c r="J325" s="79">
        <f t="shared" si="67"/>
        <v>0.84123870825160918</v>
      </c>
      <c r="K325" s="79">
        <f t="shared" si="63"/>
        <v>0</v>
      </c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</row>
    <row r="326" spans="1:40" ht="14.25" customHeight="1">
      <c r="A326" s="7">
        <v>80801</v>
      </c>
      <c r="B326" s="8" t="s">
        <v>29</v>
      </c>
      <c r="C326" s="8" t="s">
        <v>422</v>
      </c>
      <c r="D326" s="8" t="s">
        <v>423</v>
      </c>
      <c r="E326" s="89">
        <v>2.4</v>
      </c>
      <c r="F326" s="90">
        <v>182.6</v>
      </c>
      <c r="G326" s="75">
        <f t="shared" si="64"/>
        <v>1.8547140649149921E-2</v>
      </c>
      <c r="H326" s="78">
        <f t="shared" si="65"/>
        <v>0.14733848531684698</v>
      </c>
      <c r="I326" s="75">
        <f t="shared" si="66"/>
        <v>2.5221691206939418E-2</v>
      </c>
      <c r="J326" s="79">
        <f t="shared" si="67"/>
        <v>8.3483797894969474</v>
      </c>
      <c r="K326" s="79">
        <f t="shared" si="63"/>
        <v>17.648752097049147</v>
      </c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</row>
    <row r="327" spans="1:40" ht="14.25" customHeight="1">
      <c r="A327" s="7">
        <v>80802</v>
      </c>
      <c r="B327" s="8" t="s">
        <v>29</v>
      </c>
      <c r="C327" s="8" t="s">
        <v>422</v>
      </c>
      <c r="D327" s="8" t="s">
        <v>424</v>
      </c>
      <c r="E327" s="89">
        <v>1.8</v>
      </c>
      <c r="F327" s="90">
        <v>91.8</v>
      </c>
      <c r="G327" s="75">
        <f t="shared" si="64"/>
        <v>1.3910355486862442E-2</v>
      </c>
      <c r="H327" s="78">
        <f t="shared" si="65"/>
        <v>0.11050386398763525</v>
      </c>
      <c r="I327" s="75">
        <f t="shared" si="66"/>
        <v>1.2679908284759248E-2</v>
      </c>
      <c r="J327" s="79">
        <f t="shared" si="67"/>
        <v>4.197049642255311</v>
      </c>
      <c r="K327" s="79">
        <f t="shared" si="63"/>
        <v>26.328938994454042</v>
      </c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</row>
    <row r="328" spans="1:40" ht="14.25" customHeight="1">
      <c r="A328" s="7">
        <v>80803</v>
      </c>
      <c r="B328" s="8" t="s">
        <v>29</v>
      </c>
      <c r="C328" s="8" t="s">
        <v>422</v>
      </c>
      <c r="D328" s="8" t="s">
        <v>425</v>
      </c>
      <c r="E328" s="89">
        <v>0.6</v>
      </c>
      <c r="F328" s="90">
        <v>65.8</v>
      </c>
      <c r="G328" s="75">
        <f t="shared" si="64"/>
        <v>4.6367851622874804E-3</v>
      </c>
      <c r="H328" s="78">
        <f t="shared" si="65"/>
        <v>3.6834621329211746E-2</v>
      </c>
      <c r="I328" s="75">
        <f t="shared" si="66"/>
        <v>9.0886488577032517E-3</v>
      </c>
      <c r="J328" s="79">
        <f t="shared" si="67"/>
        <v>3.0083427718997764</v>
      </c>
      <c r="K328" s="79">
        <f t="shared" si="63"/>
        <v>12.244157039974066</v>
      </c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</row>
    <row r="329" spans="1:40" ht="14.25" customHeight="1">
      <c r="A329" s="19">
        <v>80901</v>
      </c>
      <c r="B329" s="8" t="s">
        <v>29</v>
      </c>
      <c r="C329" s="8"/>
      <c r="D329" s="8" t="s">
        <v>426</v>
      </c>
      <c r="E329" s="89">
        <v>4</v>
      </c>
      <c r="F329" s="91">
        <v>79.2</v>
      </c>
      <c r="G329" s="75">
        <f t="shared" si="64"/>
        <v>3.0911901081916538E-2</v>
      </c>
      <c r="H329" s="78">
        <f t="shared" si="65"/>
        <v>0.24556414219474498</v>
      </c>
      <c r="I329" s="75">
        <f t="shared" si="66"/>
        <v>1.0939528716262881E-2</v>
      </c>
      <c r="J329" s="79">
        <f t="shared" si="67"/>
        <v>3.6209840050830135</v>
      </c>
      <c r="K329" s="79">
        <f t="shared" si="63"/>
        <v>67.816964076624046</v>
      </c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</row>
    <row r="330" spans="1:40" ht="14.25" customHeight="1">
      <c r="A330" s="7">
        <v>90101</v>
      </c>
      <c r="B330" s="8" t="s">
        <v>31</v>
      </c>
      <c r="C330" s="8" t="s">
        <v>427</v>
      </c>
      <c r="D330" s="8" t="s">
        <v>428</v>
      </c>
      <c r="E330" s="89">
        <v>9.8000000000000007</v>
      </c>
      <c r="F330" s="90">
        <v>719.8</v>
      </c>
      <c r="G330" s="75">
        <f>E330/$R$10</f>
        <v>0.37404580152671757</v>
      </c>
      <c r="H330" s="78">
        <f>$S$25*G330</f>
        <v>0.39648854961832064</v>
      </c>
      <c r="I330" s="75">
        <f>F330/$S$10</f>
        <v>0.37836417157275015</v>
      </c>
      <c r="J330" s="79">
        <f>I330*$U$25</f>
        <v>40.106602186711513</v>
      </c>
      <c r="K330" s="79">
        <f t="shared" si="63"/>
        <v>9.8858673634957999</v>
      </c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</row>
    <row r="331" spans="1:40" ht="14.25" customHeight="1">
      <c r="A331" s="7">
        <v>90102</v>
      </c>
      <c r="B331" s="8" t="s">
        <v>31</v>
      </c>
      <c r="C331" s="8" t="s">
        <v>427</v>
      </c>
      <c r="D331" s="8" t="s">
        <v>429</v>
      </c>
      <c r="E331" s="89">
        <v>0.8</v>
      </c>
      <c r="F331" s="90">
        <v>125</v>
      </c>
      <c r="G331" s="75">
        <f t="shared" ref="G331:G344" si="68">E331/$R$10</f>
        <v>3.053435114503817E-2</v>
      </c>
      <c r="H331" s="78">
        <f t="shared" ref="H331:H344" si="69">$S$25*G331</f>
        <v>3.236641221374046E-2</v>
      </c>
      <c r="I331" s="75">
        <f t="shared" ref="I331:I344" si="70">F331/$S$10</f>
        <v>6.5706476030277544E-2</v>
      </c>
      <c r="J331" s="79">
        <f t="shared" ref="J331:J344" si="71">I331*$U$25</f>
        <v>6.9648864592094197</v>
      </c>
      <c r="K331" s="79">
        <f t="shared" si="63"/>
        <v>4.6470839694656494</v>
      </c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</row>
    <row r="332" spans="1:40" ht="14.25" customHeight="1">
      <c r="A332" s="7">
        <v>90103</v>
      </c>
      <c r="B332" s="8" t="s">
        <v>31</v>
      </c>
      <c r="C332" s="8" t="s">
        <v>427</v>
      </c>
      <c r="D332" s="8" t="s">
        <v>430</v>
      </c>
      <c r="E332" s="89">
        <v>0.2</v>
      </c>
      <c r="F332" s="90">
        <v>30.4</v>
      </c>
      <c r="G332" s="75">
        <f t="shared" si="68"/>
        <v>7.6335877862595426E-3</v>
      </c>
      <c r="H332" s="78">
        <f t="shared" si="69"/>
        <v>8.091603053435115E-3</v>
      </c>
      <c r="I332" s="75">
        <f t="shared" si="70"/>
        <v>1.5979814970563496E-2</v>
      </c>
      <c r="J332" s="79">
        <f t="shared" si="71"/>
        <v>1.6938603868797306</v>
      </c>
      <c r="K332" s="79">
        <f t="shared" si="63"/>
        <v>4.777018883085578</v>
      </c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</row>
    <row r="333" spans="1:40" ht="14.25" customHeight="1">
      <c r="A333" s="7">
        <v>90104</v>
      </c>
      <c r="B333" s="8" t="s">
        <v>31</v>
      </c>
      <c r="C333" s="8" t="s">
        <v>427</v>
      </c>
      <c r="D333" s="8" t="s">
        <v>431</v>
      </c>
      <c r="E333" s="89">
        <v>0.4</v>
      </c>
      <c r="F333" s="90">
        <v>52.6</v>
      </c>
      <c r="G333" s="75">
        <f t="shared" si="68"/>
        <v>1.5267175572519085E-2</v>
      </c>
      <c r="H333" s="78">
        <f t="shared" si="69"/>
        <v>1.618320610687023E-2</v>
      </c>
      <c r="I333" s="75">
        <f t="shared" si="70"/>
        <v>2.764928511354079E-2</v>
      </c>
      <c r="J333" s="79">
        <f t="shared" si="71"/>
        <v>2.9308242220353238</v>
      </c>
      <c r="K333" s="79">
        <f t="shared" si="63"/>
        <v>5.5217252488897923</v>
      </c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</row>
    <row r="334" spans="1:40" ht="14.25" customHeight="1">
      <c r="A334" s="7">
        <v>90201</v>
      </c>
      <c r="B334" s="8" t="s">
        <v>31</v>
      </c>
      <c r="C334" s="8" t="s">
        <v>432</v>
      </c>
      <c r="D334" s="8" t="s">
        <v>433</v>
      </c>
      <c r="E334" s="89">
        <v>1.8</v>
      </c>
      <c r="F334" s="90">
        <v>120.8</v>
      </c>
      <c r="G334" s="75">
        <f t="shared" si="68"/>
        <v>6.8702290076335881E-2</v>
      </c>
      <c r="H334" s="78">
        <f t="shared" si="69"/>
        <v>7.282442748091604E-2</v>
      </c>
      <c r="I334" s="75">
        <f t="shared" si="70"/>
        <v>6.3498738435660215E-2</v>
      </c>
      <c r="J334" s="79">
        <f t="shared" si="71"/>
        <v>6.7308662741799825</v>
      </c>
      <c r="K334" s="79">
        <f t="shared" si="63"/>
        <v>10.819473231889189</v>
      </c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</row>
    <row r="335" spans="1:40" ht="14.25" customHeight="1">
      <c r="A335" s="7">
        <v>90202</v>
      </c>
      <c r="B335" s="8" t="s">
        <v>31</v>
      </c>
      <c r="C335" s="8" t="s">
        <v>432</v>
      </c>
      <c r="D335" s="8" t="s">
        <v>382</v>
      </c>
      <c r="E335" s="89">
        <v>0</v>
      </c>
      <c r="F335" s="90">
        <v>52.4</v>
      </c>
      <c r="G335" s="75">
        <f t="shared" si="68"/>
        <v>0</v>
      </c>
      <c r="H335" s="78">
        <f t="shared" si="69"/>
        <v>0</v>
      </c>
      <c r="I335" s="75">
        <f t="shared" si="70"/>
        <v>2.7544154751892345E-2</v>
      </c>
      <c r="J335" s="79">
        <f t="shared" si="71"/>
        <v>2.9196804037005886</v>
      </c>
      <c r="K335" s="79">
        <f t="shared" si="63"/>
        <v>0</v>
      </c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</row>
    <row r="336" spans="1:40" ht="14.25" customHeight="1">
      <c r="A336" s="7">
        <v>90203</v>
      </c>
      <c r="B336" s="8" t="s">
        <v>31</v>
      </c>
      <c r="C336" s="8" t="s">
        <v>432</v>
      </c>
      <c r="D336" s="8" t="s">
        <v>434</v>
      </c>
      <c r="E336" s="89">
        <v>2</v>
      </c>
      <c r="F336" s="90">
        <v>129</v>
      </c>
      <c r="G336" s="75">
        <f t="shared" si="68"/>
        <v>7.6335877862595422E-2</v>
      </c>
      <c r="H336" s="78">
        <f t="shared" si="69"/>
        <v>8.0916030534351147E-2</v>
      </c>
      <c r="I336" s="75">
        <f t="shared" si="70"/>
        <v>6.7809083263246417E-2</v>
      </c>
      <c r="J336" s="79">
        <f t="shared" si="71"/>
        <v>7.1877628259041204</v>
      </c>
      <c r="K336" s="79">
        <f t="shared" si="63"/>
        <v>11.257470856263685</v>
      </c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</row>
    <row r="337" spans="1:40" ht="14.25" customHeight="1">
      <c r="A337" s="7">
        <v>90301</v>
      </c>
      <c r="B337" s="8" t="s">
        <v>31</v>
      </c>
      <c r="C337" s="8" t="s">
        <v>435</v>
      </c>
      <c r="D337" s="8" t="s">
        <v>436</v>
      </c>
      <c r="E337" s="89">
        <v>1.8</v>
      </c>
      <c r="F337" s="90">
        <v>134.80000000000001</v>
      </c>
      <c r="G337" s="75">
        <f t="shared" si="68"/>
        <v>6.8702290076335881E-2</v>
      </c>
      <c r="H337" s="78">
        <f t="shared" si="69"/>
        <v>7.282442748091604E-2</v>
      </c>
      <c r="I337" s="75">
        <f t="shared" si="70"/>
        <v>7.0857863751051312E-2</v>
      </c>
      <c r="J337" s="79">
        <f t="shared" si="71"/>
        <v>7.5109335576114393</v>
      </c>
      <c r="K337" s="79">
        <f t="shared" si="63"/>
        <v>9.6957890683398649</v>
      </c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</row>
    <row r="338" spans="1:40" ht="14.25" customHeight="1">
      <c r="A338" s="7">
        <v>90302</v>
      </c>
      <c r="B338" s="8" t="s">
        <v>31</v>
      </c>
      <c r="C338" s="8" t="s">
        <v>435</v>
      </c>
      <c r="D338" s="8" t="s">
        <v>437</v>
      </c>
      <c r="E338" s="89">
        <v>0.8</v>
      </c>
      <c r="F338" s="90">
        <v>157.6</v>
      </c>
      <c r="G338" s="75">
        <f t="shared" si="68"/>
        <v>3.053435114503817E-2</v>
      </c>
      <c r="H338" s="78">
        <f t="shared" si="69"/>
        <v>3.236641221374046E-2</v>
      </c>
      <c r="I338" s="75">
        <f t="shared" si="70"/>
        <v>8.2842724978973922E-2</v>
      </c>
      <c r="J338" s="79">
        <f t="shared" si="71"/>
        <v>8.7813288477712366</v>
      </c>
      <c r="K338" s="79">
        <f t="shared" si="63"/>
        <v>3.685821676289379</v>
      </c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</row>
    <row r="339" spans="1:40" ht="14.25" customHeight="1">
      <c r="A339" s="7">
        <v>90303</v>
      </c>
      <c r="B339" s="8" t="s">
        <v>31</v>
      </c>
      <c r="C339" s="8" t="s">
        <v>435</v>
      </c>
      <c r="D339" s="8" t="s">
        <v>438</v>
      </c>
      <c r="E339" s="89">
        <v>4.5999999999999996</v>
      </c>
      <c r="F339" s="90">
        <v>188</v>
      </c>
      <c r="G339" s="75">
        <f t="shared" si="68"/>
        <v>0.17557251908396945</v>
      </c>
      <c r="H339" s="78">
        <f t="shared" si="69"/>
        <v>0.18610687022900763</v>
      </c>
      <c r="I339" s="75">
        <f t="shared" si="70"/>
        <v>9.8822539949537422E-2</v>
      </c>
      <c r="J339" s="79">
        <f t="shared" si="71"/>
        <v>10.475189234650967</v>
      </c>
      <c r="K339" s="79">
        <f t="shared" si="63"/>
        <v>17.766444697092737</v>
      </c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</row>
    <row r="340" spans="1:40" ht="14.25" customHeight="1">
      <c r="A340" s="7">
        <v>90401</v>
      </c>
      <c r="B340" s="8" t="s">
        <v>31</v>
      </c>
      <c r="C340" s="8" t="s">
        <v>439</v>
      </c>
      <c r="D340" s="8" t="s">
        <v>440</v>
      </c>
      <c r="E340" s="89">
        <v>0.4</v>
      </c>
      <c r="F340" s="90">
        <v>46</v>
      </c>
      <c r="G340" s="75">
        <f t="shared" si="68"/>
        <v>1.5267175572519085E-2</v>
      </c>
      <c r="H340" s="78">
        <f t="shared" si="69"/>
        <v>1.618320610687023E-2</v>
      </c>
      <c r="I340" s="75">
        <f t="shared" si="70"/>
        <v>2.4179983179142134E-2</v>
      </c>
      <c r="J340" s="79">
        <f t="shared" si="71"/>
        <v>2.5630782169890662</v>
      </c>
      <c r="K340" s="79">
        <f t="shared" si="63"/>
        <v>6.3139727846000673</v>
      </c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</row>
    <row r="341" spans="1:40" ht="14.25" customHeight="1">
      <c r="A341" s="7">
        <v>90402</v>
      </c>
      <c r="B341" s="8" t="s">
        <v>31</v>
      </c>
      <c r="C341" s="8" t="s">
        <v>439</v>
      </c>
      <c r="D341" s="8" t="s">
        <v>102</v>
      </c>
      <c r="E341" s="89">
        <v>0.6</v>
      </c>
      <c r="F341" s="90">
        <v>42.2</v>
      </c>
      <c r="G341" s="75">
        <f t="shared" si="68"/>
        <v>2.2900763358778626E-2</v>
      </c>
      <c r="H341" s="78">
        <f t="shared" si="69"/>
        <v>2.4274809160305343E-2</v>
      </c>
      <c r="I341" s="75">
        <f t="shared" si="70"/>
        <v>2.21825063078217E-2</v>
      </c>
      <c r="J341" s="79">
        <f t="shared" si="71"/>
        <v>2.3513456686291003</v>
      </c>
      <c r="K341" s="79">
        <f t="shared" si="63"/>
        <v>10.323794363445604</v>
      </c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</row>
    <row r="342" spans="1:40" ht="14.25" customHeight="1">
      <c r="A342" s="7">
        <v>90501</v>
      </c>
      <c r="B342" s="8" t="s">
        <v>31</v>
      </c>
      <c r="C342" s="8" t="s">
        <v>441</v>
      </c>
      <c r="D342" s="8" t="s">
        <v>442</v>
      </c>
      <c r="E342" s="89">
        <v>0.2</v>
      </c>
      <c r="F342" s="90">
        <v>25.2</v>
      </c>
      <c r="G342" s="75">
        <f t="shared" si="68"/>
        <v>7.6335877862595426E-3</v>
      </c>
      <c r="H342" s="78">
        <f t="shared" si="69"/>
        <v>8.091603053435115E-3</v>
      </c>
      <c r="I342" s="75">
        <f t="shared" si="70"/>
        <v>1.3246425567703952E-2</v>
      </c>
      <c r="J342" s="79">
        <f t="shared" si="71"/>
        <v>1.4041211101766189</v>
      </c>
      <c r="K342" s="79">
        <f t="shared" si="63"/>
        <v>5.7627529383254581</v>
      </c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</row>
    <row r="343" spans="1:40" ht="14.25" customHeight="1">
      <c r="A343" s="7">
        <v>90502</v>
      </c>
      <c r="B343" s="8" t="s">
        <v>31</v>
      </c>
      <c r="C343" s="8" t="s">
        <v>441</v>
      </c>
      <c r="D343" s="8" t="s">
        <v>443</v>
      </c>
      <c r="E343" s="89">
        <v>0.8</v>
      </c>
      <c r="F343" s="90">
        <v>42.8</v>
      </c>
      <c r="G343" s="75">
        <f t="shared" si="68"/>
        <v>3.053435114503817E-2</v>
      </c>
      <c r="H343" s="78">
        <f t="shared" si="69"/>
        <v>3.236641221374046E-2</v>
      </c>
      <c r="I343" s="75">
        <f t="shared" si="70"/>
        <v>2.249789739276703E-2</v>
      </c>
      <c r="J343" s="79">
        <f t="shared" si="71"/>
        <v>2.3847771236333051</v>
      </c>
      <c r="K343" s="79">
        <f t="shared" si="63"/>
        <v>13.572091032317902</v>
      </c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</row>
    <row r="344" spans="1:40" ht="14.25" customHeight="1">
      <c r="A344" s="7">
        <v>90503</v>
      </c>
      <c r="B344" s="8" t="s">
        <v>31</v>
      </c>
      <c r="C344" s="8" t="s">
        <v>441</v>
      </c>
      <c r="D344" s="8" t="s">
        <v>444</v>
      </c>
      <c r="E344" s="92">
        <v>2</v>
      </c>
      <c r="F344" s="93">
        <v>35.799999999999997</v>
      </c>
      <c r="G344" s="75">
        <f t="shared" si="68"/>
        <v>7.6335877862595422E-2</v>
      </c>
      <c r="H344" s="78">
        <f t="shared" si="69"/>
        <v>8.0916030534351147E-2</v>
      </c>
      <c r="I344" s="75">
        <f t="shared" si="70"/>
        <v>1.8818334735071485E-2</v>
      </c>
      <c r="J344" s="79">
        <f t="shared" si="71"/>
        <v>1.9947434819175776</v>
      </c>
      <c r="K344" s="79">
        <f t="shared" si="63"/>
        <v>40.56462962173228</v>
      </c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</row>
    <row r="345" spans="1:40" ht="14.25" customHeight="1"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</row>
    <row r="346" spans="1:40" ht="14.25" customHeight="1"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</row>
    <row r="347" spans="1:40" ht="14.25" customHeight="1"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</row>
    <row r="348" spans="1:40" ht="14.25" customHeight="1"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</row>
    <row r="349" spans="1:40" ht="14.25" customHeight="1"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</row>
    <row r="350" spans="1:40" ht="14.25" customHeight="1"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</row>
    <row r="351" spans="1:40" ht="14.25" customHeight="1"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</row>
    <row r="352" spans="1:40" ht="14.25" customHeight="1"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</row>
    <row r="353" spans="4:34" ht="14.25" customHeight="1"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</row>
    <row r="354" spans="4:34" ht="14.25" customHeight="1"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</row>
    <row r="355" spans="4:34" ht="14.25" customHeight="1"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</row>
    <row r="356" spans="4:34" ht="14.25" customHeight="1"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</row>
    <row r="357" spans="4:34" ht="14.25" customHeight="1"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</row>
    <row r="358" spans="4:34" ht="14.25" customHeight="1"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</row>
    <row r="359" spans="4:34" ht="14.25" customHeight="1"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</row>
    <row r="360" spans="4:34" ht="14.25" customHeight="1"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</row>
    <row r="361" spans="4:34" ht="14.25" customHeight="1"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</row>
    <row r="362" spans="4:34" ht="14.25" customHeight="1"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</row>
    <row r="363" spans="4:34" ht="14.25" customHeight="1"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</row>
    <row r="364" spans="4:34" ht="14.25" customHeight="1"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</row>
    <row r="365" spans="4:34" ht="14.25" customHeight="1"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</row>
    <row r="366" spans="4:34" ht="14.25" customHeight="1"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</row>
    <row r="367" spans="4:34" ht="14.25" customHeight="1"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</row>
    <row r="368" spans="4:34" ht="14.25" customHeight="1"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</row>
    <row r="369" spans="4:34" ht="14.25" customHeight="1"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</row>
    <row r="370" spans="4:34" ht="14.25" customHeight="1"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</row>
    <row r="371" spans="4:34" ht="14.25" customHeight="1"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</row>
    <row r="372" spans="4:34" ht="14.25" customHeight="1"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</row>
    <row r="373" spans="4:34" ht="14.25" customHeight="1"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</row>
    <row r="374" spans="4:34" ht="14.25" customHeight="1"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</row>
    <row r="375" spans="4:34" ht="14.25" customHeight="1"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</row>
    <row r="376" spans="4:34" ht="14.25" customHeight="1"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</row>
    <row r="377" spans="4:34" ht="14.25" customHeight="1"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</row>
    <row r="378" spans="4:34" ht="14.25" customHeight="1"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</row>
    <row r="379" spans="4:34" ht="14.25" customHeight="1"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</row>
    <row r="380" spans="4:34" ht="14.25" customHeight="1"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</row>
    <row r="381" spans="4:34" ht="14.25" customHeight="1"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</row>
    <row r="382" spans="4:34" ht="14.25" customHeight="1"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</row>
    <row r="383" spans="4:34" ht="14.25" customHeight="1"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</row>
    <row r="384" spans="4:34" ht="14.25" customHeight="1"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</row>
    <row r="385" spans="4:34" ht="14.25" customHeight="1"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</row>
    <row r="386" spans="4:34" ht="14.25" customHeight="1"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</row>
    <row r="387" spans="4:34" ht="14.25" customHeight="1"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</row>
    <row r="388" spans="4:34" ht="14.25" customHeight="1"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</row>
    <row r="389" spans="4:34" ht="14.25" customHeight="1"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</row>
    <row r="390" spans="4:34" ht="14.25" customHeight="1"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</row>
    <row r="391" spans="4:34" ht="14.25" customHeight="1"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</row>
    <row r="392" spans="4:34" ht="14.25" customHeight="1"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</row>
    <row r="393" spans="4:34" ht="14.25" customHeight="1"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</row>
    <row r="394" spans="4:34" ht="14.25" customHeight="1"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</row>
    <row r="395" spans="4:34" ht="14.25" customHeight="1"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</row>
    <row r="396" spans="4:34" ht="14.25" customHeight="1"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</row>
    <row r="397" spans="4:34" ht="14.25" customHeight="1"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</row>
    <row r="398" spans="4:34" ht="14.25" customHeight="1"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</row>
    <row r="399" spans="4:34" ht="14.25" customHeight="1"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</row>
    <row r="400" spans="4:34" ht="14.25" customHeight="1"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</row>
    <row r="401" spans="4:34" ht="14.25" customHeight="1"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</row>
    <row r="402" spans="4:34" ht="14.25" customHeight="1"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</row>
    <row r="403" spans="4:34" ht="14.25" customHeight="1"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</row>
    <row r="404" spans="4:34" ht="14.25" customHeight="1"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</row>
    <row r="405" spans="4:34" ht="14.25" customHeight="1"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</row>
    <row r="406" spans="4:34" ht="14.25" customHeight="1"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</row>
    <row r="407" spans="4:34" ht="14.25" customHeight="1"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</row>
    <row r="408" spans="4:34" ht="14.25" customHeight="1"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</row>
    <row r="409" spans="4:34" ht="14.25" customHeight="1"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</row>
    <row r="410" spans="4:34" ht="14.25" customHeight="1"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</row>
    <row r="411" spans="4:34" ht="14.25" customHeight="1"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</row>
    <row r="412" spans="4:34" ht="14.25" customHeight="1"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</row>
    <row r="413" spans="4:34" ht="14.25" customHeight="1"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</row>
    <row r="414" spans="4:34" ht="14.25" customHeight="1"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</row>
    <row r="415" spans="4:34" ht="14.25" customHeight="1"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</row>
    <row r="416" spans="4:34" ht="14.25" customHeight="1"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</row>
    <row r="417" spans="4:34" ht="14.25" customHeight="1"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</row>
    <row r="418" spans="4:34" ht="14.25" customHeight="1"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</row>
    <row r="419" spans="4:34" ht="14.25" customHeight="1"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</row>
    <row r="420" spans="4:34" ht="14.25" customHeight="1"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</row>
    <row r="421" spans="4:34" ht="14.25" customHeight="1"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</row>
    <row r="422" spans="4:34" ht="14.25" customHeight="1"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</row>
    <row r="423" spans="4:34" ht="14.25" customHeight="1"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</row>
    <row r="424" spans="4:34" ht="14.25" customHeight="1"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</row>
    <row r="425" spans="4:34" ht="14.25" customHeight="1"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</row>
    <row r="426" spans="4:34" ht="14.25" customHeight="1"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</row>
    <row r="427" spans="4:34" ht="14.25" customHeight="1"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</row>
    <row r="428" spans="4:34" ht="14.25" customHeight="1"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</row>
    <row r="429" spans="4:34" ht="14.25" customHeight="1"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</row>
    <row r="430" spans="4:34" ht="14.25" customHeight="1"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</row>
    <row r="431" spans="4:34" ht="14.25" customHeight="1"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</row>
    <row r="432" spans="4:34" ht="14.25" customHeight="1"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</row>
    <row r="433" spans="4:34" ht="14.25" customHeight="1"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</row>
    <row r="434" spans="4:34" ht="14.25" customHeight="1"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</row>
    <row r="435" spans="4:34" ht="14.25" customHeight="1"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</row>
    <row r="436" spans="4:34" ht="14.25" customHeight="1"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</row>
    <row r="437" spans="4:34" ht="14.25" customHeight="1"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</row>
    <row r="438" spans="4:34" ht="14.25" customHeight="1"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</row>
    <row r="439" spans="4:34" ht="14.25" customHeight="1"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</row>
    <row r="440" spans="4:34" ht="14.25" customHeight="1"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</row>
    <row r="441" spans="4:34" ht="14.25" customHeight="1"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</row>
    <row r="442" spans="4:34" ht="14.25" customHeight="1"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</row>
    <row r="443" spans="4:34" ht="14.25" customHeight="1"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</row>
    <row r="444" spans="4:34" ht="14.25" customHeight="1"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</row>
    <row r="445" spans="4:34" ht="14.25" customHeight="1"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</row>
    <row r="446" spans="4:34" ht="14.25" customHeight="1"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</row>
    <row r="447" spans="4:34" ht="14.25" customHeight="1"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</row>
    <row r="448" spans="4:34" ht="14.25" customHeight="1"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</row>
    <row r="449" spans="4:34" ht="14.25" customHeight="1"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</row>
    <row r="450" spans="4:34" ht="14.25" customHeight="1"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</row>
    <row r="451" spans="4:34" ht="14.25" customHeight="1"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</row>
    <row r="452" spans="4:34" ht="14.25" customHeight="1"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</row>
    <row r="453" spans="4:34" ht="14.25" customHeight="1"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</row>
    <row r="454" spans="4:34" ht="14.25" customHeight="1"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</row>
    <row r="455" spans="4:34" ht="14.25" customHeight="1"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</row>
    <row r="456" spans="4:34" ht="14.25" customHeight="1"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</row>
    <row r="457" spans="4:34" ht="14.25" customHeight="1"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</row>
    <row r="458" spans="4:34" ht="14.25" customHeight="1"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</row>
    <row r="459" spans="4:34" ht="14.25" customHeight="1"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</row>
    <row r="460" spans="4:34" ht="14.25" customHeight="1"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</row>
    <row r="461" spans="4:34" ht="14.25" customHeight="1"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</row>
    <row r="462" spans="4:34" ht="14.25" customHeight="1"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</row>
    <row r="463" spans="4:34" ht="14.25" customHeight="1"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</row>
    <row r="464" spans="4:34" ht="14.25" customHeight="1"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</row>
    <row r="465" spans="4:34" ht="14.25" customHeight="1"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</row>
    <row r="466" spans="4:34" ht="14.25" customHeight="1"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</row>
    <row r="467" spans="4:34" ht="14.25" customHeight="1"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</row>
    <row r="468" spans="4:34" ht="14.25" customHeight="1"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</row>
    <row r="469" spans="4:34" ht="14.25" customHeight="1"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</row>
    <row r="470" spans="4:34" ht="14.25" customHeight="1"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</row>
    <row r="471" spans="4:34" ht="14.25" customHeight="1"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</row>
    <row r="472" spans="4:34" ht="14.25" customHeight="1"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</row>
    <row r="473" spans="4:34" ht="14.25" customHeight="1"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</row>
    <row r="474" spans="4:34" ht="14.25" customHeight="1"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</row>
    <row r="475" spans="4:34" ht="14.25" customHeight="1"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</row>
    <row r="476" spans="4:34" ht="14.25" customHeight="1"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</row>
    <row r="477" spans="4:34" ht="14.25" customHeight="1"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</row>
    <row r="478" spans="4:34" ht="14.25" customHeight="1"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</row>
    <row r="479" spans="4:34" ht="14.25" customHeight="1"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</row>
    <row r="480" spans="4:34" ht="14.25" customHeight="1"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</row>
    <row r="481" spans="4:34" ht="14.25" customHeight="1"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</row>
    <row r="482" spans="4:34" ht="14.25" customHeight="1"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</row>
    <row r="483" spans="4:34" ht="14.25" customHeight="1"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</row>
    <row r="484" spans="4:34" ht="14.25" customHeight="1"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</row>
    <row r="485" spans="4:34" ht="14.25" customHeight="1"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</row>
    <row r="486" spans="4:34" ht="14.25" customHeight="1"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</row>
    <row r="487" spans="4:34" ht="14.25" customHeight="1"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</row>
    <row r="488" spans="4:34" ht="14.25" customHeight="1"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</row>
    <row r="489" spans="4:34" ht="14.25" customHeight="1"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</row>
    <row r="490" spans="4:34" ht="14.25" customHeight="1"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</row>
    <row r="491" spans="4:34" ht="14.25" customHeight="1"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</row>
    <row r="492" spans="4:34" ht="14.25" customHeight="1"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</row>
    <row r="493" spans="4:34" ht="14.25" customHeight="1"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</row>
    <row r="494" spans="4:34" ht="14.25" customHeight="1"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</row>
    <row r="495" spans="4:34" ht="14.25" customHeight="1"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</row>
    <row r="496" spans="4:34" ht="14.25" customHeight="1"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</row>
    <row r="497" spans="4:34" ht="14.25" customHeight="1"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</row>
    <row r="498" spans="4:34" ht="14.25" customHeight="1"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</row>
    <row r="499" spans="4:34" ht="14.25" customHeight="1"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</row>
    <row r="500" spans="4:34" ht="14.25" customHeight="1"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</row>
    <row r="501" spans="4:34" ht="14.25" customHeight="1"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</row>
    <row r="502" spans="4:34" ht="14.25" customHeight="1"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</row>
    <row r="503" spans="4:34" ht="14.25" customHeight="1"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</row>
    <row r="504" spans="4:34" ht="14.25" customHeight="1"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</row>
    <row r="505" spans="4:34" ht="14.25" customHeight="1"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</row>
    <row r="506" spans="4:34" ht="14.25" customHeight="1"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</row>
    <row r="507" spans="4:34" ht="14.25" customHeight="1"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</row>
    <row r="508" spans="4:34" ht="14.25" customHeight="1"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</row>
    <row r="509" spans="4:34" ht="14.25" customHeight="1"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</row>
    <row r="510" spans="4:34" ht="14.25" customHeight="1"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</row>
    <row r="511" spans="4:34" ht="14.25" customHeight="1"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</row>
    <row r="512" spans="4:34" ht="14.25" customHeight="1"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</row>
    <row r="513" spans="4:34" ht="14.25" customHeight="1"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</row>
    <row r="514" spans="4:34" ht="14.25" customHeight="1"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</row>
    <row r="515" spans="4:34" ht="14.25" customHeight="1"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</row>
    <row r="516" spans="4:34" ht="14.25" customHeight="1"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</row>
    <row r="517" spans="4:34" ht="14.25" customHeight="1"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</row>
    <row r="518" spans="4:34" ht="14.25" customHeight="1"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</row>
    <row r="519" spans="4:34" ht="14.25" customHeight="1"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</row>
    <row r="520" spans="4:34" ht="14.25" customHeight="1"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</row>
    <row r="521" spans="4:34" ht="14.25" customHeight="1"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</row>
    <row r="522" spans="4:34" ht="14.25" customHeight="1"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</row>
    <row r="523" spans="4:34" ht="14.25" customHeight="1"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</row>
    <row r="524" spans="4:34" ht="14.25" customHeight="1"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</row>
    <row r="525" spans="4:34" ht="14.25" customHeight="1"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</row>
    <row r="526" spans="4:34" ht="14.25" customHeight="1"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</row>
    <row r="527" spans="4:34" ht="14.25" customHeight="1"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</row>
    <row r="528" spans="4:34" ht="14.25" customHeight="1"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</row>
    <row r="529" spans="4:34" ht="14.25" customHeight="1"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</row>
    <row r="530" spans="4:34" ht="14.25" customHeight="1"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</row>
    <row r="531" spans="4:34" ht="14.25" customHeight="1"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</row>
    <row r="532" spans="4:34" ht="14.25" customHeight="1"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</row>
    <row r="533" spans="4:34" ht="14.25" customHeight="1"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</row>
    <row r="534" spans="4:34" ht="14.25" customHeight="1"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</row>
    <row r="535" spans="4:34" ht="14.25" customHeight="1"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</row>
    <row r="536" spans="4:34" ht="14.25" customHeight="1"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</row>
    <row r="537" spans="4:34" ht="14.25" customHeight="1"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</row>
    <row r="538" spans="4:34" ht="14.25" customHeight="1"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</row>
    <row r="539" spans="4:34" ht="14.25" customHeight="1"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</row>
    <row r="540" spans="4:34" ht="14.25" customHeight="1"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</row>
    <row r="541" spans="4:34" ht="14.25" customHeight="1"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</row>
    <row r="542" spans="4:34" ht="14.25" customHeight="1"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</row>
    <row r="543" spans="4:34" ht="14.25" customHeight="1"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</row>
    <row r="544" spans="4:34" ht="14.25" customHeight="1"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</row>
    <row r="545" spans="4:34" ht="14.25" customHeight="1"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</row>
    <row r="546" spans="4:34" ht="14.25" customHeight="1"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</row>
    <row r="547" spans="4:34" ht="14.25" customHeight="1"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</row>
    <row r="548" spans="4:34" ht="14.25" customHeight="1"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</row>
    <row r="549" spans="4:34" ht="14.25" customHeight="1"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</row>
    <row r="550" spans="4:34" ht="14.25" customHeight="1"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</row>
    <row r="551" spans="4:34" ht="14.25" customHeight="1"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</row>
    <row r="552" spans="4:34" ht="14.25" customHeight="1"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</row>
    <row r="553" spans="4:34" ht="14.25" customHeight="1"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</row>
    <row r="554" spans="4:34" ht="14.25" customHeight="1"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</row>
    <row r="555" spans="4:34" ht="14.25" customHeight="1"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</row>
    <row r="556" spans="4:34" ht="14.25" customHeight="1"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</row>
    <row r="557" spans="4:34" ht="14.25" customHeight="1"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</row>
    <row r="558" spans="4:34" ht="14.25" customHeight="1"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</row>
    <row r="559" spans="4:34" ht="14.25" customHeight="1"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</row>
    <row r="560" spans="4:34" ht="14.25" customHeight="1"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</row>
    <row r="561" spans="4:34" ht="14.25" customHeight="1"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</row>
    <row r="562" spans="4:34" ht="14.25" customHeight="1"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</row>
    <row r="563" spans="4:34" ht="14.25" customHeight="1"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</row>
    <row r="564" spans="4:34" ht="14.25" customHeight="1"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</row>
    <row r="565" spans="4:34" ht="14.25" customHeight="1"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</row>
    <row r="566" spans="4:34" ht="14.25" customHeight="1"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</row>
    <row r="567" spans="4:34" ht="14.25" customHeight="1"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</row>
    <row r="568" spans="4:34" ht="14.25" customHeight="1"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</row>
    <row r="569" spans="4:34" ht="14.25" customHeight="1"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</row>
    <row r="570" spans="4:34" ht="14.25" customHeight="1"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</row>
    <row r="571" spans="4:34" ht="14.25" customHeight="1"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</row>
    <row r="572" spans="4:34" ht="14.25" customHeight="1"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</row>
    <row r="573" spans="4:34" ht="14.25" customHeight="1"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</row>
    <row r="574" spans="4:34" ht="14.25" customHeight="1"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</row>
    <row r="575" spans="4:34" ht="14.25" customHeight="1"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</row>
    <row r="576" spans="4:34" ht="14.25" customHeight="1"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</row>
    <row r="577" spans="4:34" ht="14.25" customHeight="1"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</row>
    <row r="578" spans="4:34" ht="14.25" customHeight="1"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</row>
    <row r="579" spans="4:34" ht="14.25" customHeight="1"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</row>
    <row r="580" spans="4:34" ht="14.25" customHeight="1"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</row>
    <row r="581" spans="4:34" ht="14.25" customHeight="1"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</row>
    <row r="582" spans="4:34" ht="14.25" customHeight="1"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</row>
    <row r="583" spans="4:34" ht="14.25" customHeight="1"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</row>
    <row r="584" spans="4:34" ht="14.25" customHeight="1"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</row>
    <row r="585" spans="4:34" ht="14.25" customHeight="1"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</row>
    <row r="586" spans="4:34" ht="14.25" customHeight="1"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</row>
    <row r="587" spans="4:34" ht="14.25" customHeight="1"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</row>
    <row r="588" spans="4:34" ht="14.25" customHeight="1"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</row>
    <row r="589" spans="4:34" ht="14.25" customHeight="1"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</row>
    <row r="590" spans="4:34" ht="14.25" customHeight="1"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</row>
    <row r="591" spans="4:34" ht="14.25" customHeight="1"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</row>
    <row r="592" spans="4:34" ht="14.25" customHeight="1"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</row>
    <row r="593" spans="4:34" ht="14.25" customHeight="1"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</row>
    <row r="594" spans="4:34" ht="14.25" customHeight="1"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</row>
    <row r="595" spans="4:34" ht="14.25" customHeight="1"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</row>
    <row r="596" spans="4:34" ht="14.25" customHeight="1"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</row>
    <row r="597" spans="4:34" ht="14.25" customHeight="1"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</row>
    <row r="598" spans="4:34" ht="14.25" customHeight="1"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</row>
    <row r="599" spans="4:34" ht="14.25" customHeight="1"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</row>
    <row r="600" spans="4:34" ht="14.25" customHeight="1"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</row>
    <row r="601" spans="4:34" ht="14.25" customHeight="1"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</row>
    <row r="602" spans="4:34" ht="14.25" customHeight="1"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</row>
    <row r="603" spans="4:34" ht="14.25" customHeight="1"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</row>
    <row r="604" spans="4:34" ht="14.25" customHeight="1"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</row>
    <row r="605" spans="4:34" ht="14.25" customHeight="1"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</row>
    <row r="606" spans="4:34" ht="14.25" customHeight="1"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</row>
    <row r="607" spans="4:34" ht="14.25" customHeight="1"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</row>
    <row r="608" spans="4:34" ht="14.25" customHeight="1"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</row>
    <row r="609" spans="4:34" ht="14.25" customHeight="1"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</row>
    <row r="610" spans="4:34" ht="14.25" customHeight="1"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</row>
    <row r="611" spans="4:34" ht="14.25" customHeight="1"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</row>
    <row r="612" spans="4:34" ht="14.25" customHeight="1"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</row>
    <row r="613" spans="4:34" ht="14.25" customHeight="1"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</row>
    <row r="614" spans="4:34" ht="14.25" customHeight="1"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</row>
    <row r="615" spans="4:34" ht="14.25" customHeight="1"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</row>
    <row r="616" spans="4:34" ht="14.25" customHeight="1"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</row>
    <row r="617" spans="4:34" ht="14.25" customHeight="1"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</row>
    <row r="618" spans="4:34" ht="14.25" customHeight="1"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</row>
    <row r="619" spans="4:34" ht="14.25" customHeight="1"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</row>
    <row r="620" spans="4:34" ht="14.25" customHeight="1"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</row>
    <row r="621" spans="4:34" ht="14.25" customHeight="1"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</row>
    <row r="622" spans="4:34" ht="14.25" customHeight="1"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</row>
    <row r="623" spans="4:34" ht="14.25" customHeight="1"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</row>
    <row r="624" spans="4:34" ht="14.25" customHeight="1"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</row>
    <row r="625" spans="4:34" ht="14.25" customHeight="1"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</row>
    <row r="626" spans="4:34" ht="14.25" customHeight="1"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</row>
    <row r="627" spans="4:34" ht="14.25" customHeight="1"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</row>
    <row r="628" spans="4:34" ht="14.25" customHeight="1"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</row>
    <row r="629" spans="4:34" ht="14.25" customHeight="1"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</row>
    <row r="630" spans="4:34" ht="14.25" customHeight="1"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</row>
    <row r="631" spans="4:34" ht="14.25" customHeight="1"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</row>
    <row r="632" spans="4:34" ht="14.25" customHeight="1"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</row>
    <row r="633" spans="4:34" ht="14.25" customHeight="1"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</row>
    <row r="634" spans="4:34" ht="14.25" customHeight="1"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</row>
    <row r="635" spans="4:34" ht="14.25" customHeight="1"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</row>
    <row r="636" spans="4:34" ht="14.25" customHeight="1"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</row>
    <row r="637" spans="4:34" ht="14.25" customHeight="1"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</row>
    <row r="638" spans="4:34" ht="14.25" customHeight="1"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</row>
    <row r="639" spans="4:34" ht="14.25" customHeight="1"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</row>
    <row r="640" spans="4:34" ht="14.25" customHeight="1"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</row>
    <row r="641" spans="4:34" ht="14.25" customHeight="1"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</row>
    <row r="642" spans="4:34" ht="14.25" customHeight="1"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</row>
    <row r="643" spans="4:34" ht="14.25" customHeight="1"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</row>
    <row r="644" spans="4:34" ht="14.25" customHeight="1"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</row>
    <row r="645" spans="4:34" ht="14.25" customHeight="1"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</row>
    <row r="646" spans="4:34" ht="14.25" customHeight="1"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</row>
    <row r="647" spans="4:34" ht="14.25" customHeight="1"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</row>
    <row r="648" spans="4:34" ht="14.25" customHeight="1"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</row>
    <row r="649" spans="4:34" ht="14.25" customHeight="1"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</row>
    <row r="650" spans="4:34" ht="14.25" customHeight="1"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</row>
    <row r="651" spans="4:34" ht="14.25" customHeight="1"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</row>
    <row r="652" spans="4:34" ht="14.25" customHeight="1"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</row>
    <row r="653" spans="4:34" ht="14.25" customHeight="1"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</row>
    <row r="654" spans="4:34" ht="14.25" customHeight="1"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</row>
    <row r="655" spans="4:34" ht="14.25" customHeight="1"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</row>
    <row r="656" spans="4:34" ht="14.25" customHeight="1"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</row>
    <row r="657" spans="4:34" ht="14.25" customHeight="1"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</row>
    <row r="658" spans="4:34" ht="14.25" customHeight="1"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</row>
    <row r="659" spans="4:34" ht="14.25" customHeight="1"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</row>
    <row r="660" spans="4:34" ht="14.25" customHeight="1"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</row>
    <row r="661" spans="4:34" ht="14.25" customHeight="1"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</row>
    <row r="662" spans="4:34" ht="14.25" customHeight="1"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</row>
    <row r="663" spans="4:34" ht="14.25" customHeight="1"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</row>
    <row r="664" spans="4:34" ht="14.25" customHeight="1"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</row>
    <row r="665" spans="4:34" ht="14.25" customHeight="1"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</row>
    <row r="666" spans="4:34" ht="14.25" customHeight="1"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</row>
    <row r="667" spans="4:34" ht="14.25" customHeight="1"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</row>
    <row r="668" spans="4:34" ht="14.25" customHeight="1"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</row>
    <row r="669" spans="4:34" ht="14.25" customHeight="1"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</row>
    <row r="670" spans="4:34" ht="14.25" customHeight="1"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</row>
    <row r="671" spans="4:34" ht="14.25" customHeight="1"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</row>
    <row r="672" spans="4:34" ht="14.25" customHeight="1"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</row>
    <row r="673" spans="4:34" ht="14.25" customHeight="1"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</row>
    <row r="674" spans="4:34" ht="14.25" customHeight="1"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</row>
    <row r="675" spans="4:34" ht="14.25" customHeight="1"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</row>
    <row r="676" spans="4:34" ht="14.25" customHeight="1"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</row>
    <row r="677" spans="4:34" ht="14.25" customHeight="1"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</row>
    <row r="678" spans="4:34" ht="14.25" customHeight="1"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</row>
    <row r="679" spans="4:34" ht="14.25" customHeight="1"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</row>
    <row r="680" spans="4:34" ht="14.25" customHeight="1"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</row>
    <row r="681" spans="4:34" ht="14.25" customHeight="1"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</row>
    <row r="682" spans="4:34" ht="14.25" customHeight="1"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</row>
    <row r="683" spans="4:34" ht="14.25" customHeight="1"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</row>
    <row r="684" spans="4:34" ht="14.25" customHeight="1"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</row>
    <row r="685" spans="4:34" ht="14.25" customHeight="1"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</row>
    <row r="686" spans="4:34" ht="14.25" customHeight="1"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</row>
    <row r="687" spans="4:34" ht="14.25" customHeight="1"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</row>
    <row r="688" spans="4:34" ht="14.25" customHeight="1"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</row>
    <row r="689" spans="4:34" ht="14.25" customHeight="1"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</row>
    <row r="690" spans="4:34" ht="14.25" customHeight="1"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</row>
    <row r="691" spans="4:34" ht="14.25" customHeight="1"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</row>
    <row r="692" spans="4:34" ht="14.25" customHeight="1"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</row>
    <row r="693" spans="4:34" ht="14.25" customHeight="1"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</row>
    <row r="694" spans="4:34" ht="14.25" customHeight="1"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</row>
    <row r="695" spans="4:34" ht="14.25" customHeight="1"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</row>
    <row r="696" spans="4:34" ht="14.25" customHeight="1"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</row>
    <row r="697" spans="4:34" ht="14.25" customHeight="1"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</row>
    <row r="698" spans="4:34" ht="14.25" customHeight="1"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</row>
    <row r="699" spans="4:34" ht="14.25" customHeight="1"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</row>
    <row r="700" spans="4:34" ht="14.25" customHeight="1"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</row>
    <row r="701" spans="4:34" ht="14.25" customHeight="1"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</row>
    <row r="702" spans="4:34" ht="14.25" customHeight="1"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</row>
    <row r="703" spans="4:34" ht="14.25" customHeight="1"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</row>
    <row r="704" spans="4:34" ht="14.25" customHeight="1"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</row>
    <row r="705" spans="4:34" ht="14.25" customHeight="1"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</row>
    <row r="706" spans="4:34" ht="14.25" customHeight="1"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</row>
    <row r="707" spans="4:34" ht="14.25" customHeight="1"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</row>
    <row r="708" spans="4:34" ht="14.25" customHeight="1"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</row>
    <row r="709" spans="4:34" ht="14.25" customHeight="1"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</row>
    <row r="710" spans="4:34" ht="14.25" customHeight="1"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</row>
    <row r="711" spans="4:34" ht="14.25" customHeight="1"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</row>
    <row r="712" spans="4:34" ht="14.25" customHeight="1"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</row>
    <row r="713" spans="4:34" ht="14.25" customHeight="1"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</row>
    <row r="714" spans="4:34" ht="14.25" customHeight="1"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</row>
    <row r="715" spans="4:34" ht="14.25" customHeight="1"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</row>
    <row r="716" spans="4:34" ht="14.25" customHeight="1"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</row>
    <row r="717" spans="4:34" ht="14.25" customHeight="1"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</row>
    <row r="718" spans="4:34" ht="14.25" customHeight="1"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</row>
    <row r="719" spans="4:34" ht="14.25" customHeight="1"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</row>
    <row r="720" spans="4:34" ht="14.25" customHeight="1"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</row>
    <row r="721" spans="4:34" ht="14.25" customHeight="1"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</row>
    <row r="722" spans="4:34" ht="14.25" customHeight="1"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</row>
    <row r="723" spans="4:34" ht="14.25" customHeight="1"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</row>
    <row r="724" spans="4:34" ht="14.25" customHeight="1"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</row>
    <row r="725" spans="4:34" ht="14.25" customHeight="1"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</row>
    <row r="726" spans="4:34" ht="14.25" customHeight="1"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</row>
    <row r="727" spans="4:34" ht="14.25" customHeight="1"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</row>
    <row r="728" spans="4:34" ht="14.25" customHeight="1"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</row>
    <row r="729" spans="4:34" ht="14.25" customHeight="1"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</row>
    <row r="730" spans="4:34" ht="14.25" customHeight="1"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</row>
    <row r="731" spans="4:34" ht="14.25" customHeight="1"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</row>
    <row r="732" spans="4:34" ht="14.25" customHeight="1"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</row>
    <row r="733" spans="4:34" ht="14.25" customHeight="1"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</row>
    <row r="734" spans="4:34" ht="14.25" customHeight="1"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</row>
    <row r="735" spans="4:34" ht="14.25" customHeight="1"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</row>
    <row r="736" spans="4:34" ht="14.25" customHeight="1"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</row>
    <row r="737" spans="4:34" ht="14.25" customHeight="1"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</row>
    <row r="738" spans="4:34" ht="14.25" customHeight="1"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</row>
    <row r="739" spans="4:34" ht="14.25" customHeight="1"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</row>
    <row r="740" spans="4:34" ht="14.25" customHeight="1"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</row>
    <row r="741" spans="4:34" ht="14.25" customHeight="1"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</row>
    <row r="742" spans="4:34" ht="14.25" customHeight="1"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</row>
    <row r="743" spans="4:34" ht="14.25" customHeight="1"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</row>
    <row r="744" spans="4:34" ht="14.25" customHeight="1"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</row>
    <row r="745" spans="4:34" ht="14.25" customHeight="1"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</row>
    <row r="746" spans="4:34" ht="14.25" customHeight="1"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</row>
    <row r="747" spans="4:34" ht="14.25" customHeight="1"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</row>
    <row r="748" spans="4:34" ht="14.25" customHeight="1"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</row>
    <row r="749" spans="4:34" ht="14.25" customHeight="1"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</row>
    <row r="750" spans="4:34" ht="14.25" customHeight="1"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</row>
    <row r="751" spans="4:34" ht="14.25" customHeight="1"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</row>
    <row r="752" spans="4:34" ht="14.25" customHeight="1"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</row>
    <row r="753" spans="4:34" ht="14.25" customHeight="1"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</row>
    <row r="754" spans="4:34" ht="14.25" customHeight="1"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</row>
    <row r="755" spans="4:34" ht="14.25" customHeight="1"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</row>
    <row r="756" spans="4:34" ht="14.25" customHeight="1"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</row>
    <row r="757" spans="4:34" ht="14.25" customHeight="1"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</row>
    <row r="758" spans="4:34" ht="14.25" customHeight="1"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</row>
    <row r="759" spans="4:34" ht="14.25" customHeight="1"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</row>
    <row r="760" spans="4:34" ht="14.25" customHeight="1"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</row>
    <row r="761" spans="4:34" ht="14.25" customHeight="1"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</row>
    <row r="762" spans="4:34" ht="14.25" customHeight="1"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</row>
    <row r="763" spans="4:34" ht="14.25" customHeight="1"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</row>
    <row r="764" spans="4:34" ht="14.25" customHeight="1"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</row>
    <row r="765" spans="4:34" ht="14.25" customHeight="1"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</row>
    <row r="766" spans="4:34" ht="14.25" customHeight="1"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</row>
    <row r="767" spans="4:34" ht="14.25" customHeight="1"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</row>
    <row r="768" spans="4:34" ht="14.25" customHeight="1"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</row>
    <row r="769" spans="4:34" ht="14.25" customHeight="1"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</row>
    <row r="770" spans="4:34" ht="14.25" customHeight="1"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</row>
    <row r="771" spans="4:34" ht="14.25" customHeight="1"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</row>
    <row r="772" spans="4:34" ht="14.25" customHeight="1"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</row>
    <row r="773" spans="4:34" ht="14.25" customHeight="1"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</row>
    <row r="774" spans="4:34" ht="14.25" customHeight="1"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</row>
    <row r="775" spans="4:34" ht="14.25" customHeight="1"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</row>
    <row r="776" spans="4:34" ht="14.25" customHeight="1"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</row>
    <row r="777" spans="4:34" ht="14.25" customHeight="1"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</row>
    <row r="778" spans="4:34" ht="14.25" customHeight="1"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</row>
    <row r="779" spans="4:34" ht="14.25" customHeight="1"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</row>
    <row r="780" spans="4:34" ht="14.25" customHeight="1"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</row>
    <row r="781" spans="4:34" ht="14.25" customHeight="1"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</row>
    <row r="782" spans="4:34" ht="14.25" customHeight="1"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</row>
    <row r="783" spans="4:34" ht="14.25" customHeight="1"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</row>
    <row r="784" spans="4:34" ht="14.25" customHeight="1"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</row>
    <row r="785" spans="4:34" ht="14.25" customHeight="1"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</row>
    <row r="786" spans="4:34" ht="14.25" customHeight="1"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</row>
    <row r="787" spans="4:34" ht="14.25" customHeight="1"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</row>
    <row r="788" spans="4:34" ht="14.25" customHeight="1"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</row>
    <row r="789" spans="4:34" ht="14.25" customHeight="1"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</row>
    <row r="790" spans="4:34" ht="14.25" customHeight="1"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</row>
    <row r="791" spans="4:34" ht="14.25" customHeight="1"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</row>
    <row r="792" spans="4:34" ht="14.25" customHeight="1"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</row>
    <row r="793" spans="4:34" ht="14.25" customHeight="1"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</row>
    <row r="794" spans="4:34" ht="14.25" customHeight="1"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</row>
    <row r="795" spans="4:34" ht="14.25" customHeight="1"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</row>
    <row r="796" spans="4:34" ht="14.25" customHeight="1"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</row>
    <row r="797" spans="4:34" ht="14.25" customHeight="1"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</row>
    <row r="798" spans="4:34" ht="14.25" customHeight="1"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</row>
    <row r="799" spans="4:34" ht="14.25" customHeight="1"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</row>
    <row r="800" spans="4:34" ht="14.25" customHeight="1"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</row>
    <row r="801" spans="4:34" ht="14.25" customHeight="1"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</row>
    <row r="802" spans="4:34" ht="14.25" customHeight="1"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</row>
    <row r="803" spans="4:34" ht="14.25" customHeight="1"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</row>
    <row r="804" spans="4:34" ht="14.25" customHeight="1"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</row>
    <row r="805" spans="4:34" ht="14.25" customHeight="1"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</row>
    <row r="806" spans="4:34" ht="14.25" customHeight="1"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</row>
    <row r="807" spans="4:34" ht="14.25" customHeight="1"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</row>
    <row r="808" spans="4:34" ht="14.25" customHeight="1"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</row>
    <row r="809" spans="4:34" ht="14.25" customHeight="1"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</row>
    <row r="810" spans="4:34" ht="14.25" customHeight="1"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</row>
    <row r="811" spans="4:34" ht="14.25" customHeight="1"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</row>
    <row r="812" spans="4:34" ht="14.25" customHeight="1"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</row>
    <row r="813" spans="4:34" ht="14.25" customHeight="1"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</row>
    <row r="814" spans="4:34" ht="14.25" customHeight="1"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</row>
    <row r="815" spans="4:34" ht="14.25" customHeight="1"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</row>
    <row r="816" spans="4:34" ht="14.25" customHeight="1"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</row>
    <row r="817" spans="4:34" ht="14.25" customHeight="1"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</row>
    <row r="818" spans="4:34" ht="14.25" customHeight="1"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</row>
    <row r="819" spans="4:34" ht="14.25" customHeight="1"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</row>
    <row r="820" spans="4:34" ht="14.25" customHeight="1"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</row>
    <row r="821" spans="4:34" ht="14.25" customHeight="1"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</row>
    <row r="822" spans="4:34" ht="14.25" customHeight="1"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</row>
    <row r="823" spans="4:34" ht="14.25" customHeight="1"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</row>
    <row r="824" spans="4:34" ht="14.25" customHeight="1"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</row>
    <row r="825" spans="4:34" ht="14.25" customHeight="1"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</row>
    <row r="826" spans="4:34" ht="14.25" customHeight="1"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</row>
    <row r="827" spans="4:34" ht="14.25" customHeight="1"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</row>
    <row r="828" spans="4:34" ht="14.25" customHeight="1"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</row>
    <row r="829" spans="4:34" ht="14.25" customHeight="1"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</row>
    <row r="830" spans="4:34" ht="14.25" customHeight="1"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</row>
    <row r="831" spans="4:34" ht="14.25" customHeight="1"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</row>
    <row r="832" spans="4:34" ht="14.25" customHeight="1"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</row>
    <row r="833" spans="4:34" ht="14.25" customHeight="1"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</row>
    <row r="834" spans="4:34" ht="14.25" customHeight="1"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</row>
    <row r="835" spans="4:34" ht="14.25" customHeight="1"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</row>
    <row r="836" spans="4:34" ht="14.25" customHeight="1"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</row>
    <row r="837" spans="4:34" ht="14.25" customHeight="1"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</row>
    <row r="838" spans="4:34" ht="14.25" customHeight="1"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</row>
    <row r="839" spans="4:34" ht="14.25" customHeight="1"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</row>
    <row r="840" spans="4:34" ht="14.25" customHeight="1"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</row>
    <row r="841" spans="4:34" ht="14.25" customHeight="1"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</row>
    <row r="842" spans="4:34" ht="14.25" customHeight="1"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</row>
    <row r="843" spans="4:34" ht="14.25" customHeight="1"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</row>
    <row r="844" spans="4:34" ht="14.25" customHeight="1"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</row>
    <row r="845" spans="4:34" ht="14.25" customHeight="1"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</row>
    <row r="846" spans="4:34" ht="14.25" customHeight="1"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</row>
    <row r="847" spans="4:34" ht="14.25" customHeight="1"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</row>
    <row r="848" spans="4:34" ht="14.25" customHeight="1"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</row>
    <row r="849" spans="4:34" ht="14.25" customHeight="1"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</row>
    <row r="850" spans="4:34" ht="14.25" customHeight="1"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</row>
    <row r="851" spans="4:34" ht="14.25" customHeight="1"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</row>
    <row r="852" spans="4:34" ht="14.25" customHeight="1"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</row>
    <row r="853" spans="4:34" ht="14.25" customHeight="1"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</row>
    <row r="854" spans="4:34" ht="14.25" customHeight="1"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</row>
    <row r="855" spans="4:34" ht="14.25" customHeight="1"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</row>
    <row r="856" spans="4:34" ht="14.25" customHeight="1"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</row>
    <row r="857" spans="4:34" ht="14.25" customHeight="1"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</row>
    <row r="858" spans="4:34" ht="14.25" customHeight="1"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</row>
    <row r="859" spans="4:34" ht="14.25" customHeight="1"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</row>
    <row r="860" spans="4:34" ht="14.25" customHeight="1"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</row>
    <row r="861" spans="4:34" ht="14.25" customHeight="1"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</row>
    <row r="862" spans="4:34" ht="14.25" customHeight="1"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</row>
    <row r="863" spans="4:34" ht="14.25" customHeight="1"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</row>
    <row r="864" spans="4:34" ht="14.25" customHeight="1"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</row>
    <row r="865" spans="4:34" ht="14.25" customHeight="1"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</row>
    <row r="866" spans="4:34" ht="14.25" customHeight="1"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</row>
    <row r="867" spans="4:34" ht="14.25" customHeight="1"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</row>
    <row r="868" spans="4:34" ht="14.25" customHeight="1"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</row>
    <row r="869" spans="4:34" ht="14.25" customHeight="1"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</row>
    <row r="870" spans="4:34" ht="14.25" customHeight="1"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</row>
    <row r="871" spans="4:34" ht="14.25" customHeight="1"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</row>
    <row r="872" spans="4:34" ht="14.25" customHeight="1"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</row>
    <row r="873" spans="4:34" ht="14.25" customHeight="1"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</row>
    <row r="874" spans="4:34" ht="14.25" customHeight="1"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</row>
    <row r="875" spans="4:34" ht="14.25" customHeight="1"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</row>
    <row r="876" spans="4:34" ht="14.25" customHeight="1"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</row>
    <row r="877" spans="4:34" ht="14.25" customHeight="1"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</row>
    <row r="878" spans="4:34" ht="14.25" customHeight="1"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</row>
    <row r="879" spans="4:34" ht="14.25" customHeight="1"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</row>
    <row r="880" spans="4:34" ht="14.25" customHeight="1"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</row>
    <row r="881" spans="4:34" ht="14.25" customHeight="1"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</row>
    <row r="882" spans="4:34" ht="14.25" customHeight="1"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</row>
    <row r="883" spans="4:34" ht="14.25" customHeight="1"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</row>
    <row r="884" spans="4:34" ht="14.25" customHeight="1"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</row>
    <row r="885" spans="4:34" ht="14.25" customHeight="1"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</row>
    <row r="886" spans="4:34" ht="14.25" customHeight="1"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</row>
    <row r="887" spans="4:34" ht="14.25" customHeight="1"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</row>
    <row r="888" spans="4:34" ht="14.25" customHeight="1"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</row>
    <row r="889" spans="4:34" ht="14.25" customHeight="1"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</row>
    <row r="890" spans="4:34" ht="14.25" customHeight="1"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</row>
    <row r="891" spans="4:34" ht="14.25" customHeight="1"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</row>
    <row r="892" spans="4:34" ht="14.25" customHeight="1"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</row>
    <row r="893" spans="4:34" ht="14.25" customHeight="1"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</row>
    <row r="894" spans="4:34" ht="14.25" customHeight="1"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</row>
    <row r="895" spans="4:34" ht="14.25" customHeight="1"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</row>
    <row r="896" spans="4:34" ht="14.25" customHeight="1"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</row>
    <row r="897" spans="4:34" ht="14.25" customHeight="1"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</row>
    <row r="898" spans="4:34" ht="14.25" customHeight="1"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</row>
    <row r="899" spans="4:34" ht="14.25" customHeight="1"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</row>
    <row r="900" spans="4:34" ht="14.25" customHeight="1"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</row>
    <row r="901" spans="4:34" ht="14.25" customHeight="1"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</row>
    <row r="902" spans="4:34" ht="14.25" customHeight="1"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</row>
    <row r="903" spans="4:34" ht="14.25" customHeight="1"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</row>
    <row r="904" spans="4:34" ht="14.25" customHeight="1"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</row>
    <row r="905" spans="4:34" ht="14.25" customHeight="1"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</row>
    <row r="906" spans="4:34" ht="14.25" customHeight="1"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</row>
    <row r="907" spans="4:34" ht="14.25" customHeight="1"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</row>
    <row r="908" spans="4:34" ht="14.25" customHeight="1"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</row>
    <row r="909" spans="4:34" ht="14.25" customHeight="1"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</row>
    <row r="910" spans="4:34" ht="14.25" customHeight="1"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</row>
    <row r="911" spans="4:34" ht="14.25" customHeight="1"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</row>
    <row r="912" spans="4:34" ht="14.25" customHeight="1"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</row>
    <row r="913" spans="4:34" ht="14.25" customHeight="1"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</row>
    <row r="914" spans="4:34" ht="14.25" customHeight="1"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</row>
    <row r="915" spans="4:34" ht="14.25" customHeight="1"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</row>
    <row r="916" spans="4:34" ht="14.25" customHeight="1"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</row>
    <row r="917" spans="4:34" ht="14.25" customHeight="1"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</row>
    <row r="918" spans="4:34" ht="14.25" customHeight="1"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</row>
    <row r="919" spans="4:34" ht="14.25" customHeight="1"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</row>
    <row r="920" spans="4:34" ht="14.25" customHeight="1"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</row>
    <row r="921" spans="4:34" ht="14.25" customHeight="1"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</row>
    <row r="922" spans="4:34" ht="14.25" customHeight="1"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</row>
    <row r="923" spans="4:34" ht="14.25" customHeight="1"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</row>
    <row r="924" spans="4:34" ht="14.25" customHeight="1"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</row>
    <row r="925" spans="4:34" ht="14.25" customHeight="1"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</row>
    <row r="926" spans="4:34" ht="14.25" customHeight="1"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</row>
    <row r="927" spans="4:34" ht="14.25" customHeight="1"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</row>
    <row r="928" spans="4:34" ht="14.25" customHeight="1"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</row>
    <row r="929" spans="4:34" ht="14.25" customHeight="1"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</row>
    <row r="930" spans="4:34" ht="14.25" customHeight="1"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</row>
    <row r="931" spans="4:34" ht="14.25" customHeight="1"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</row>
    <row r="932" spans="4:34" ht="14.25" customHeight="1"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</row>
    <row r="933" spans="4:34" ht="14.25" customHeight="1"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</row>
    <row r="934" spans="4:34" ht="14.25" customHeight="1"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</row>
    <row r="935" spans="4:34" ht="14.25" customHeight="1"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</row>
    <row r="936" spans="4:34" ht="14.25" customHeight="1"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</row>
    <row r="937" spans="4:34" ht="14.25" customHeight="1"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</row>
    <row r="938" spans="4:34" ht="14.25" customHeight="1"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</row>
    <row r="939" spans="4:34" ht="14.25" customHeight="1"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</row>
    <row r="940" spans="4:34" ht="14.25" customHeight="1"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</row>
    <row r="941" spans="4:34" ht="14.25" customHeight="1"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</row>
    <row r="942" spans="4:34" ht="14.25" customHeight="1"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</row>
    <row r="943" spans="4:34" ht="14.25" customHeight="1"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</row>
    <row r="944" spans="4:34" ht="14.25" customHeight="1"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</row>
    <row r="945" spans="4:34" ht="14.25" customHeight="1"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</row>
    <row r="946" spans="4:34" ht="14.25" customHeight="1"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</row>
    <row r="947" spans="4:34" ht="14.25" customHeight="1"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</row>
    <row r="948" spans="4:34" ht="14.25" customHeight="1"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</row>
    <row r="949" spans="4:34" ht="14.25" customHeight="1"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</row>
    <row r="950" spans="4:34" ht="14.25" customHeight="1"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</row>
    <row r="951" spans="4:34" ht="14.25" customHeight="1"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</row>
    <row r="952" spans="4:34" ht="14.25" customHeight="1"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</row>
    <row r="953" spans="4:34" ht="14.25" customHeight="1"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</row>
    <row r="954" spans="4:34" ht="14.25" customHeight="1"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</row>
    <row r="955" spans="4:34" ht="14.25" customHeight="1"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</row>
    <row r="956" spans="4:34" ht="14.25" customHeight="1"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</row>
    <row r="957" spans="4:34" ht="14.25" customHeight="1"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</row>
    <row r="958" spans="4:34" ht="14.25" customHeight="1"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</row>
    <row r="959" spans="4:34" ht="14.25" customHeight="1"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</row>
    <row r="960" spans="4:34" ht="14.25" customHeight="1"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</row>
    <row r="961" spans="4:34" ht="14.25" customHeight="1"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</row>
    <row r="962" spans="4:34" ht="14.25" customHeight="1"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</row>
    <row r="963" spans="4:34" ht="14.25" customHeight="1"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</row>
    <row r="964" spans="4:34" ht="14.25" customHeight="1"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</row>
    <row r="965" spans="4:34" ht="14.25" customHeight="1"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</row>
    <row r="966" spans="4:34" ht="14.25" customHeight="1"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</row>
    <row r="967" spans="4:34" ht="14.25" customHeight="1"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</row>
    <row r="968" spans="4:34" ht="14.25" customHeight="1"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</row>
    <row r="969" spans="4:34" ht="14.25" customHeight="1"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</row>
    <row r="970" spans="4:34" ht="14.25" customHeight="1"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</row>
    <row r="971" spans="4:34" ht="14.25" customHeight="1"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</row>
    <row r="972" spans="4:34" ht="14.25" customHeight="1"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</row>
    <row r="973" spans="4:34" ht="14.25" customHeight="1"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</row>
    <row r="974" spans="4:34" ht="14.25" customHeight="1"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</row>
    <row r="975" spans="4:34" ht="14.25" customHeight="1"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</row>
    <row r="976" spans="4:34" ht="14.25" customHeight="1"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</row>
    <row r="977" spans="4:34" ht="14.25" customHeight="1"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</row>
    <row r="978" spans="4:34" ht="14.25" customHeight="1"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</row>
    <row r="979" spans="4:34" ht="14.25" customHeight="1"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</row>
    <row r="980" spans="4:34" ht="14.25" customHeight="1"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</row>
    <row r="981" spans="4:34" ht="14.25" customHeight="1"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</row>
    <row r="982" spans="4:34" ht="14.25" customHeight="1"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</row>
    <row r="983" spans="4:34" ht="14.25" customHeight="1"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</row>
    <row r="984" spans="4:34" ht="14.25" customHeight="1"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</row>
    <row r="985" spans="4:34" ht="14.25" customHeight="1"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</row>
    <row r="986" spans="4:34" ht="14.25" customHeight="1"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</row>
    <row r="987" spans="4:34" ht="14.25" customHeight="1"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</row>
    <row r="988" spans="4:34" ht="14.25" customHeight="1"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</row>
    <row r="989" spans="4:34" ht="14.25" customHeight="1"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</row>
    <row r="990" spans="4:34" ht="14.25" customHeight="1"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</row>
    <row r="991" spans="4:34" ht="14.25" customHeight="1"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</row>
    <row r="992" spans="4:34" ht="14.25" customHeight="1"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</row>
    <row r="993" spans="4:34" ht="14.25" customHeight="1"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</row>
    <row r="994" spans="4:34" ht="14.25" customHeight="1"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</row>
    <row r="995" spans="4:34" ht="14.25" customHeight="1"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</row>
    <row r="996" spans="4:34" ht="14.25" customHeight="1"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</row>
    <row r="997" spans="4:34" ht="14.25" customHeight="1"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</row>
    <row r="998" spans="4:34" ht="14.25" customHeight="1"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</row>
    <row r="999" spans="4:34" ht="14.25" customHeight="1"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</row>
    <row r="1000" spans="4:34" ht="14.25" customHeight="1"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D1000"/>
  <sheetViews>
    <sheetView workbookViewId="0">
      <selection activeCell="D344" sqref="C2:D344"/>
    </sheetView>
  </sheetViews>
  <sheetFormatPr baseColWidth="10" defaultColWidth="12.59765625" defaultRowHeight="15" customHeight="1"/>
  <cols>
    <col min="1" max="1" width="12.59765625" customWidth="1"/>
    <col min="2" max="2" width="11.69921875" customWidth="1"/>
    <col min="3" max="3" width="15.5" customWidth="1"/>
    <col min="4" max="4" width="15.19921875" customWidth="1"/>
  </cols>
  <sheetData>
    <row r="1" spans="1:4" ht="73.5" customHeight="1">
      <c r="A1" s="1" t="s">
        <v>0</v>
      </c>
      <c r="B1" s="2" t="s">
        <v>3</v>
      </c>
      <c r="C1" s="42" t="s">
        <v>498</v>
      </c>
      <c r="D1" s="42" t="s">
        <v>504</v>
      </c>
    </row>
    <row r="2" spans="1:4" ht="14.4">
      <c r="A2" s="7">
        <v>10101</v>
      </c>
      <c r="B2" s="8" t="s">
        <v>13</v>
      </c>
      <c r="C2" s="86">
        <v>27.721327290317884</v>
      </c>
      <c r="D2" s="43">
        <v>6.6275788539681075</v>
      </c>
    </row>
    <row r="3" spans="1:4" ht="14.4">
      <c r="A3" s="7">
        <v>10102</v>
      </c>
      <c r="B3" s="8" t="s">
        <v>14</v>
      </c>
      <c r="C3" s="86">
        <v>37.477157254270608</v>
      </c>
      <c r="D3" s="43">
        <v>11.743041036362889</v>
      </c>
    </row>
    <row r="4" spans="1:4" ht="14.4">
      <c r="A4" s="7">
        <v>10103</v>
      </c>
      <c r="B4" s="8" t="s">
        <v>16</v>
      </c>
      <c r="C4" s="86">
        <v>51.703180212014139</v>
      </c>
      <c r="D4" s="43">
        <v>14.059142555645536</v>
      </c>
    </row>
    <row r="5" spans="1:4" ht="14.4">
      <c r="A5" s="7">
        <v>10201</v>
      </c>
      <c r="B5" s="8" t="s">
        <v>19</v>
      </c>
      <c r="C5" s="86">
        <v>33.189377690681567</v>
      </c>
      <c r="D5" s="43">
        <v>10.682125761089189</v>
      </c>
    </row>
    <row r="6" spans="1:4" ht="14.4">
      <c r="A6" s="7">
        <v>10202</v>
      </c>
      <c r="B6" s="8" t="s">
        <v>21</v>
      </c>
      <c r="C6" s="86">
        <v>54.678902814144458</v>
      </c>
      <c r="D6" s="43">
        <v>8.7988040873999154</v>
      </c>
    </row>
    <row r="7" spans="1:4" ht="14.4">
      <c r="A7" s="7">
        <v>10301</v>
      </c>
      <c r="B7" s="8" t="s">
        <v>24</v>
      </c>
      <c r="C7" s="86">
        <v>37.256703388069006</v>
      </c>
      <c r="D7" s="43">
        <v>3.1584982886983521</v>
      </c>
    </row>
    <row r="8" spans="1:4" ht="14.4">
      <c r="A8" s="7">
        <v>10302</v>
      </c>
      <c r="B8" s="8" t="s">
        <v>26</v>
      </c>
      <c r="C8" s="86">
        <v>78.306816575650501</v>
      </c>
      <c r="D8" s="43">
        <v>9.1276140532961865</v>
      </c>
    </row>
    <row r="9" spans="1:4" ht="14.4">
      <c r="A9" s="7">
        <v>10303</v>
      </c>
      <c r="B9" s="8" t="s">
        <v>28</v>
      </c>
      <c r="C9" s="86">
        <v>62.376753399721593</v>
      </c>
      <c r="D9" s="43">
        <v>6.4994619264330247</v>
      </c>
    </row>
    <row r="10" spans="1:4" ht="14.4">
      <c r="A10" s="7">
        <v>10304</v>
      </c>
      <c r="B10" s="8" t="s">
        <v>30</v>
      </c>
      <c r="C10" s="86">
        <v>18.226300938048148</v>
      </c>
      <c r="D10" s="43">
        <v>6.8501072712116864</v>
      </c>
    </row>
    <row r="11" spans="1:4" ht="14.4">
      <c r="A11" s="7">
        <v>10401</v>
      </c>
      <c r="B11" s="8" t="s">
        <v>33</v>
      </c>
      <c r="C11" s="86">
        <v>27.241460541813897</v>
      </c>
      <c r="D11" s="43">
        <v>6.0876809482172343</v>
      </c>
    </row>
    <row r="12" spans="1:4" ht="14.4">
      <c r="A12" s="7">
        <v>10402</v>
      </c>
      <c r="B12" s="8" t="s">
        <v>32</v>
      </c>
      <c r="C12" s="86">
        <v>31.988078666523897</v>
      </c>
      <c r="D12" s="43">
        <v>7.4552150432689182</v>
      </c>
    </row>
    <row r="13" spans="1:4" ht="14.4">
      <c r="A13" s="7">
        <v>10403</v>
      </c>
      <c r="B13" s="8" t="s">
        <v>35</v>
      </c>
      <c r="C13" s="86">
        <v>9.8195962418166385</v>
      </c>
      <c r="D13" s="43">
        <v>4.746603035726122</v>
      </c>
    </row>
    <row r="14" spans="1:4" ht="14.4">
      <c r="A14" s="7">
        <v>10404</v>
      </c>
      <c r="B14" s="8" t="s">
        <v>36</v>
      </c>
      <c r="C14" s="86">
        <v>9.8963118374558299</v>
      </c>
      <c r="D14" s="43">
        <v>9.9585593102489227</v>
      </c>
    </row>
    <row r="15" spans="1:4" ht="14.4">
      <c r="A15" s="7">
        <v>10405</v>
      </c>
      <c r="B15" s="8" t="s">
        <v>37</v>
      </c>
      <c r="C15" s="86">
        <v>64.254314538843644</v>
      </c>
      <c r="D15" s="43">
        <v>6.0104914180200595</v>
      </c>
    </row>
    <row r="16" spans="1:4" ht="14.4">
      <c r="A16" s="7">
        <v>10501</v>
      </c>
      <c r="B16" s="8" t="s">
        <v>39</v>
      </c>
      <c r="C16" s="86">
        <v>28.001353914822388</v>
      </c>
      <c r="D16" s="43">
        <v>3.9791679295225388</v>
      </c>
    </row>
    <row r="17" spans="1:4" ht="14.4">
      <c r="A17" s="7">
        <v>10502</v>
      </c>
      <c r="B17" s="8" t="s">
        <v>40</v>
      </c>
      <c r="C17" s="86">
        <v>15.261782110775258</v>
      </c>
      <c r="D17" s="43">
        <v>7.5803958928760444</v>
      </c>
    </row>
    <row r="18" spans="1:4" ht="14.4">
      <c r="A18" s="7">
        <v>10601</v>
      </c>
      <c r="B18" s="8" t="s">
        <v>42</v>
      </c>
      <c r="C18" s="86">
        <v>47.143595549304145</v>
      </c>
      <c r="D18" s="43">
        <v>14.24646633443745</v>
      </c>
    </row>
    <row r="19" spans="1:4" ht="14.4">
      <c r="A19" s="7">
        <v>10602</v>
      </c>
      <c r="B19" s="8" t="s">
        <v>41</v>
      </c>
      <c r="C19" s="86">
        <v>25.001208852519998</v>
      </c>
      <c r="D19" s="43">
        <v>9.9369102682701218</v>
      </c>
    </row>
    <row r="20" spans="1:4" ht="14.4">
      <c r="A20" s="7">
        <v>10701</v>
      </c>
      <c r="B20" s="8" t="s">
        <v>44</v>
      </c>
      <c r="C20" s="86">
        <v>19.861587520468841</v>
      </c>
      <c r="D20" s="43">
        <v>12.387476215187686</v>
      </c>
    </row>
    <row r="21" spans="1:4" ht="15.75" customHeight="1">
      <c r="A21" s="7">
        <v>10702</v>
      </c>
      <c r="B21" s="8" t="s">
        <v>45</v>
      </c>
      <c r="C21" s="86">
        <v>38.165403470704838</v>
      </c>
      <c r="D21" s="43">
        <v>12.857886704372026</v>
      </c>
    </row>
    <row r="22" spans="1:4" ht="15.75" customHeight="1">
      <c r="A22" s="7">
        <v>10703</v>
      </c>
      <c r="B22" s="8" t="s">
        <v>46</v>
      </c>
      <c r="C22" s="86">
        <v>27.942527541051756</v>
      </c>
      <c r="D22" s="43">
        <v>11.210547093015339</v>
      </c>
    </row>
    <row r="23" spans="1:4" ht="15.75" customHeight="1">
      <c r="A23" s="7">
        <v>10704</v>
      </c>
      <c r="B23" s="8" t="s">
        <v>47</v>
      </c>
      <c r="C23" s="86">
        <v>37.16561120374611</v>
      </c>
      <c r="D23" s="43">
        <v>8.0298264794101986</v>
      </c>
    </row>
    <row r="24" spans="1:4" ht="15.75" customHeight="1">
      <c r="A24" s="7">
        <v>10801</v>
      </c>
      <c r="B24" s="8" t="s">
        <v>49</v>
      </c>
      <c r="C24" s="86">
        <v>19.000918727915199</v>
      </c>
      <c r="D24" s="43">
        <v>9.9781242597778999</v>
      </c>
    </row>
    <row r="25" spans="1:4" ht="15.75" customHeight="1">
      <c r="A25" s="7">
        <v>10901</v>
      </c>
      <c r="B25" s="8" t="s">
        <v>51</v>
      </c>
      <c r="C25" s="86">
        <v>9.5964235999571681</v>
      </c>
      <c r="D25" s="43">
        <v>3.3523863024600331</v>
      </c>
    </row>
    <row r="26" spans="1:4" ht="15.75" customHeight="1">
      <c r="A26" s="7">
        <v>10902</v>
      </c>
      <c r="B26" s="8" t="s">
        <v>52</v>
      </c>
      <c r="C26" s="86">
        <v>16.992691545290011</v>
      </c>
      <c r="D26" s="43">
        <v>13.218267913303377</v>
      </c>
    </row>
    <row r="27" spans="1:4" ht="15.75" customHeight="1">
      <c r="A27" s="7">
        <v>10903</v>
      </c>
      <c r="B27" s="8" t="s">
        <v>53</v>
      </c>
      <c r="C27" s="86">
        <v>9.179187791263379</v>
      </c>
      <c r="D27" s="43">
        <v>8.4647754137115836</v>
      </c>
    </row>
    <row r="28" spans="1:4" ht="15.75" customHeight="1">
      <c r="A28" s="7">
        <v>11001</v>
      </c>
      <c r="B28" s="8" t="s">
        <v>55</v>
      </c>
      <c r="C28" s="86">
        <v>21.522076229030155</v>
      </c>
      <c r="D28" s="43">
        <v>7.1983916904004026</v>
      </c>
    </row>
    <row r="29" spans="1:4" ht="15.75" customHeight="1">
      <c r="A29" s="7">
        <v>11002</v>
      </c>
      <c r="B29" s="8" t="s">
        <v>56</v>
      </c>
      <c r="C29" s="86">
        <v>10.734982332155477</v>
      </c>
      <c r="D29" s="43">
        <v>9.1237100267549991</v>
      </c>
    </row>
    <row r="30" spans="1:4" ht="15.75" customHeight="1">
      <c r="A30" s="7">
        <v>11003</v>
      </c>
      <c r="B30" s="8" t="s">
        <v>57</v>
      </c>
      <c r="C30" s="86">
        <v>8.8582371691912325</v>
      </c>
      <c r="D30" s="43">
        <v>11.78391008869362</v>
      </c>
    </row>
    <row r="31" spans="1:4" ht="15.75" customHeight="1">
      <c r="A31" s="7">
        <v>20101</v>
      </c>
      <c r="B31" s="8" t="s">
        <v>59</v>
      </c>
      <c r="C31" s="86">
        <v>48.644905538349029</v>
      </c>
      <c r="D31" s="43">
        <v>12.126475670681629</v>
      </c>
    </row>
    <row r="32" spans="1:4" ht="15.75" customHeight="1">
      <c r="A32" s="7">
        <v>20102</v>
      </c>
      <c r="B32" s="8" t="s">
        <v>60</v>
      </c>
      <c r="C32" s="86">
        <v>126.71759047049879</v>
      </c>
      <c r="D32" s="43">
        <v>22.135894079555186</v>
      </c>
    </row>
    <row r="33" spans="1:4" ht="15.75" customHeight="1">
      <c r="A33" s="7">
        <v>20103</v>
      </c>
      <c r="B33" s="8" t="s">
        <v>61</v>
      </c>
      <c r="C33" s="86">
        <v>84.841930286821565</v>
      </c>
      <c r="D33" s="43">
        <v>17.014566184744922</v>
      </c>
    </row>
    <row r="34" spans="1:4" ht="15.75" customHeight="1">
      <c r="A34" s="7">
        <v>20104</v>
      </c>
      <c r="B34" s="8" t="s">
        <v>62</v>
      </c>
      <c r="C34" s="86">
        <v>137.51235774361177</v>
      </c>
      <c r="D34" s="43">
        <v>19.260559108410114</v>
      </c>
    </row>
    <row r="35" spans="1:4" ht="15.75" customHeight="1">
      <c r="A35" s="7">
        <v>20105</v>
      </c>
      <c r="B35" s="8" t="s">
        <v>63</v>
      </c>
      <c r="C35" s="86">
        <v>63.029559477087531</v>
      </c>
      <c r="D35" s="43">
        <v>16.01930637429302</v>
      </c>
    </row>
    <row r="36" spans="1:4" ht="15.75" customHeight="1">
      <c r="A36" s="7">
        <v>20201</v>
      </c>
      <c r="B36" s="8" t="s">
        <v>65</v>
      </c>
      <c r="C36" s="86">
        <v>95.469488999622627</v>
      </c>
      <c r="D36" s="43">
        <v>21.208632919359911</v>
      </c>
    </row>
    <row r="37" spans="1:4" ht="15.75" customHeight="1">
      <c r="A37" s="7">
        <v>20202</v>
      </c>
      <c r="B37" s="8" t="s">
        <v>66</v>
      </c>
      <c r="C37" s="86">
        <v>194.80239077515051</v>
      </c>
      <c r="D37" s="43">
        <v>24.900123350756424</v>
      </c>
    </row>
    <row r="38" spans="1:4" ht="15.75" customHeight="1">
      <c r="A38" s="7">
        <v>20203</v>
      </c>
      <c r="B38" s="8" t="s">
        <v>67</v>
      </c>
      <c r="C38" s="86">
        <v>125.54891704059959</v>
      </c>
      <c r="D38" s="43">
        <v>22.737183039674147</v>
      </c>
    </row>
    <row r="39" spans="1:4" ht="15.75" customHeight="1">
      <c r="A39" s="7">
        <v>20204</v>
      </c>
      <c r="B39" s="8" t="s">
        <v>68</v>
      </c>
      <c r="C39" s="86">
        <v>75.329350224359743</v>
      </c>
      <c r="D39" s="43">
        <v>25.359030461952354</v>
      </c>
    </row>
    <row r="40" spans="1:4" ht="15.75" customHeight="1">
      <c r="A40" s="7">
        <v>20205</v>
      </c>
      <c r="B40" s="8" t="s">
        <v>69</v>
      </c>
      <c r="C40" s="86">
        <v>250.01551583084921</v>
      </c>
      <c r="D40" s="43">
        <v>25.60404524902436</v>
      </c>
    </row>
    <row r="41" spans="1:4" ht="15.75" customHeight="1">
      <c r="A41" s="7">
        <v>20206</v>
      </c>
      <c r="B41" s="8" t="s">
        <v>70</v>
      </c>
      <c r="C41" s="86">
        <v>83.982045858238919</v>
      </c>
      <c r="D41" s="43">
        <v>12.082152051401312</v>
      </c>
    </row>
    <row r="42" spans="1:4" ht="15.75" customHeight="1">
      <c r="A42" s="7">
        <v>20301</v>
      </c>
      <c r="B42" s="8" t="s">
        <v>72</v>
      </c>
      <c r="C42" s="86">
        <v>57.864724334354563</v>
      </c>
      <c r="D42" s="43">
        <v>32.366640406400258</v>
      </c>
    </row>
    <row r="43" spans="1:4" ht="15.75" customHeight="1">
      <c r="A43" s="7">
        <v>20302</v>
      </c>
      <c r="B43" s="8" t="s">
        <v>73</v>
      </c>
      <c r="C43" s="86">
        <v>53.860485410417233</v>
      </c>
      <c r="D43" s="43">
        <v>20.408307148818032</v>
      </c>
    </row>
    <row r="44" spans="1:4" ht="15.75" customHeight="1">
      <c r="A44" s="7">
        <v>20303</v>
      </c>
      <c r="B44" s="8" t="s">
        <v>74</v>
      </c>
      <c r="C44" s="86">
        <v>47.897274709130471</v>
      </c>
      <c r="D44" s="43">
        <v>26.56660334109295</v>
      </c>
    </row>
    <row r="45" spans="1:4" ht="15.75" customHeight="1">
      <c r="A45" s="7">
        <v>20304</v>
      </c>
      <c r="B45" s="8" t="s">
        <v>75</v>
      </c>
      <c r="C45" s="86">
        <v>45.696113187571171</v>
      </c>
      <c r="D45" s="43">
        <v>9.7696541318857939</v>
      </c>
    </row>
    <row r="46" spans="1:4" ht="15.75" customHeight="1">
      <c r="A46" s="7">
        <v>20305</v>
      </c>
      <c r="B46" s="8" t="s">
        <v>76</v>
      </c>
      <c r="C46" s="86">
        <v>66.824423586125604</v>
      </c>
      <c r="D46" s="43">
        <v>35.745193765805325</v>
      </c>
    </row>
    <row r="47" spans="1:4" ht="15.75" customHeight="1">
      <c r="A47" s="7">
        <v>20306</v>
      </c>
      <c r="B47" s="8" t="s">
        <v>77</v>
      </c>
      <c r="C47" s="86">
        <v>70.392718049462403</v>
      </c>
      <c r="D47" s="43">
        <v>24.091078938854732</v>
      </c>
    </row>
    <row r="48" spans="1:4" ht="15.75" customHeight="1">
      <c r="A48" s="7">
        <v>20307</v>
      </c>
      <c r="B48" s="8" t="s">
        <v>78</v>
      </c>
      <c r="C48" s="86">
        <v>0</v>
      </c>
      <c r="D48" s="43">
        <v>6.7602517430459743</v>
      </c>
    </row>
    <row r="49" spans="1:4" ht="15.75" customHeight="1">
      <c r="A49" s="7">
        <v>20308</v>
      </c>
      <c r="B49" s="8" t="s">
        <v>79</v>
      </c>
      <c r="C49" s="86">
        <v>82.041866580985882</v>
      </c>
      <c r="D49" s="43">
        <v>21.632805577747114</v>
      </c>
    </row>
    <row r="50" spans="1:4" ht="15.75" customHeight="1">
      <c r="A50" s="7">
        <v>20401</v>
      </c>
      <c r="B50" s="8" t="s">
        <v>81</v>
      </c>
      <c r="C50" s="86">
        <v>105.55705126980348</v>
      </c>
      <c r="D50" s="43">
        <v>16.987299251756543</v>
      </c>
    </row>
    <row r="51" spans="1:4" ht="15.75" customHeight="1">
      <c r="A51" s="7">
        <v>20402</v>
      </c>
      <c r="B51" s="8" t="s">
        <v>82</v>
      </c>
      <c r="C51" s="86">
        <v>131.89689599209058</v>
      </c>
      <c r="D51" s="43">
        <v>20.254919872158126</v>
      </c>
    </row>
    <row r="52" spans="1:4" ht="15.75" customHeight="1">
      <c r="A52" s="7">
        <v>20403</v>
      </c>
      <c r="B52" s="8" t="s">
        <v>83</v>
      </c>
      <c r="C52" s="86">
        <v>131.168464637395</v>
      </c>
      <c r="D52" s="43">
        <v>23.60414037859697</v>
      </c>
    </row>
    <row r="53" spans="1:4" ht="15.75" customHeight="1">
      <c r="A53" s="7">
        <v>20404</v>
      </c>
      <c r="B53" s="8" t="s">
        <v>84</v>
      </c>
      <c r="C53" s="86">
        <v>201.12205156989256</v>
      </c>
      <c r="D53" s="43">
        <v>10.973162249581868</v>
      </c>
    </row>
    <row r="54" spans="1:4" ht="15.75" customHeight="1">
      <c r="A54" s="7">
        <v>20405</v>
      </c>
      <c r="B54" s="8" t="s">
        <v>85</v>
      </c>
      <c r="C54" s="86">
        <v>264.6989667605975</v>
      </c>
      <c r="D54" s="43">
        <v>23.660881100660905</v>
      </c>
    </row>
    <row r="55" spans="1:4" ht="15.75" customHeight="1">
      <c r="A55" s="7">
        <v>20501</v>
      </c>
      <c r="B55" s="8" t="s">
        <v>87</v>
      </c>
      <c r="C55" s="86">
        <v>146.69825177812552</v>
      </c>
      <c r="D55" s="43">
        <v>15.00954572024304</v>
      </c>
    </row>
    <row r="56" spans="1:4" ht="15.75" customHeight="1">
      <c r="A56" s="7">
        <v>20502</v>
      </c>
      <c r="B56" s="8" t="s">
        <v>88</v>
      </c>
      <c r="C56" s="86">
        <v>109.0293226931523</v>
      </c>
      <c r="D56" s="43">
        <v>16.714088194727353</v>
      </c>
    </row>
    <row r="57" spans="1:4" ht="15.75" customHeight="1">
      <c r="A57" s="7">
        <v>20503</v>
      </c>
      <c r="B57" s="8" t="s">
        <v>89</v>
      </c>
      <c r="C57" s="86">
        <v>128.23925097718387</v>
      </c>
      <c r="D57" s="43">
        <v>10.208739710846952</v>
      </c>
    </row>
    <row r="58" spans="1:4" ht="15.75" customHeight="1">
      <c r="A58" s="7">
        <v>20601</v>
      </c>
      <c r="B58" s="8" t="s">
        <v>91</v>
      </c>
      <c r="C58" s="86">
        <v>83.312623753571799</v>
      </c>
      <c r="D58" s="43">
        <v>14.095844059968199</v>
      </c>
    </row>
    <row r="59" spans="1:4" ht="15.75" customHeight="1">
      <c r="A59" s="7">
        <v>20602</v>
      </c>
      <c r="B59" s="8" t="s">
        <v>92</v>
      </c>
      <c r="C59" s="86">
        <v>122.61553112843606</v>
      </c>
      <c r="D59" s="43">
        <v>24.897790567980444</v>
      </c>
    </row>
    <row r="60" spans="1:4" ht="15.75" customHeight="1">
      <c r="A60" s="7">
        <v>20603</v>
      </c>
      <c r="B60" s="8" t="s">
        <v>93</v>
      </c>
      <c r="C60" s="86">
        <v>79.675274275765148</v>
      </c>
      <c r="D60" s="43">
        <v>4.6954926835420085</v>
      </c>
    </row>
    <row r="61" spans="1:4" ht="15.75" customHeight="1">
      <c r="A61" s="7">
        <v>20604</v>
      </c>
      <c r="B61" s="8" t="s">
        <v>94</v>
      </c>
      <c r="C61" s="86">
        <v>293.14487705234336</v>
      </c>
      <c r="D61" s="43">
        <v>23.826341807658533</v>
      </c>
    </row>
    <row r="62" spans="1:4" ht="15.75" customHeight="1">
      <c r="A62" s="7">
        <v>20605</v>
      </c>
      <c r="B62" s="8" t="s">
        <v>95</v>
      </c>
      <c r="C62" s="86">
        <v>101.54691819460263</v>
      </c>
      <c r="D62" s="43">
        <v>11.47194235183559</v>
      </c>
    </row>
    <row r="63" spans="1:4" ht="15.75" customHeight="1">
      <c r="A63" s="7">
        <v>20606</v>
      </c>
      <c r="B63" s="8" t="s">
        <v>96</v>
      </c>
      <c r="C63" s="86">
        <v>101.15025054540496</v>
      </c>
      <c r="D63" s="43">
        <v>26.839208412689985</v>
      </c>
    </row>
    <row r="64" spans="1:4" ht="15.75" customHeight="1">
      <c r="A64" s="7">
        <v>20607</v>
      </c>
      <c r="B64" s="8" t="s">
        <v>97</v>
      </c>
      <c r="C64" s="86">
        <v>74.775457943298278</v>
      </c>
      <c r="D64" s="43">
        <v>18.027337981455929</v>
      </c>
    </row>
    <row r="65" spans="1:4" ht="15.75" customHeight="1">
      <c r="A65" s="7">
        <v>20608</v>
      </c>
      <c r="B65" s="8" t="s">
        <v>98</v>
      </c>
      <c r="C65" s="86">
        <v>91.777847583476287</v>
      </c>
      <c r="D65" s="43">
        <v>23.660881100660905</v>
      </c>
    </row>
    <row r="66" spans="1:4" ht="15.75" customHeight="1">
      <c r="A66" s="7">
        <v>20701</v>
      </c>
      <c r="B66" s="8" t="s">
        <v>100</v>
      </c>
      <c r="C66" s="86">
        <v>112.68887171873261</v>
      </c>
      <c r="D66" s="43">
        <v>21.486637972492066</v>
      </c>
    </row>
    <row r="67" spans="1:4" ht="15.75" customHeight="1">
      <c r="A67" s="7">
        <v>20702</v>
      </c>
      <c r="B67" s="8" t="s">
        <v>101</v>
      </c>
      <c r="C67" s="86">
        <v>86.871750661963276</v>
      </c>
      <c r="D67" s="43">
        <v>16.570583397095852</v>
      </c>
    </row>
    <row r="68" spans="1:4" ht="15.75" customHeight="1">
      <c r="A68" s="7">
        <v>20801</v>
      </c>
      <c r="B68" s="8" t="s">
        <v>103</v>
      </c>
      <c r="C68" s="86">
        <v>72.934486488903246</v>
      </c>
      <c r="D68" s="43">
        <v>18.12655283000549</v>
      </c>
    </row>
    <row r="69" spans="1:4" ht="15.75" customHeight="1">
      <c r="A69" s="7">
        <v>20802</v>
      </c>
      <c r="B69" s="8" t="s">
        <v>104</v>
      </c>
      <c r="C69" s="86">
        <v>94.161687780449697</v>
      </c>
      <c r="D69" s="43">
        <v>30.144073346041054</v>
      </c>
    </row>
    <row r="70" spans="1:4" ht="15.75" customHeight="1">
      <c r="A70" s="7">
        <v>20803</v>
      </c>
      <c r="B70" s="8" t="s">
        <v>105</v>
      </c>
      <c r="C70" s="86">
        <v>88.151367283825252</v>
      </c>
      <c r="D70" s="43">
        <v>15.432319902596667</v>
      </c>
    </row>
    <row r="71" spans="1:4" ht="15.75" customHeight="1">
      <c r="A71" s="7">
        <v>20804</v>
      </c>
      <c r="B71" s="8" t="s">
        <v>106</v>
      </c>
      <c r="C71" s="86">
        <v>55.61227197771526</v>
      </c>
      <c r="D71" s="43">
        <v>24.92668955460573</v>
      </c>
    </row>
    <row r="72" spans="1:4" ht="15.75" customHeight="1">
      <c r="A72" s="7">
        <v>20805</v>
      </c>
      <c r="B72" s="8" t="s">
        <v>107</v>
      </c>
      <c r="C72" s="86">
        <v>54.51466134657614</v>
      </c>
      <c r="D72" s="43">
        <v>12.278078841424037</v>
      </c>
    </row>
    <row r="73" spans="1:4" ht="15.75" customHeight="1">
      <c r="A73" s="7">
        <v>20806</v>
      </c>
      <c r="B73" s="8" t="s">
        <v>108</v>
      </c>
      <c r="C73" s="86">
        <v>76.557546151930836</v>
      </c>
      <c r="D73" s="43">
        <v>11.053258324396335</v>
      </c>
    </row>
    <row r="74" spans="1:4" ht="15.75" customHeight="1">
      <c r="A74" s="7">
        <v>20807</v>
      </c>
      <c r="B74" s="8" t="s">
        <v>109</v>
      </c>
      <c r="C74" s="86">
        <v>71.433004523099783</v>
      </c>
      <c r="D74" s="43">
        <v>9.5358714763368884</v>
      </c>
    </row>
    <row r="75" spans="1:4" ht="15.75" customHeight="1">
      <c r="A75" s="7">
        <v>20901</v>
      </c>
      <c r="B75" s="8" t="s">
        <v>111</v>
      </c>
      <c r="C75" s="86">
        <v>106.62426410433275</v>
      </c>
      <c r="D75" s="43">
        <v>8.8481425151052466</v>
      </c>
    </row>
    <row r="76" spans="1:4" ht="15.75" customHeight="1">
      <c r="A76" s="7">
        <v>20902</v>
      </c>
      <c r="B76" s="8" t="s">
        <v>112</v>
      </c>
      <c r="C76" s="86">
        <v>85.564316287452115</v>
      </c>
      <c r="D76" s="43">
        <v>23.284515017405433</v>
      </c>
    </row>
    <row r="77" spans="1:4" ht="15.75" customHeight="1">
      <c r="A77" s="7">
        <v>20903</v>
      </c>
      <c r="B77" s="8" t="s">
        <v>113</v>
      </c>
      <c r="C77" s="86">
        <v>97.573343134813811</v>
      </c>
      <c r="D77" s="43">
        <v>22.943884703671184</v>
      </c>
    </row>
    <row r="78" spans="1:4" ht="15.75" customHeight="1">
      <c r="A78" s="7">
        <v>20904</v>
      </c>
      <c r="B78" s="8" t="s">
        <v>114</v>
      </c>
      <c r="C78" s="86">
        <v>94.161687780449711</v>
      </c>
      <c r="D78" s="43">
        <v>6.5648687446920437</v>
      </c>
    </row>
    <row r="79" spans="1:4" ht="15.75" customHeight="1">
      <c r="A79" s="7">
        <v>20905</v>
      </c>
      <c r="B79" s="8" t="s">
        <v>115</v>
      </c>
      <c r="C79" s="86">
        <v>109.91935798044331</v>
      </c>
      <c r="D79" s="43">
        <v>19.136712626468597</v>
      </c>
    </row>
    <row r="80" spans="1:4" ht="15.75" customHeight="1">
      <c r="A80" s="7">
        <v>21001</v>
      </c>
      <c r="B80" s="8" t="s">
        <v>116</v>
      </c>
      <c r="C80" s="86">
        <v>70.330643342187741</v>
      </c>
      <c r="D80" s="43">
        <v>19.740617369096398</v>
      </c>
    </row>
    <row r="81" spans="1:4" ht="15.75" customHeight="1">
      <c r="A81" s="7">
        <v>21002</v>
      </c>
      <c r="B81" s="8" t="s">
        <v>117</v>
      </c>
      <c r="C81" s="86">
        <v>113.82182039395019</v>
      </c>
      <c r="D81" s="43">
        <v>25.158405220955895</v>
      </c>
    </row>
    <row r="82" spans="1:4" ht="15.75" customHeight="1">
      <c r="A82" s="7">
        <v>21003</v>
      </c>
      <c r="B82" s="8" t="s">
        <v>118</v>
      </c>
      <c r="C82" s="86">
        <v>102.64472271562535</v>
      </c>
      <c r="D82" s="43">
        <v>14.894718594514407</v>
      </c>
    </row>
    <row r="83" spans="1:4" ht="15.75" customHeight="1">
      <c r="A83" s="7">
        <v>21004</v>
      </c>
      <c r="B83" s="8" t="s">
        <v>119</v>
      </c>
      <c r="C83" s="86">
        <v>96.403632727603267</v>
      </c>
      <c r="D83" s="43">
        <v>20.540928955526436</v>
      </c>
    </row>
    <row r="84" spans="1:4" ht="15.75" customHeight="1">
      <c r="A84" s="7">
        <v>21005</v>
      </c>
      <c r="B84" s="8" t="s">
        <v>120</v>
      </c>
      <c r="C84" s="86">
        <v>69.515339972144076</v>
      </c>
      <c r="D84" s="43">
        <v>19.249530386978364</v>
      </c>
    </row>
    <row r="85" spans="1:4" ht="15.75" customHeight="1">
      <c r="A85" s="7">
        <v>21006</v>
      </c>
      <c r="B85" s="8" t="s">
        <v>121</v>
      </c>
      <c r="C85" s="86">
        <v>25.262891843535282</v>
      </c>
      <c r="D85" s="43">
        <v>9.2712023904630492</v>
      </c>
    </row>
    <row r="86" spans="1:4" ht="15.75" customHeight="1">
      <c r="A86" s="7">
        <v>21101</v>
      </c>
      <c r="B86" s="8" t="s">
        <v>123</v>
      </c>
      <c r="C86" s="86">
        <v>67.678713092198237</v>
      </c>
      <c r="D86" s="43">
        <v>25.655434714105041</v>
      </c>
    </row>
    <row r="87" spans="1:4" ht="15.75" customHeight="1">
      <c r="A87" s="7">
        <v>21102</v>
      </c>
      <c r="B87" s="8" t="s">
        <v>124</v>
      </c>
      <c r="C87" s="86">
        <v>55.389228106146881</v>
      </c>
      <c r="D87" s="43">
        <v>20.362088760370604</v>
      </c>
    </row>
    <row r="88" spans="1:4" ht="15.75" customHeight="1">
      <c r="A88" s="7">
        <v>21103</v>
      </c>
      <c r="B88" s="8" t="s">
        <v>125</v>
      </c>
      <c r="C88" s="86">
        <v>63.849363631948776</v>
      </c>
      <c r="D88" s="43">
        <v>7.245437274843531</v>
      </c>
    </row>
    <row r="89" spans="1:4" ht="15.75" customHeight="1">
      <c r="A89" s="7">
        <v>21104</v>
      </c>
      <c r="B89" s="8" t="s">
        <v>126</v>
      </c>
      <c r="C89" s="86">
        <v>100.54553101980223</v>
      </c>
      <c r="D89" s="43">
        <v>26.78853565401608</v>
      </c>
    </row>
    <row r="90" spans="1:4" ht="15.75" customHeight="1">
      <c r="A90" s="7">
        <v>21105</v>
      </c>
      <c r="B90" s="8" t="s">
        <v>127</v>
      </c>
      <c r="C90" s="86">
        <v>74.61869597696014</v>
      </c>
      <c r="D90" s="43">
        <v>24.261965839938664</v>
      </c>
    </row>
    <row r="91" spans="1:4" ht="15.75" customHeight="1">
      <c r="A91" s="7">
        <v>21201</v>
      </c>
      <c r="B91" s="8" t="s">
        <v>129</v>
      </c>
      <c r="C91" s="86">
        <v>139.39779673119384</v>
      </c>
      <c r="D91" s="43">
        <v>21.90195401417321</v>
      </c>
    </row>
    <row r="92" spans="1:4" ht="15.75" customHeight="1">
      <c r="A92" s="7">
        <v>21202</v>
      </c>
      <c r="B92" s="8" t="s">
        <v>130</v>
      </c>
      <c r="C92" s="86">
        <v>91.459475989840755</v>
      </c>
      <c r="D92" s="43">
        <v>16.761049872924541</v>
      </c>
    </row>
    <row r="93" spans="1:4" ht="15.75" customHeight="1">
      <c r="A93" s="7">
        <v>21203</v>
      </c>
      <c r="B93" s="8" t="s">
        <v>131</v>
      </c>
      <c r="C93" s="86">
        <v>48.660737980500862</v>
      </c>
      <c r="D93" s="43">
        <v>18.116582228888877</v>
      </c>
    </row>
    <row r="94" spans="1:4" ht="15.75" customHeight="1">
      <c r="A94" s="7">
        <v>21204</v>
      </c>
      <c r="B94" s="8" t="s">
        <v>132</v>
      </c>
      <c r="C94" s="86">
        <v>161.12111020210284</v>
      </c>
      <c r="D94" s="43">
        <v>10.176723054047701</v>
      </c>
    </row>
    <row r="95" spans="1:4" ht="15.75" customHeight="1">
      <c r="A95" s="7">
        <v>21301</v>
      </c>
      <c r="B95" s="8" t="s">
        <v>134</v>
      </c>
      <c r="C95" s="86">
        <v>80.076998347743782</v>
      </c>
      <c r="D95" s="43">
        <v>17.10649164055641</v>
      </c>
    </row>
    <row r="96" spans="1:4" ht="15.75" customHeight="1">
      <c r="A96" s="7">
        <v>21302</v>
      </c>
      <c r="B96" s="8" t="s">
        <v>135</v>
      </c>
      <c r="C96" s="86">
        <v>98.33340812515317</v>
      </c>
      <c r="D96" s="43">
        <v>24.256463920128336</v>
      </c>
    </row>
    <row r="97" spans="1:4" ht="15.75" customHeight="1">
      <c r="A97" s="7">
        <v>21303</v>
      </c>
      <c r="B97" s="8" t="s">
        <v>136</v>
      </c>
      <c r="C97" s="86">
        <v>52.370826349800694</v>
      </c>
      <c r="D97" s="43">
        <v>37.857409761057447</v>
      </c>
    </row>
    <row r="98" spans="1:4" ht="15.75" customHeight="1">
      <c r="A98" s="7">
        <v>21304</v>
      </c>
      <c r="B98" s="8" t="s">
        <v>137</v>
      </c>
      <c r="C98" s="86">
        <v>88.647715072585541</v>
      </c>
      <c r="D98" s="43">
        <v>21.53813246799767</v>
      </c>
    </row>
    <row r="99" spans="1:4" ht="15.75" customHeight="1">
      <c r="A99" s="7">
        <v>21305</v>
      </c>
      <c r="B99" s="8" t="s">
        <v>138</v>
      </c>
      <c r="C99" s="86">
        <v>55.094604552390784</v>
      </c>
      <c r="D99" s="43">
        <v>23.338296473918049</v>
      </c>
    </row>
    <row r="100" spans="1:4" ht="15.75" customHeight="1">
      <c r="A100" s="7">
        <v>21306</v>
      </c>
      <c r="B100" s="8" t="s">
        <v>139</v>
      </c>
      <c r="C100" s="86">
        <v>52.666706724658304</v>
      </c>
      <c r="D100" s="43">
        <v>20.756148379125651</v>
      </c>
    </row>
    <row r="101" spans="1:4" ht="15.75" customHeight="1">
      <c r="A101" s="7">
        <v>21307</v>
      </c>
      <c r="B101" s="8" t="s">
        <v>140</v>
      </c>
      <c r="C101" s="86">
        <v>23.275922822133634</v>
      </c>
      <c r="D101" s="43">
        <v>24.078917869223815</v>
      </c>
    </row>
    <row r="102" spans="1:4" ht="15.75" customHeight="1">
      <c r="A102" s="7">
        <v>21401</v>
      </c>
      <c r="B102" s="8" t="s">
        <v>142</v>
      </c>
      <c r="C102" s="86">
        <v>66.82442358612559</v>
      </c>
      <c r="D102" s="43">
        <v>20.059995313930621</v>
      </c>
    </row>
    <row r="103" spans="1:4" ht="15.75" customHeight="1">
      <c r="A103" s="7">
        <v>21402</v>
      </c>
      <c r="B103" s="8" t="s">
        <v>143</v>
      </c>
      <c r="C103" s="86">
        <v>50.801128557299847</v>
      </c>
      <c r="D103" s="43">
        <v>13.784232422751733</v>
      </c>
    </row>
    <row r="104" spans="1:4" ht="15.75" customHeight="1">
      <c r="A104" s="7">
        <v>21501</v>
      </c>
      <c r="B104" s="8" t="s">
        <v>145</v>
      </c>
      <c r="C104" s="86">
        <v>40.118183878290189</v>
      </c>
      <c r="D104" s="43">
        <v>22.824633743672887</v>
      </c>
    </row>
    <row r="105" spans="1:4" ht="15.75" customHeight="1">
      <c r="A105" s="7">
        <v>21502</v>
      </c>
      <c r="B105" s="8" t="s">
        <v>146</v>
      </c>
      <c r="C105" s="86">
        <v>70.715805682506385</v>
      </c>
      <c r="D105" s="43">
        <v>30.285927808845962</v>
      </c>
    </row>
    <row r="106" spans="1:4" ht="15.75" customHeight="1">
      <c r="A106" s="7">
        <v>21601</v>
      </c>
      <c r="B106" s="8" t="s">
        <v>148</v>
      </c>
      <c r="C106" s="86">
        <v>53.026206429263482</v>
      </c>
      <c r="D106" s="43">
        <v>13.269607545112919</v>
      </c>
    </row>
    <row r="107" spans="1:4" ht="15.75" customHeight="1">
      <c r="A107" s="7">
        <v>21602</v>
      </c>
      <c r="B107" s="8" t="s">
        <v>149</v>
      </c>
      <c r="C107" s="86">
        <v>59.187346604854085</v>
      </c>
      <c r="D107" s="43">
        <v>15.732949511088808</v>
      </c>
    </row>
    <row r="108" spans="1:4" ht="15.75" customHeight="1">
      <c r="A108" s="7">
        <v>21701</v>
      </c>
      <c r="B108" s="8" t="s">
        <v>151</v>
      </c>
      <c r="C108" s="86">
        <v>71.160359467668101</v>
      </c>
      <c r="D108" s="43">
        <v>12.760924638558691</v>
      </c>
    </row>
    <row r="109" spans="1:4" ht="15.75" customHeight="1">
      <c r="A109" s="7">
        <v>21702</v>
      </c>
      <c r="B109" s="8" t="s">
        <v>152</v>
      </c>
      <c r="C109" s="86">
        <v>45.696113187571171</v>
      </c>
      <c r="D109" s="43">
        <v>26.835632235686287</v>
      </c>
    </row>
    <row r="110" spans="1:4" ht="15.75" customHeight="1">
      <c r="A110" s="7">
        <v>21703</v>
      </c>
      <c r="B110" s="8" t="s">
        <v>153</v>
      </c>
      <c r="C110" s="86">
        <v>105.33341344931661</v>
      </c>
      <c r="D110" s="43">
        <v>12.082152051401312</v>
      </c>
    </row>
    <row r="111" spans="1:4" ht="15.75" customHeight="1">
      <c r="A111" s="7">
        <v>21801</v>
      </c>
      <c r="B111" s="8" t="s">
        <v>155</v>
      </c>
      <c r="C111" s="86">
        <v>59.756455706823864</v>
      </c>
      <c r="D111" s="43">
        <v>25.182312479639101</v>
      </c>
    </row>
    <row r="112" spans="1:4" ht="15.75" customHeight="1">
      <c r="A112" s="7">
        <v>21802</v>
      </c>
      <c r="B112" s="8" t="s">
        <v>157</v>
      </c>
      <c r="C112" s="86">
        <v>35.111137816438863</v>
      </c>
      <c r="D112" s="43">
        <v>24.211134149513494</v>
      </c>
    </row>
    <row r="113" spans="1:4" ht="15.75" customHeight="1">
      <c r="A113" s="7">
        <v>21803</v>
      </c>
      <c r="B113" s="8" t="s">
        <v>158</v>
      </c>
      <c r="C113" s="86">
        <v>191.81084547869384</v>
      </c>
      <c r="D113" s="43">
        <v>12.619136587019149</v>
      </c>
    </row>
    <row r="114" spans="1:4" ht="15.75" customHeight="1">
      <c r="A114" s="7">
        <v>21901</v>
      </c>
      <c r="B114" s="8" t="s">
        <v>160</v>
      </c>
      <c r="C114" s="86">
        <v>50.1183176895942</v>
      </c>
      <c r="D114" s="43">
        <v>37.047006494001167</v>
      </c>
    </row>
    <row r="115" spans="1:4" ht="15.75" customHeight="1">
      <c r="A115" s="7">
        <v>21902</v>
      </c>
      <c r="B115" s="8" t="s">
        <v>161</v>
      </c>
      <c r="C115" s="86">
        <v>0</v>
      </c>
      <c r="D115" s="43">
        <v>2.3225404761384936</v>
      </c>
    </row>
    <row r="116" spans="1:4" ht="15.75" customHeight="1">
      <c r="A116" s="7">
        <v>22001</v>
      </c>
      <c r="B116" s="8" t="s">
        <v>162</v>
      </c>
      <c r="C116" s="86">
        <v>85.585458940352396</v>
      </c>
      <c r="D116" s="43">
        <v>14.263072926691848</v>
      </c>
    </row>
    <row r="117" spans="1:4" ht="15.75" customHeight="1">
      <c r="A117" s="7">
        <v>22002</v>
      </c>
      <c r="B117" s="8" t="s">
        <v>163</v>
      </c>
      <c r="C117" s="86">
        <v>90.980549679758838</v>
      </c>
      <c r="D117" s="43">
        <v>28.780486952850687</v>
      </c>
    </row>
    <row r="118" spans="1:4" ht="15.75" customHeight="1">
      <c r="A118" s="7">
        <v>30101</v>
      </c>
      <c r="B118" s="8" t="s">
        <v>17</v>
      </c>
      <c r="C118" s="86">
        <v>59.139657272286797</v>
      </c>
      <c r="D118" s="43">
        <v>8.2142840308808633</v>
      </c>
    </row>
    <row r="119" spans="1:4" ht="15.75" customHeight="1">
      <c r="A119" s="7">
        <v>30201</v>
      </c>
      <c r="B119" s="8" t="s">
        <v>166</v>
      </c>
      <c r="C119" s="86">
        <v>85.88778984249754</v>
      </c>
      <c r="D119" s="43">
        <v>9.5134451931066177</v>
      </c>
    </row>
    <row r="120" spans="1:4" ht="15.75" customHeight="1">
      <c r="A120" s="7">
        <v>30202</v>
      </c>
      <c r="B120" s="8" t="s">
        <v>167</v>
      </c>
      <c r="C120" s="86">
        <v>11.395431576154467</v>
      </c>
      <c r="D120" s="43">
        <v>5.9320134447583035</v>
      </c>
    </row>
    <row r="121" spans="1:4" ht="15.75" customHeight="1">
      <c r="A121" s="7">
        <v>30203</v>
      </c>
      <c r="B121" s="8" t="s">
        <v>168</v>
      </c>
      <c r="C121" s="86">
        <v>57.06283781743516</v>
      </c>
      <c r="D121" s="43">
        <v>5.408975700166712</v>
      </c>
    </row>
    <row r="122" spans="1:4" ht="15.75" customHeight="1">
      <c r="A122" s="7">
        <v>30301</v>
      </c>
      <c r="B122" s="8" t="s">
        <v>170</v>
      </c>
      <c r="C122" s="86">
        <v>118.92155516653509</v>
      </c>
      <c r="D122" s="43">
        <v>22.963903308725712</v>
      </c>
    </row>
    <row r="123" spans="1:4" ht="15.75" customHeight="1">
      <c r="A123" s="7">
        <v>30302</v>
      </c>
      <c r="B123" s="8" t="s">
        <v>171</v>
      </c>
      <c r="C123" s="86">
        <v>171.92719096450526</v>
      </c>
      <c r="D123" s="43">
        <v>15.754083636514974</v>
      </c>
    </row>
    <row r="124" spans="1:4" ht="15.75" customHeight="1">
      <c r="A124" s="7">
        <v>30303</v>
      </c>
      <c r="B124" s="8" t="s">
        <v>172</v>
      </c>
      <c r="C124" s="86">
        <v>125.74958704212558</v>
      </c>
      <c r="D124" s="43">
        <v>25.547308229981375</v>
      </c>
    </row>
    <row r="125" spans="1:4" ht="15.75" customHeight="1">
      <c r="A125" s="7">
        <v>30401</v>
      </c>
      <c r="B125" s="8" t="s">
        <v>174</v>
      </c>
      <c r="C125" s="86">
        <v>124.92769431636006</v>
      </c>
      <c r="D125" s="43">
        <v>15.447237322911075</v>
      </c>
    </row>
    <row r="126" spans="1:4" ht="15.75" customHeight="1">
      <c r="A126" s="7">
        <v>30402</v>
      </c>
      <c r="B126" s="8" t="s">
        <v>175</v>
      </c>
      <c r="C126" s="86">
        <v>110.79353911998356</v>
      </c>
      <c r="D126" s="43">
        <v>23.57975344291426</v>
      </c>
    </row>
    <row r="127" spans="1:4" ht="15.75" customHeight="1">
      <c r="A127" s="7">
        <v>30403</v>
      </c>
      <c r="B127" s="8" t="s">
        <v>176</v>
      </c>
      <c r="C127" s="86">
        <v>126.13890464906719</v>
      </c>
      <c r="D127" s="43">
        <v>9.1873555887017311</v>
      </c>
    </row>
    <row r="128" spans="1:4" ht="15.75" customHeight="1">
      <c r="A128" s="7">
        <v>30404</v>
      </c>
      <c r="B128" s="8" t="s">
        <v>177</v>
      </c>
      <c r="C128" s="86">
        <v>122.40899080191734</v>
      </c>
      <c r="D128" s="43">
        <v>22.297639189517032</v>
      </c>
    </row>
    <row r="129" spans="1:4" ht="15.75" customHeight="1">
      <c r="A129" s="7">
        <v>30501</v>
      </c>
      <c r="B129" s="8" t="s">
        <v>178</v>
      </c>
      <c r="C129" s="86">
        <v>154.69913226045671</v>
      </c>
      <c r="D129" s="43">
        <v>13.120890091295259</v>
      </c>
    </row>
    <row r="130" spans="1:4" ht="15.75" customHeight="1">
      <c r="A130" s="7">
        <v>30502</v>
      </c>
      <c r="B130" s="8" t="s">
        <v>179</v>
      </c>
      <c r="C130" s="86">
        <v>111.19937625961721</v>
      </c>
      <c r="D130" s="43">
        <v>23.074988078692854</v>
      </c>
    </row>
    <row r="131" spans="1:4" ht="15.75" customHeight="1">
      <c r="A131" s="7">
        <v>30601</v>
      </c>
      <c r="B131" s="8" t="s">
        <v>180</v>
      </c>
      <c r="C131" s="86">
        <v>100.77443473527811</v>
      </c>
      <c r="D131" s="43">
        <v>21.35847232148031</v>
      </c>
    </row>
    <row r="132" spans="1:4" ht="15.75" customHeight="1">
      <c r="A132" s="7">
        <v>30602</v>
      </c>
      <c r="B132" s="8" t="s">
        <v>181</v>
      </c>
      <c r="C132" s="86">
        <v>102.73241867639763</v>
      </c>
      <c r="D132" s="43">
        <v>29.219025331987936</v>
      </c>
    </row>
    <row r="133" spans="1:4" ht="15.75" customHeight="1">
      <c r="A133" s="7">
        <v>30701</v>
      </c>
      <c r="B133" s="8" t="s">
        <v>182</v>
      </c>
      <c r="C133" s="86">
        <v>89.320455702841741</v>
      </c>
      <c r="D133" s="43">
        <v>13.720849758605741</v>
      </c>
    </row>
    <row r="134" spans="1:4" ht="15.75" customHeight="1">
      <c r="A134" s="7">
        <v>30702</v>
      </c>
      <c r="B134" s="8" t="s">
        <v>183</v>
      </c>
      <c r="C134" s="86">
        <v>90.349493210938988</v>
      </c>
      <c r="D134" s="43">
        <v>8.8384617992181962</v>
      </c>
    </row>
    <row r="135" spans="1:4" ht="15.75" customHeight="1">
      <c r="A135" s="7">
        <v>30703</v>
      </c>
      <c r="B135" s="8" t="s">
        <v>184</v>
      </c>
      <c r="C135" s="86">
        <v>150.28430553898761</v>
      </c>
      <c r="D135" s="43">
        <v>6.5499315119206267</v>
      </c>
    </row>
    <row r="136" spans="1:4" ht="15.75" customHeight="1">
      <c r="A136" s="7">
        <v>30801</v>
      </c>
      <c r="B136" s="8" t="s">
        <v>186</v>
      </c>
      <c r="C136" s="86">
        <v>56.920180722891558</v>
      </c>
      <c r="D136" s="43">
        <v>8.6765326521545987</v>
      </c>
    </row>
    <row r="137" spans="1:4" ht="15.75" customHeight="1">
      <c r="A137" s="7">
        <v>30802</v>
      </c>
      <c r="B137" s="8" t="s">
        <v>187</v>
      </c>
      <c r="C137" s="86">
        <v>127.64974270169363</v>
      </c>
      <c r="D137" s="43">
        <v>14.623102910334424</v>
      </c>
    </row>
    <row r="138" spans="1:4" ht="15.75" customHeight="1">
      <c r="A138" s="7">
        <v>30803</v>
      </c>
      <c r="B138" s="8" t="s">
        <v>188</v>
      </c>
      <c r="C138" s="86">
        <v>104.32106432603263</v>
      </c>
      <c r="D138" s="43">
        <v>13.075099577671425</v>
      </c>
    </row>
    <row r="139" spans="1:4" ht="15.75" customHeight="1">
      <c r="A139" s="7">
        <v>30901</v>
      </c>
      <c r="B139" s="8" t="s">
        <v>189</v>
      </c>
      <c r="C139" s="86">
        <v>38.913055147193205</v>
      </c>
      <c r="D139" s="43">
        <v>8.0538619155806845</v>
      </c>
    </row>
    <row r="140" spans="1:4" ht="15.75" customHeight="1">
      <c r="A140" s="7">
        <v>30902</v>
      </c>
      <c r="B140" s="8" t="s">
        <v>190</v>
      </c>
      <c r="C140" s="86">
        <v>71.823571890083983</v>
      </c>
      <c r="D140" s="43">
        <v>10.489603014456758</v>
      </c>
    </row>
    <row r="141" spans="1:4" ht="15.75" customHeight="1">
      <c r="A141" s="7">
        <v>30903</v>
      </c>
      <c r="B141" s="8" t="s">
        <v>191</v>
      </c>
      <c r="C141" s="86">
        <v>37.469897543495343</v>
      </c>
      <c r="D141" s="43">
        <v>8.0198890045551892</v>
      </c>
    </row>
    <row r="142" spans="1:4" ht="15.75" customHeight="1">
      <c r="A142" s="7">
        <v>30904</v>
      </c>
      <c r="B142" s="8" t="s">
        <v>192</v>
      </c>
      <c r="C142" s="86">
        <v>58.906951543118559</v>
      </c>
      <c r="D142" s="43">
        <v>7.8374667377123473</v>
      </c>
    </row>
    <row r="143" spans="1:4" ht="15.75" customHeight="1">
      <c r="A143" s="7">
        <v>30905</v>
      </c>
      <c r="B143" s="8" t="s">
        <v>193</v>
      </c>
      <c r="C143" s="86">
        <v>28.947797824798364</v>
      </c>
      <c r="D143" s="43">
        <v>7.4074727460114413</v>
      </c>
    </row>
    <row r="144" spans="1:4" ht="15.75" customHeight="1">
      <c r="A144" s="7">
        <v>31001</v>
      </c>
      <c r="B144" s="8" t="s">
        <v>195</v>
      </c>
      <c r="C144" s="86">
        <v>67.884632067140004</v>
      </c>
      <c r="D144" s="43">
        <v>9.1531464621810983</v>
      </c>
    </row>
    <row r="145" spans="1:4" ht="15.75" customHeight="1">
      <c r="A145" s="7">
        <v>31002</v>
      </c>
      <c r="B145" s="8" t="s">
        <v>196</v>
      </c>
      <c r="C145" s="86">
        <v>111.14121759002538</v>
      </c>
      <c r="D145" s="43">
        <v>15.109638681842776</v>
      </c>
    </row>
    <row r="146" spans="1:4" ht="15.75" customHeight="1">
      <c r="A146" s="7">
        <v>31003</v>
      </c>
      <c r="B146" s="8" t="s">
        <v>197</v>
      </c>
      <c r="C146" s="86">
        <v>135.89191274048989</v>
      </c>
      <c r="D146" s="43">
        <v>17.600877249331951</v>
      </c>
    </row>
    <row r="147" spans="1:4" ht="15.75" customHeight="1">
      <c r="A147" s="7">
        <v>31101</v>
      </c>
      <c r="B147" s="8" t="s">
        <v>198</v>
      </c>
      <c r="C147" s="86">
        <v>120.46599094791866</v>
      </c>
      <c r="D147" s="43">
        <v>27.392171316432691</v>
      </c>
    </row>
    <row r="148" spans="1:4" ht="15.75" customHeight="1">
      <c r="A148" s="7">
        <v>31201</v>
      </c>
      <c r="B148" s="8" t="s">
        <v>200</v>
      </c>
      <c r="C148" s="86">
        <v>127.99511538216359</v>
      </c>
      <c r="D148" s="43">
        <v>13.527826676412962</v>
      </c>
    </row>
    <row r="149" spans="1:4" ht="15.75" customHeight="1">
      <c r="A149" s="7">
        <v>31202</v>
      </c>
      <c r="B149" s="8" t="s">
        <v>201</v>
      </c>
      <c r="C149" s="86">
        <v>74.956616589816051</v>
      </c>
      <c r="D149" s="43">
        <v>10.399009236125364</v>
      </c>
    </row>
    <row r="150" spans="1:4" ht="15.75" customHeight="1">
      <c r="A150" s="7">
        <v>31203</v>
      </c>
      <c r="B150" s="8" t="s">
        <v>202</v>
      </c>
      <c r="C150" s="86">
        <v>92.412267028540327</v>
      </c>
      <c r="D150" s="43">
        <v>13.082828091430539</v>
      </c>
    </row>
    <row r="151" spans="1:4" ht="15.75" customHeight="1">
      <c r="A151" s="7">
        <v>31204</v>
      </c>
      <c r="B151" s="8" t="s">
        <v>203</v>
      </c>
      <c r="C151" s="86">
        <v>93.293987843885532</v>
      </c>
      <c r="D151" s="43">
        <v>15.116624182851496</v>
      </c>
    </row>
    <row r="152" spans="1:4" ht="15.75" customHeight="1">
      <c r="A152" s="7">
        <v>31205</v>
      </c>
      <c r="B152" s="8" t="s">
        <v>204</v>
      </c>
      <c r="C152" s="86">
        <v>105.74997500825813</v>
      </c>
      <c r="D152" s="43">
        <v>11.155065432066504</v>
      </c>
    </row>
    <row r="153" spans="1:4" ht="15.75" customHeight="1">
      <c r="A153" s="7">
        <v>31206</v>
      </c>
      <c r="B153" s="8" t="s">
        <v>205</v>
      </c>
      <c r="C153" s="86">
        <v>122.50778740466305</v>
      </c>
      <c r="D153" s="43">
        <v>11.669377712469672</v>
      </c>
    </row>
    <row r="154" spans="1:4" ht="15.75" customHeight="1">
      <c r="A154" s="7">
        <v>31301</v>
      </c>
      <c r="B154" s="8" t="s">
        <v>206</v>
      </c>
      <c r="C154" s="86">
        <v>62.851821364131467</v>
      </c>
      <c r="D154" s="43">
        <v>9.9736520210355923</v>
      </c>
    </row>
    <row r="155" spans="1:4" ht="15.75" customHeight="1">
      <c r="A155" s="7">
        <v>31302</v>
      </c>
      <c r="B155" s="8" t="s">
        <v>207</v>
      </c>
      <c r="C155" s="86">
        <v>117.11971342158759</v>
      </c>
      <c r="D155" s="43">
        <v>21.871075657195835</v>
      </c>
    </row>
    <row r="156" spans="1:4" ht="15.75" customHeight="1">
      <c r="A156" s="7">
        <v>31303</v>
      </c>
      <c r="B156" s="8" t="s">
        <v>208</v>
      </c>
      <c r="C156" s="86">
        <v>46.276569693407779</v>
      </c>
      <c r="D156" s="43">
        <v>9.1571858030734976</v>
      </c>
    </row>
    <row r="157" spans="1:4" ht="15.75" customHeight="1">
      <c r="A157" s="19">
        <v>31304</v>
      </c>
      <c r="B157" s="8" t="s">
        <v>209</v>
      </c>
      <c r="C157" s="86">
        <v>54.469072462097188</v>
      </c>
      <c r="D157" s="43">
        <v>29.942544054494299</v>
      </c>
    </row>
    <row r="158" spans="1:4" ht="15.75" customHeight="1">
      <c r="A158" s="7">
        <v>31401</v>
      </c>
      <c r="B158" s="8" t="s">
        <v>210</v>
      </c>
      <c r="C158" s="86">
        <v>51.917246098823156</v>
      </c>
      <c r="D158" s="43">
        <v>9.929854368280969</v>
      </c>
    </row>
    <row r="159" spans="1:4" ht="15.75" customHeight="1">
      <c r="A159" s="7">
        <v>31402</v>
      </c>
      <c r="B159" s="8" t="s">
        <v>211</v>
      </c>
      <c r="C159" s="86">
        <v>50.886496176275983</v>
      </c>
      <c r="D159" s="43">
        <v>9.21309047830594</v>
      </c>
    </row>
    <row r="160" spans="1:4" ht="15.75" customHeight="1">
      <c r="A160" s="7">
        <v>31403</v>
      </c>
      <c r="B160" s="8" t="s">
        <v>212</v>
      </c>
      <c r="C160" s="86">
        <v>93.263992991937016</v>
      </c>
      <c r="D160" s="43">
        <v>14.290759662372277</v>
      </c>
    </row>
    <row r="161" spans="1:4" ht="15.75" customHeight="1">
      <c r="A161" s="7">
        <v>31404</v>
      </c>
      <c r="B161" s="8" t="s">
        <v>213</v>
      </c>
      <c r="C161" s="86">
        <v>109.99068738723005</v>
      </c>
      <c r="D161" s="43">
        <v>18.225896380996531</v>
      </c>
    </row>
    <row r="162" spans="1:4" ht="15.75" customHeight="1">
      <c r="A162" s="7">
        <v>31405</v>
      </c>
      <c r="B162" s="8" t="s">
        <v>214</v>
      </c>
      <c r="C162" s="86">
        <v>51.628281834822268</v>
      </c>
      <c r="D162" s="43">
        <v>0</v>
      </c>
    </row>
    <row r="163" spans="1:4" ht="15.75" customHeight="1">
      <c r="A163" s="7">
        <v>31501</v>
      </c>
      <c r="B163" s="8" t="s">
        <v>215</v>
      </c>
      <c r="C163" s="86">
        <v>290.45688928553722</v>
      </c>
      <c r="D163" s="43">
        <v>44.125854396096862</v>
      </c>
    </row>
    <row r="164" spans="1:4" ht="15.75" customHeight="1">
      <c r="A164" s="7">
        <v>31601</v>
      </c>
      <c r="B164" s="8" t="s">
        <v>216</v>
      </c>
      <c r="C164" s="86">
        <v>99.788992501634098</v>
      </c>
      <c r="D164" s="43">
        <v>15.125615037837326</v>
      </c>
    </row>
    <row r="165" spans="1:4" ht="15.75" customHeight="1">
      <c r="A165" s="7">
        <v>31602</v>
      </c>
      <c r="B165" s="8" t="s">
        <v>217</v>
      </c>
      <c r="C165" s="86">
        <v>65.503382577930765</v>
      </c>
      <c r="D165" s="43">
        <v>12.028568630212918</v>
      </c>
    </row>
    <row r="166" spans="1:4" ht="15.75" customHeight="1">
      <c r="A166" s="7">
        <v>40101</v>
      </c>
      <c r="B166" s="8" t="s">
        <v>20</v>
      </c>
      <c r="C166" s="86">
        <v>35.676112972517693</v>
      </c>
      <c r="D166" s="43">
        <v>29.508485313145862</v>
      </c>
    </row>
    <row r="167" spans="1:4" ht="15.75" customHeight="1">
      <c r="A167" s="7">
        <v>40102</v>
      </c>
      <c r="B167" s="8" t="s">
        <v>218</v>
      </c>
      <c r="C167" s="86">
        <v>100.21551949861902</v>
      </c>
      <c r="D167" s="43">
        <v>46.838027986736172</v>
      </c>
    </row>
    <row r="168" spans="1:4" ht="15.75" customHeight="1">
      <c r="A168" s="7">
        <v>40103</v>
      </c>
      <c r="B168" s="8" t="s">
        <v>219</v>
      </c>
      <c r="C168" s="86">
        <v>82.167396939433416</v>
      </c>
      <c r="D168" s="43">
        <v>15.040869971774404</v>
      </c>
    </row>
    <row r="169" spans="1:4" ht="15.75" customHeight="1">
      <c r="A169" s="7">
        <v>40104</v>
      </c>
      <c r="B169" s="8" t="s">
        <v>220</v>
      </c>
      <c r="C169" s="86">
        <v>113.94912594430862</v>
      </c>
      <c r="D169" s="43">
        <v>29.819315586966709</v>
      </c>
    </row>
    <row r="170" spans="1:4" ht="15.75" customHeight="1">
      <c r="A170" s="7">
        <v>40201</v>
      </c>
      <c r="B170" s="8" t="s">
        <v>222</v>
      </c>
      <c r="C170" s="86">
        <v>139.5043831370819</v>
      </c>
      <c r="D170" s="43">
        <v>32.978698456126637</v>
      </c>
    </row>
    <row r="171" spans="1:4" ht="15.75" customHeight="1">
      <c r="A171" s="7">
        <v>40202</v>
      </c>
      <c r="B171" s="8" t="s">
        <v>223</v>
      </c>
      <c r="C171" s="86">
        <v>164.03047018649858</v>
      </c>
      <c r="D171" s="43">
        <v>55.931268566587889</v>
      </c>
    </row>
    <row r="172" spans="1:4" ht="15.75" customHeight="1">
      <c r="A172" s="7">
        <v>40301</v>
      </c>
      <c r="B172" s="8" t="s">
        <v>225</v>
      </c>
      <c r="C172" s="86">
        <v>29.640754233366167</v>
      </c>
      <c r="D172" s="43">
        <v>26.088160006663742</v>
      </c>
    </row>
    <row r="173" spans="1:4" ht="15.75" customHeight="1">
      <c r="A173" s="7">
        <v>40302</v>
      </c>
      <c r="B173" s="8" t="s">
        <v>226</v>
      </c>
      <c r="C173" s="86">
        <v>120.78607350096713</v>
      </c>
      <c r="D173" s="43">
        <v>24.348949339552831</v>
      </c>
    </row>
    <row r="174" spans="1:4" ht="15.75" customHeight="1">
      <c r="A174" s="7">
        <v>40401</v>
      </c>
      <c r="B174" s="8" t="s">
        <v>228</v>
      </c>
      <c r="C174" s="86">
        <v>154.85394038585528</v>
      </c>
      <c r="D174" s="43">
        <v>59.242173036974684</v>
      </c>
    </row>
    <row r="175" spans="1:4" ht="15.75" customHeight="1">
      <c r="A175" s="7">
        <v>40402</v>
      </c>
      <c r="B175" s="8" t="s">
        <v>229</v>
      </c>
      <c r="C175" s="86">
        <v>100.65506125080594</v>
      </c>
      <c r="D175" s="43">
        <v>14.609369603731697</v>
      </c>
    </row>
    <row r="176" spans="1:4" ht="15.75" customHeight="1">
      <c r="A176" s="7">
        <v>40501</v>
      </c>
      <c r="B176" s="8" t="s">
        <v>231</v>
      </c>
      <c r="C176" s="86">
        <v>109.80552136451558</v>
      </c>
      <c r="D176" s="43">
        <v>13.26148133672074</v>
      </c>
    </row>
    <row r="177" spans="1:4" ht="15.75" customHeight="1">
      <c r="A177" s="7">
        <v>40502</v>
      </c>
      <c r="B177" s="8" t="s">
        <v>232</v>
      </c>
      <c r="C177" s="86">
        <v>77.426970192927641</v>
      </c>
      <c r="D177" s="43">
        <v>13.626476235896538</v>
      </c>
    </row>
    <row r="178" spans="1:4" ht="15.75" customHeight="1">
      <c r="A178" s="7">
        <v>40503</v>
      </c>
      <c r="B178" s="8" t="s">
        <v>233</v>
      </c>
      <c r="C178" s="86">
        <v>71.050631471157132</v>
      </c>
      <c r="D178" s="43">
        <v>18.336863082873119</v>
      </c>
    </row>
    <row r="179" spans="1:4" ht="15.75" customHeight="1">
      <c r="A179" s="7">
        <v>40504</v>
      </c>
      <c r="B179" s="8" t="s">
        <v>234</v>
      </c>
      <c r="C179" s="86">
        <v>0</v>
      </c>
      <c r="D179" s="43">
        <v>0</v>
      </c>
    </row>
    <row r="180" spans="1:4" ht="15.75" customHeight="1">
      <c r="A180" s="7">
        <v>40505</v>
      </c>
      <c r="B180" s="8" t="s">
        <v>235</v>
      </c>
      <c r="C180" s="86">
        <v>60.393036750483567</v>
      </c>
      <c r="D180" s="43">
        <v>27.633226227213445</v>
      </c>
    </row>
    <row r="181" spans="1:4" ht="15.75" customHeight="1">
      <c r="A181" s="7">
        <v>40601</v>
      </c>
      <c r="B181" s="8" t="s">
        <v>236</v>
      </c>
      <c r="C181" s="86">
        <v>162.4014433626449</v>
      </c>
      <c r="D181" s="43">
        <v>32.782201742386071</v>
      </c>
    </row>
    <row r="182" spans="1:4" ht="15.75" customHeight="1">
      <c r="A182" s="7">
        <v>40602</v>
      </c>
      <c r="B182" s="8" t="s">
        <v>237</v>
      </c>
      <c r="C182" s="86">
        <v>64.706825089803829</v>
      </c>
      <c r="D182" s="43">
        <v>21.21837013875318</v>
      </c>
    </row>
    <row r="183" spans="1:4" ht="15.75" customHeight="1">
      <c r="A183" s="7">
        <v>40603</v>
      </c>
      <c r="B183" s="8" t="s">
        <v>238</v>
      </c>
      <c r="C183" s="86">
        <v>19.800995655896251</v>
      </c>
      <c r="D183" s="43">
        <v>13.202541419668645</v>
      </c>
    </row>
    <row r="184" spans="1:4" ht="15.75" customHeight="1">
      <c r="A184" s="7">
        <v>40701</v>
      </c>
      <c r="B184" s="8" t="s">
        <v>240</v>
      </c>
      <c r="C184" s="86">
        <v>84.802366594606895</v>
      </c>
      <c r="D184" s="43">
        <v>42.615798253360815</v>
      </c>
    </row>
    <row r="185" spans="1:4" ht="15.75" customHeight="1">
      <c r="A185" s="7">
        <v>40702</v>
      </c>
      <c r="B185" s="8" t="s">
        <v>241</v>
      </c>
      <c r="C185" s="86">
        <v>54.902760682257792</v>
      </c>
      <c r="D185" s="43">
        <v>37.444182597799731</v>
      </c>
    </row>
    <row r="186" spans="1:4" ht="15.75" customHeight="1">
      <c r="A186" s="7">
        <v>40801</v>
      </c>
      <c r="B186" s="8" t="s">
        <v>243</v>
      </c>
      <c r="C186" s="86">
        <v>98.600876327320123</v>
      </c>
      <c r="D186" s="43">
        <v>30.574682865158966</v>
      </c>
    </row>
    <row r="187" spans="1:4" ht="15.75" customHeight="1">
      <c r="A187" s="7">
        <v>40802</v>
      </c>
      <c r="B187" s="8" t="s">
        <v>244</v>
      </c>
      <c r="C187" s="86">
        <v>56.61847195357835</v>
      </c>
      <c r="D187" s="43">
        <v>16.23263289303522</v>
      </c>
    </row>
    <row r="188" spans="1:4" ht="15.75" customHeight="1">
      <c r="A188" s="7">
        <v>40901</v>
      </c>
      <c r="B188" s="8" t="s">
        <v>245</v>
      </c>
      <c r="C188" s="86">
        <v>40.944431695243097</v>
      </c>
      <c r="D188" s="43">
        <v>17.137914342839107</v>
      </c>
    </row>
    <row r="189" spans="1:4" ht="15.75" customHeight="1">
      <c r="A189" s="7">
        <v>40902</v>
      </c>
      <c r="B189" s="8" t="s">
        <v>246</v>
      </c>
      <c r="C189" s="86">
        <v>0</v>
      </c>
      <c r="D189" s="43">
        <v>12.587168726379005</v>
      </c>
    </row>
    <row r="190" spans="1:4" ht="15.75" customHeight="1">
      <c r="A190" s="7">
        <v>40903</v>
      </c>
      <c r="B190" s="8" t="s">
        <v>247</v>
      </c>
      <c r="C190" s="86">
        <v>94.734175294876181</v>
      </c>
      <c r="D190" s="43">
        <v>35.79002192078849</v>
      </c>
    </row>
    <row r="191" spans="1:4" ht="15.75" customHeight="1">
      <c r="A191" s="7">
        <v>41001</v>
      </c>
      <c r="B191" s="8" t="s">
        <v>249</v>
      </c>
      <c r="C191" s="86">
        <v>74.970666310945106</v>
      </c>
      <c r="D191" s="43">
        <v>38.940080029921567</v>
      </c>
    </row>
    <row r="192" spans="1:4" ht="15.75" customHeight="1">
      <c r="A192" s="7">
        <v>41101</v>
      </c>
      <c r="B192" s="8" t="s">
        <v>251</v>
      </c>
      <c r="C192" s="86">
        <v>158.60797530430025</v>
      </c>
      <c r="D192" s="43">
        <v>78.905813953488376</v>
      </c>
    </row>
    <row r="193" spans="1:4" ht="15.75" customHeight="1">
      <c r="A193" s="7">
        <v>41201</v>
      </c>
      <c r="B193" s="8" t="s">
        <v>253</v>
      </c>
      <c r="C193" s="86">
        <v>76.44688196263742</v>
      </c>
      <c r="D193" s="43">
        <v>23.390329286814534</v>
      </c>
    </row>
    <row r="194" spans="1:4" ht="15.75" customHeight="1">
      <c r="A194" s="7">
        <v>41202</v>
      </c>
      <c r="B194" s="8" t="s">
        <v>254</v>
      </c>
      <c r="C194" s="86">
        <v>34.510306714562041</v>
      </c>
      <c r="D194" s="43">
        <v>28.563190571398508</v>
      </c>
    </row>
    <row r="195" spans="1:4" ht="15.75" customHeight="1">
      <c r="A195" s="7">
        <v>41301</v>
      </c>
      <c r="B195" s="8" t="s">
        <v>255</v>
      </c>
      <c r="C195" s="86">
        <v>33.551687083601983</v>
      </c>
      <c r="D195" s="43">
        <v>52.888519040215634</v>
      </c>
    </row>
    <row r="196" spans="1:4" ht="15.75" customHeight="1">
      <c r="A196" s="7">
        <v>41401</v>
      </c>
      <c r="B196" s="8" t="s">
        <v>257</v>
      </c>
      <c r="C196" s="86">
        <v>101.54581400523786</v>
      </c>
      <c r="D196" s="43">
        <v>24.348949339552831</v>
      </c>
    </row>
    <row r="197" spans="1:4" ht="15.75" customHeight="1">
      <c r="A197" s="7">
        <v>41501</v>
      </c>
      <c r="B197" s="8" t="s">
        <v>259</v>
      </c>
      <c r="C197" s="86">
        <v>120.78607350096713</v>
      </c>
      <c r="D197" s="43">
        <v>0</v>
      </c>
    </row>
    <row r="198" spans="1:4" ht="15.75" customHeight="1">
      <c r="A198" s="7">
        <v>41502</v>
      </c>
      <c r="B198" s="8" t="s">
        <v>260</v>
      </c>
      <c r="C198" s="86">
        <v>0</v>
      </c>
      <c r="D198" s="43">
        <v>19.042127047599006</v>
      </c>
    </row>
    <row r="199" spans="1:4" ht="15.75" customHeight="1">
      <c r="A199" s="7">
        <v>41503</v>
      </c>
      <c r="B199" s="8" t="s">
        <v>224</v>
      </c>
      <c r="C199" s="86">
        <v>0</v>
      </c>
      <c r="D199" s="43">
        <v>0</v>
      </c>
    </row>
    <row r="200" spans="1:4" ht="15.75" customHeight="1">
      <c r="A200" s="7">
        <v>41601</v>
      </c>
      <c r="B200" s="8" t="s">
        <v>262</v>
      </c>
      <c r="C200" s="86">
        <v>112.73366860090265</v>
      </c>
      <c r="D200" s="43">
        <v>60.377476004582221</v>
      </c>
    </row>
    <row r="201" spans="1:4" ht="15.75" customHeight="1">
      <c r="A201" s="7">
        <v>50101</v>
      </c>
      <c r="B201" s="8" t="s">
        <v>263</v>
      </c>
      <c r="C201" s="86">
        <v>78.517551648788668</v>
      </c>
      <c r="D201" s="43">
        <v>29.354616220687362</v>
      </c>
    </row>
    <row r="202" spans="1:4" ht="15.75" customHeight="1">
      <c r="A202" s="7">
        <v>50102</v>
      </c>
      <c r="B202" s="8" t="s">
        <v>265</v>
      </c>
      <c r="C202" s="86">
        <v>221.57857817028935</v>
      </c>
      <c r="D202" s="43">
        <v>69.103895288675162</v>
      </c>
    </row>
    <row r="203" spans="1:4" ht="15.75" customHeight="1">
      <c r="A203" s="7">
        <v>50103</v>
      </c>
      <c r="B203" s="8" t="s">
        <v>266</v>
      </c>
      <c r="C203" s="86">
        <v>91.776417538919858</v>
      </c>
      <c r="D203" s="43">
        <v>42.510667103875392</v>
      </c>
    </row>
    <row r="204" spans="1:4" ht="15.75" customHeight="1">
      <c r="A204" s="7">
        <v>50104</v>
      </c>
      <c r="B204" s="8" t="s">
        <v>267</v>
      </c>
      <c r="C204" s="86">
        <v>64.660657811511697</v>
      </c>
      <c r="D204" s="43">
        <v>9.8874826629680985</v>
      </c>
    </row>
    <row r="205" spans="1:4" ht="15.75" customHeight="1">
      <c r="A205" s="7">
        <v>50201</v>
      </c>
      <c r="B205" s="8" t="s">
        <v>269</v>
      </c>
      <c r="C205" s="86">
        <v>209.71024155084879</v>
      </c>
      <c r="D205" s="43">
        <v>58.535247191755857</v>
      </c>
    </row>
    <row r="206" spans="1:4" ht="15.75" customHeight="1">
      <c r="A206" s="7">
        <v>50202</v>
      </c>
      <c r="B206" s="8" t="s">
        <v>270</v>
      </c>
      <c r="C206" s="86">
        <v>145.90097147212899</v>
      </c>
      <c r="D206" s="43">
        <v>58.943479732649593</v>
      </c>
    </row>
    <row r="207" spans="1:4" ht="15.75" customHeight="1">
      <c r="A207" s="7">
        <v>50203</v>
      </c>
      <c r="B207" s="8" t="s">
        <v>271</v>
      </c>
      <c r="C207" s="86">
        <v>96.797391933400775</v>
      </c>
      <c r="D207" s="43">
        <v>38.276169540130603</v>
      </c>
    </row>
    <row r="208" spans="1:4" ht="15.75" customHeight="1">
      <c r="A208" s="7">
        <v>50204</v>
      </c>
      <c r="B208" s="8" t="s">
        <v>272</v>
      </c>
      <c r="C208" s="86">
        <v>214.68360696312186</v>
      </c>
      <c r="D208" s="43">
        <v>61.198313745528878</v>
      </c>
    </row>
    <row r="209" spans="1:4" ht="15.75" customHeight="1">
      <c r="A209" s="7">
        <v>50301</v>
      </c>
      <c r="B209" s="8" t="s">
        <v>274</v>
      </c>
      <c r="C209" s="86">
        <v>137.189539194471</v>
      </c>
      <c r="D209" s="43">
        <v>46.085315533980577</v>
      </c>
    </row>
    <row r="210" spans="1:4" ht="15.75" customHeight="1">
      <c r="A210" s="7">
        <v>50302</v>
      </c>
      <c r="B210" s="8" t="s">
        <v>275</v>
      </c>
      <c r="C210" s="86">
        <v>182.57126911485656</v>
      </c>
      <c r="D210" s="43">
        <v>49.668595463435068</v>
      </c>
    </row>
    <row r="211" spans="1:4" ht="15.75" customHeight="1">
      <c r="A211" s="7">
        <v>50303</v>
      </c>
      <c r="B211" s="8" t="s">
        <v>276</v>
      </c>
      <c r="C211" s="86">
        <v>174.48114012630143</v>
      </c>
      <c r="D211" s="43">
        <v>27.576807114684467</v>
      </c>
    </row>
    <row r="212" spans="1:4" ht="15.75" customHeight="1">
      <c r="A212" s="7">
        <v>50401</v>
      </c>
      <c r="B212" s="8" t="s">
        <v>277</v>
      </c>
      <c r="C212" s="86">
        <v>297.64429786251424</v>
      </c>
      <c r="D212" s="43">
        <v>103.02302337908714</v>
      </c>
    </row>
    <row r="213" spans="1:4" ht="15.75" customHeight="1">
      <c r="A213" s="7">
        <v>50402</v>
      </c>
      <c r="B213" s="8" t="s">
        <v>278</v>
      </c>
      <c r="C213" s="86">
        <v>122.88450805807655</v>
      </c>
      <c r="D213" s="43">
        <v>38.587432339548073</v>
      </c>
    </row>
    <row r="214" spans="1:4" ht="15.75" customHeight="1">
      <c r="A214" s="7">
        <v>50403</v>
      </c>
      <c r="B214" s="8" t="s">
        <v>279</v>
      </c>
      <c r="C214" s="86">
        <v>206.63549534019896</v>
      </c>
      <c r="D214" s="43">
        <v>76.614209301295659</v>
      </c>
    </row>
    <row r="215" spans="1:4" ht="15.75" customHeight="1">
      <c r="A215" s="7">
        <v>50404</v>
      </c>
      <c r="B215" s="8" t="s">
        <v>280</v>
      </c>
      <c r="C215" s="86">
        <v>229.75868257897559</v>
      </c>
      <c r="D215" s="43">
        <v>56.747176946027238</v>
      </c>
    </row>
    <row r="216" spans="1:4" ht="15.75" customHeight="1">
      <c r="A216" s="7">
        <v>50405</v>
      </c>
      <c r="B216" s="44" t="s">
        <v>281</v>
      </c>
      <c r="C216" s="86">
        <v>235.37561630131876</v>
      </c>
      <c r="D216" s="43">
        <v>90.841246966019426</v>
      </c>
    </row>
    <row r="217" spans="1:4" ht="15.75" customHeight="1">
      <c r="A217" s="7">
        <v>50501</v>
      </c>
      <c r="B217" s="8" t="s">
        <v>283</v>
      </c>
      <c r="C217" s="86">
        <v>223.82535396292516</v>
      </c>
      <c r="D217" s="43">
        <v>69.027713809824775</v>
      </c>
    </row>
    <row r="218" spans="1:4" ht="15.75" customHeight="1">
      <c r="A218" s="7">
        <v>50502</v>
      </c>
      <c r="B218" s="8" t="s">
        <v>284</v>
      </c>
      <c r="C218" s="86">
        <v>154.19079939668177</v>
      </c>
      <c r="D218" s="43">
        <v>45.838421596519659</v>
      </c>
    </row>
    <row r="219" spans="1:4" ht="15.75" customHeight="1">
      <c r="A219" s="7">
        <v>50601</v>
      </c>
      <c r="B219" s="8" t="s">
        <v>286</v>
      </c>
      <c r="C219" s="86">
        <v>40.680546305255703</v>
      </c>
      <c r="D219" s="43">
        <v>23.551434398597632</v>
      </c>
    </row>
    <row r="220" spans="1:4" ht="15.75" customHeight="1">
      <c r="A220" s="7">
        <v>50602</v>
      </c>
      <c r="B220" s="8" t="s">
        <v>287</v>
      </c>
      <c r="C220" s="86">
        <v>53.883881509593088</v>
      </c>
      <c r="D220" s="43">
        <v>27.757047684061497</v>
      </c>
    </row>
    <row r="221" spans="1:4" ht="15.75" customHeight="1">
      <c r="A221" s="7">
        <v>50701</v>
      </c>
      <c r="B221" s="8" t="s">
        <v>289</v>
      </c>
      <c r="C221" s="86">
        <v>106.13844478779458</v>
      </c>
      <c r="D221" s="43">
        <v>78.565402781422208</v>
      </c>
    </row>
    <row r="222" spans="1:4" ht="15.75" customHeight="1">
      <c r="A222" s="7">
        <v>50702</v>
      </c>
      <c r="B222" s="8" t="s">
        <v>290</v>
      </c>
      <c r="C222" s="86">
        <v>128.70841839258253</v>
      </c>
      <c r="D222" s="43">
        <v>71.528540918125515</v>
      </c>
    </row>
    <row r="223" spans="1:4" ht="15.75" customHeight="1">
      <c r="A223" s="7">
        <v>50801</v>
      </c>
      <c r="B223" s="8" t="s">
        <v>292</v>
      </c>
      <c r="C223" s="86">
        <v>36.428539612119266</v>
      </c>
      <c r="D223" s="43">
        <v>19.601617686531501</v>
      </c>
    </row>
    <row r="224" spans="1:4" ht="15.75" customHeight="1">
      <c r="A224" s="7">
        <v>50802</v>
      </c>
      <c r="B224" s="8" t="s">
        <v>293</v>
      </c>
      <c r="C224" s="86">
        <v>14.8077842316439</v>
      </c>
      <c r="D224" s="43">
        <v>35.966257896298806</v>
      </c>
    </row>
    <row r="225" spans="1:4" ht="15.75" customHeight="1">
      <c r="A225" s="7">
        <v>50901</v>
      </c>
      <c r="B225" s="8" t="s">
        <v>295</v>
      </c>
      <c r="C225" s="86">
        <v>31.432264213929301</v>
      </c>
      <c r="D225" s="43">
        <v>35.493527508090615</v>
      </c>
    </row>
    <row r="226" spans="1:4" ht="15.75" customHeight="1">
      <c r="A226" s="7">
        <v>50902</v>
      </c>
      <c r="B226" s="8" t="s">
        <v>296</v>
      </c>
      <c r="C226" s="86">
        <v>80.825822264389629</v>
      </c>
      <c r="D226" s="43">
        <v>33.801394219914201</v>
      </c>
    </row>
    <row r="227" spans="1:4" ht="15.75" customHeight="1">
      <c r="A227" s="7">
        <v>51001</v>
      </c>
      <c r="B227" s="8" t="s">
        <v>298</v>
      </c>
      <c r="C227" s="86">
        <v>55.03034707362697</v>
      </c>
      <c r="D227" s="43">
        <v>64.439111148309337</v>
      </c>
    </row>
    <row r="228" spans="1:4" ht="15.75" customHeight="1">
      <c r="A228" s="7">
        <v>51002</v>
      </c>
      <c r="B228" s="8" t="s">
        <v>299</v>
      </c>
      <c r="C228" s="86">
        <v>0</v>
      </c>
      <c r="D228" s="43">
        <v>23.827212318955915</v>
      </c>
    </row>
    <row r="229" spans="1:4" ht="15.75" customHeight="1">
      <c r="A229" s="7">
        <v>51003</v>
      </c>
      <c r="B229" s="8" t="s">
        <v>300</v>
      </c>
      <c r="C229" s="86">
        <v>0</v>
      </c>
      <c r="D229" s="43">
        <v>52.282732066773768</v>
      </c>
    </row>
    <row r="230" spans="1:4" ht="15.75" customHeight="1">
      <c r="A230" s="7">
        <v>51101</v>
      </c>
      <c r="B230" s="8" t="s">
        <v>302</v>
      </c>
      <c r="C230" s="86">
        <v>49.292878152273495</v>
      </c>
      <c r="D230" s="43">
        <v>26.884808350636959</v>
      </c>
    </row>
    <row r="231" spans="1:4" ht="15.75" customHeight="1">
      <c r="A231" s="7">
        <v>51102</v>
      </c>
      <c r="B231" s="8" t="s">
        <v>303</v>
      </c>
      <c r="C231" s="86">
        <v>41.335580336126206</v>
      </c>
      <c r="D231" s="43">
        <v>42.604237584965141</v>
      </c>
    </row>
    <row r="232" spans="1:4" ht="15.75" customHeight="1">
      <c r="A232" s="7">
        <v>51103</v>
      </c>
      <c r="B232" s="8" t="s">
        <v>304</v>
      </c>
      <c r="C232" s="86">
        <v>132.3287880793728</v>
      </c>
      <c r="D232" s="43">
        <v>39.009362514234986</v>
      </c>
    </row>
    <row r="233" spans="1:4" ht="15.75" customHeight="1">
      <c r="A233" s="7">
        <v>51201</v>
      </c>
      <c r="B233" s="8" t="s">
        <v>306</v>
      </c>
      <c r="C233" s="86">
        <v>37.430192654999544</v>
      </c>
      <c r="D233" s="43">
        <v>34.478804574423727</v>
      </c>
    </row>
    <row r="234" spans="1:4" ht="15.75" customHeight="1">
      <c r="A234" s="7">
        <v>51202</v>
      </c>
      <c r="B234" s="8" t="s">
        <v>307</v>
      </c>
      <c r="C234" s="86">
        <v>59.801764449953012</v>
      </c>
      <c r="D234" s="43">
        <v>37.834098519470125</v>
      </c>
    </row>
    <row r="235" spans="1:4" ht="15.75" customHeight="1">
      <c r="A235" s="7">
        <v>51203</v>
      </c>
      <c r="B235" s="8" t="s">
        <v>308</v>
      </c>
      <c r="C235" s="86">
        <v>40.667080384598563</v>
      </c>
      <c r="D235" s="43">
        <v>22.451820388349514</v>
      </c>
    </row>
    <row r="236" spans="1:4" ht="15.75" customHeight="1">
      <c r="A236" s="7">
        <v>51204</v>
      </c>
      <c r="B236" s="44" t="s">
        <v>309</v>
      </c>
      <c r="C236" s="86">
        <v>79.582348075706719</v>
      </c>
      <c r="D236" s="43">
        <v>44.044240953221546</v>
      </c>
    </row>
    <row r="237" spans="1:4" ht="15.75" customHeight="1">
      <c r="A237" s="7">
        <v>51301</v>
      </c>
      <c r="B237" s="8" t="s">
        <v>311</v>
      </c>
      <c r="C237" s="86">
        <v>35.269449715370015</v>
      </c>
      <c r="D237" s="43">
        <v>63.748243484925915</v>
      </c>
    </row>
    <row r="238" spans="1:4" ht="15.75" customHeight="1">
      <c r="A238" s="7">
        <v>51302</v>
      </c>
      <c r="B238" s="8" t="s">
        <v>312</v>
      </c>
      <c r="C238" s="86">
        <v>70.174357314818906</v>
      </c>
      <c r="D238" s="43">
        <v>60.33229987177139</v>
      </c>
    </row>
    <row r="239" spans="1:4" ht="15.75" customHeight="1">
      <c r="A239" s="7">
        <v>51401</v>
      </c>
      <c r="B239" s="8" t="s">
        <v>314</v>
      </c>
      <c r="C239" s="86">
        <v>126.16713719319357</v>
      </c>
      <c r="D239" s="43">
        <v>56.098454266734805</v>
      </c>
    </row>
    <row r="240" spans="1:4" ht="15.75" customHeight="1">
      <c r="A240" s="7">
        <v>51402</v>
      </c>
      <c r="B240" s="8" t="s">
        <v>315</v>
      </c>
      <c r="C240" s="86">
        <v>99.477935094633395</v>
      </c>
      <c r="D240" s="43">
        <v>0</v>
      </c>
    </row>
    <row r="241" spans="1:4" ht="15.75" customHeight="1">
      <c r="A241" s="7">
        <v>51501</v>
      </c>
      <c r="B241" s="8" t="s">
        <v>317</v>
      </c>
      <c r="C241" s="86">
        <v>46.139103433290714</v>
      </c>
      <c r="D241" s="43">
        <v>28.156538805766875</v>
      </c>
    </row>
    <row r="242" spans="1:4" ht="15.75" customHeight="1">
      <c r="A242" s="7">
        <v>51601</v>
      </c>
      <c r="B242" s="8" t="s">
        <v>319</v>
      </c>
      <c r="C242" s="86">
        <v>0</v>
      </c>
      <c r="D242" s="43">
        <v>56.77577935376214</v>
      </c>
    </row>
    <row r="243" spans="1:4" ht="15.75" customHeight="1">
      <c r="A243" s="7">
        <v>60101</v>
      </c>
      <c r="B243" s="8" t="s">
        <v>25</v>
      </c>
      <c r="C243" s="86">
        <v>27.857730365643928</v>
      </c>
      <c r="D243" s="43">
        <v>23.570530459415554</v>
      </c>
    </row>
    <row r="244" spans="1:4" ht="15.75" customHeight="1">
      <c r="A244" s="7">
        <v>60201</v>
      </c>
      <c r="B244" s="8" t="s">
        <v>321</v>
      </c>
      <c r="C244" s="86">
        <v>38.694131902371474</v>
      </c>
      <c r="D244" s="43">
        <v>26.330710676845687</v>
      </c>
    </row>
    <row r="245" spans="1:4" ht="15.75" customHeight="1">
      <c r="A245" s="7">
        <v>60202</v>
      </c>
      <c r="B245" s="8" t="s">
        <v>322</v>
      </c>
      <c r="C245" s="86">
        <v>44.248225227413826</v>
      </c>
      <c r="D245" s="43">
        <v>17.577149946511351</v>
      </c>
    </row>
    <row r="246" spans="1:4" ht="15.75" customHeight="1">
      <c r="A246" s="7">
        <v>60301</v>
      </c>
      <c r="B246" s="8" t="s">
        <v>324</v>
      </c>
      <c r="C246" s="86">
        <v>50.398295930625807</v>
      </c>
      <c r="D246" s="43">
        <v>33.979477531559219</v>
      </c>
    </row>
    <row r="247" spans="1:4" ht="15.75" customHeight="1">
      <c r="A247" s="7">
        <v>60302</v>
      </c>
      <c r="B247" s="8" t="s">
        <v>325</v>
      </c>
      <c r="C247" s="86">
        <v>24.838989265951064</v>
      </c>
      <c r="D247" s="43">
        <v>16.409704233117985</v>
      </c>
    </row>
    <row r="248" spans="1:4" ht="15.75" customHeight="1">
      <c r="A248" s="7">
        <v>60303</v>
      </c>
      <c r="B248" s="8" t="s">
        <v>326</v>
      </c>
      <c r="C248" s="86">
        <v>65.205156663536243</v>
      </c>
      <c r="D248" s="43">
        <v>22.53153632206492</v>
      </c>
    </row>
    <row r="249" spans="1:4" ht="15.75" customHeight="1">
      <c r="A249" s="7">
        <v>60401</v>
      </c>
      <c r="B249" s="8" t="s">
        <v>328</v>
      </c>
      <c r="C249" s="86">
        <v>19.594241009795546</v>
      </c>
      <c r="D249" s="43">
        <v>20.567453464382574</v>
      </c>
    </row>
    <row r="250" spans="1:4" ht="15.75" customHeight="1">
      <c r="A250" s="7">
        <v>60402</v>
      </c>
      <c r="B250" s="8" t="s">
        <v>329</v>
      </c>
      <c r="C250" s="86">
        <v>120.16126431220772</v>
      </c>
      <c r="D250" s="43">
        <v>28.334441071332343</v>
      </c>
    </row>
    <row r="251" spans="1:4" ht="15.75" customHeight="1">
      <c r="A251" s="7">
        <v>60501</v>
      </c>
      <c r="B251" s="8" t="s">
        <v>331</v>
      </c>
      <c r="C251" s="86">
        <v>47.54206544526479</v>
      </c>
      <c r="D251" s="43">
        <v>13.919029710658807</v>
      </c>
    </row>
    <row r="252" spans="1:4" ht="15.75" customHeight="1">
      <c r="A252" s="7">
        <v>60502</v>
      </c>
      <c r="B252" s="8" t="s">
        <v>332</v>
      </c>
      <c r="C252" s="86">
        <v>56.486522911051217</v>
      </c>
      <c r="D252" s="43">
        <v>51.049975602226674</v>
      </c>
    </row>
    <row r="253" spans="1:4" ht="15.75" customHeight="1">
      <c r="A253" s="7">
        <v>60601</v>
      </c>
      <c r="B253" s="8" t="s">
        <v>205</v>
      </c>
      <c r="C253" s="86">
        <v>29.771720310765822</v>
      </c>
      <c r="D253" s="43">
        <v>27.19756534933444</v>
      </c>
    </row>
    <row r="254" spans="1:4" ht="15.75" customHeight="1">
      <c r="A254" s="7">
        <v>70101</v>
      </c>
      <c r="B254" s="8" t="s">
        <v>335</v>
      </c>
      <c r="C254" s="86">
        <v>27.522251237287168</v>
      </c>
      <c r="D254" s="43">
        <v>6.2447613418971164</v>
      </c>
    </row>
    <row r="255" spans="1:4" ht="15.75" customHeight="1">
      <c r="A255" s="7">
        <v>70102</v>
      </c>
      <c r="B255" s="8" t="s">
        <v>336</v>
      </c>
      <c r="C255" s="86">
        <v>49.002934727968302</v>
      </c>
      <c r="D255" s="43">
        <v>7.788961903342944</v>
      </c>
    </row>
    <row r="256" spans="1:4" ht="15.75" customHeight="1">
      <c r="A256" s="7">
        <v>70103</v>
      </c>
      <c r="B256" s="8" t="s">
        <v>337</v>
      </c>
      <c r="C256" s="86">
        <v>16.431652676951</v>
      </c>
      <c r="D256" s="43">
        <v>6.0277426949126474</v>
      </c>
    </row>
    <row r="257" spans="1:4" ht="15.75" customHeight="1">
      <c r="A257" s="7">
        <v>70104</v>
      </c>
      <c r="B257" s="8" t="s">
        <v>338</v>
      </c>
      <c r="C257" s="86">
        <v>23.653301199389652</v>
      </c>
      <c r="D257" s="43">
        <v>5.5391912154517629</v>
      </c>
    </row>
    <row r="258" spans="1:4" ht="15.75" customHeight="1">
      <c r="A258" s="7">
        <v>70105</v>
      </c>
      <c r="B258" s="8" t="s">
        <v>339</v>
      </c>
      <c r="C258" s="86">
        <v>30.625302480338778</v>
      </c>
      <c r="D258" s="43">
        <v>8.0467241090603849</v>
      </c>
    </row>
    <row r="259" spans="1:4" ht="15.75" customHeight="1">
      <c r="A259" s="7">
        <v>70201</v>
      </c>
      <c r="B259" s="8" t="s">
        <v>340</v>
      </c>
      <c r="C259" s="86">
        <v>25.095314814333598</v>
      </c>
      <c r="D259" s="43">
        <v>7.4303715138329069</v>
      </c>
    </row>
    <row r="260" spans="1:4" ht="15.75" customHeight="1">
      <c r="A260" s="7">
        <v>70202</v>
      </c>
      <c r="B260" s="8" t="s">
        <v>341</v>
      </c>
      <c r="C260" s="86">
        <v>20.312859821396376</v>
      </c>
      <c r="D260" s="43">
        <v>9.7724442528105016</v>
      </c>
    </row>
    <row r="261" spans="1:4" ht="15.75" customHeight="1">
      <c r="A261" s="7">
        <v>70301</v>
      </c>
      <c r="B261" s="8" t="s">
        <v>343</v>
      </c>
      <c r="C261" s="86">
        <v>38.224584375716674</v>
      </c>
      <c r="D261" s="43">
        <v>10.812303210114306</v>
      </c>
    </row>
    <row r="262" spans="1:4" ht="15.75" customHeight="1">
      <c r="A262" s="7">
        <v>70302</v>
      </c>
      <c r="B262" s="8" t="s">
        <v>344</v>
      </c>
      <c r="C262" s="86">
        <v>49.546561664304534</v>
      </c>
      <c r="D262" s="43">
        <v>18.774893528755602</v>
      </c>
    </row>
    <row r="263" spans="1:4" ht="15.75" customHeight="1">
      <c r="A263" s="7">
        <v>70303</v>
      </c>
      <c r="B263" s="8" t="s">
        <v>345</v>
      </c>
      <c r="C263" s="86">
        <v>60.857972877596289</v>
      </c>
      <c r="D263" s="43">
        <v>10.912562748971725</v>
      </c>
    </row>
    <row r="264" spans="1:4" ht="15.75" customHeight="1">
      <c r="A264" s="7">
        <v>70401</v>
      </c>
      <c r="B264" s="8" t="s">
        <v>347</v>
      </c>
      <c r="C264" s="86">
        <v>24.959472420685064</v>
      </c>
      <c r="D264" s="43">
        <v>3.2130136573524899</v>
      </c>
    </row>
    <row r="265" spans="1:4" ht="15.75" customHeight="1">
      <c r="A265" s="7">
        <v>70402</v>
      </c>
      <c r="B265" s="8" t="s">
        <v>348</v>
      </c>
      <c r="C265" s="86">
        <v>25.825780238822784</v>
      </c>
      <c r="D265" s="43">
        <v>10.08724287720076</v>
      </c>
    </row>
    <row r="266" spans="1:4" ht="15.75" customHeight="1">
      <c r="A266" s="7">
        <v>70403</v>
      </c>
      <c r="B266" s="8" t="s">
        <v>349</v>
      </c>
      <c r="C266" s="86">
        <v>61.308772676689607</v>
      </c>
      <c r="D266" s="43">
        <v>11.556199157758266</v>
      </c>
    </row>
    <row r="267" spans="1:4" ht="15.75" customHeight="1">
      <c r="A267" s="7">
        <v>70404</v>
      </c>
      <c r="B267" s="8" t="s">
        <v>350</v>
      </c>
      <c r="C267" s="86">
        <v>33.850614956808919</v>
      </c>
      <c r="D267" s="43">
        <v>7.0403630638527277</v>
      </c>
    </row>
    <row r="268" spans="1:4" ht="15.75" customHeight="1">
      <c r="A268" s="7">
        <v>70501</v>
      </c>
      <c r="B268" s="8" t="s">
        <v>352</v>
      </c>
      <c r="C268" s="86">
        <v>18.670675034618089</v>
      </c>
      <c r="D268" s="43">
        <v>12.072806489523321</v>
      </c>
    </row>
    <row r="269" spans="1:4" ht="15.75" customHeight="1">
      <c r="A269" s="7">
        <v>70502</v>
      </c>
      <c r="B269" s="8" t="s">
        <v>353</v>
      </c>
      <c r="C269" s="86">
        <v>25.450768909120615</v>
      </c>
      <c r="D269" s="43">
        <v>12.897526409409828</v>
      </c>
    </row>
    <row r="270" spans="1:4" ht="15.75" customHeight="1">
      <c r="A270" s="7">
        <v>70503</v>
      </c>
      <c r="B270" s="8" t="s">
        <v>354</v>
      </c>
      <c r="C270" s="86">
        <v>45.42082853791333</v>
      </c>
      <c r="D270" s="43">
        <v>9.1083291315299171</v>
      </c>
    </row>
    <row r="271" spans="1:4" ht="15.75" customHeight="1">
      <c r="A271" s="7">
        <v>70601</v>
      </c>
      <c r="B271" s="8" t="s">
        <v>356</v>
      </c>
      <c r="C271" s="86">
        <v>16.043108639586023</v>
      </c>
      <c r="D271" s="43">
        <v>4.1825153393271437</v>
      </c>
    </row>
    <row r="272" spans="1:4" ht="15.75" customHeight="1">
      <c r="A272" s="7">
        <v>70602</v>
      </c>
      <c r="B272" s="8" t="s">
        <v>357</v>
      </c>
      <c r="C272" s="86">
        <v>31.675475039905539</v>
      </c>
      <c r="D272" s="43">
        <v>10.709003184311269</v>
      </c>
    </row>
    <row r="273" spans="1:4" ht="15.75" customHeight="1">
      <c r="A273" s="7">
        <v>70603</v>
      </c>
      <c r="B273" s="8" t="s">
        <v>358</v>
      </c>
      <c r="C273" s="86">
        <v>29.211826981246219</v>
      </c>
      <c r="D273" s="43">
        <v>4.1971395188352787</v>
      </c>
    </row>
    <row r="274" spans="1:4" ht="15.75" customHeight="1">
      <c r="A274" s="7">
        <v>70701</v>
      </c>
      <c r="B274" s="8" t="s">
        <v>360</v>
      </c>
      <c r="C274" s="86">
        <v>27.173792540694155</v>
      </c>
      <c r="D274" s="43">
        <v>11.14043528897346</v>
      </c>
    </row>
    <row r="275" spans="1:4" ht="15.75" customHeight="1">
      <c r="A275" s="7">
        <v>70702</v>
      </c>
      <c r="B275" s="8" t="s">
        <v>361</v>
      </c>
      <c r="C275" s="86">
        <v>43.228264142651355</v>
      </c>
      <c r="D275" s="43">
        <v>20.162001542919832</v>
      </c>
    </row>
    <row r="276" spans="1:4" ht="15.75" customHeight="1">
      <c r="A276" s="7">
        <v>70703</v>
      </c>
      <c r="B276" s="8" t="s">
        <v>362</v>
      </c>
      <c r="C276" s="86">
        <v>22.202729896327234</v>
      </c>
      <c r="D276" s="43">
        <v>9.4882233873305069</v>
      </c>
    </row>
    <row r="277" spans="1:4" ht="15.75" customHeight="1">
      <c r="A277" s="7">
        <v>70704</v>
      </c>
      <c r="B277" s="8" t="s">
        <v>363</v>
      </c>
      <c r="C277" s="86">
        <v>15.649193025667618</v>
      </c>
      <c r="D277" s="43">
        <v>8.6670173457537203</v>
      </c>
    </row>
    <row r="278" spans="1:4" ht="15.75" customHeight="1">
      <c r="A278" s="7">
        <v>70705</v>
      </c>
      <c r="B278" s="8" t="s">
        <v>364</v>
      </c>
      <c r="C278" s="86">
        <v>90.746799793812215</v>
      </c>
      <c r="D278" s="43">
        <v>15.479134348583028</v>
      </c>
    </row>
    <row r="279" spans="1:4" ht="15.75" customHeight="1">
      <c r="A279" s="7">
        <v>70706</v>
      </c>
      <c r="B279" s="8" t="s">
        <v>365</v>
      </c>
      <c r="C279" s="86">
        <v>26.238167947227147</v>
      </c>
      <c r="D279" s="43">
        <v>7.4596493157134534</v>
      </c>
    </row>
    <row r="280" spans="1:4" ht="15.75" customHeight="1">
      <c r="A280" s="7">
        <v>70707</v>
      </c>
      <c r="B280" s="8" t="s">
        <v>366</v>
      </c>
      <c r="C280" s="86">
        <v>15.510704591812152</v>
      </c>
      <c r="D280" s="43">
        <v>6.0625348605398486</v>
      </c>
    </row>
    <row r="281" spans="1:4" ht="15.75" customHeight="1">
      <c r="A281" s="7">
        <v>70801</v>
      </c>
      <c r="B281" s="8" t="s">
        <v>367</v>
      </c>
      <c r="C281" s="86">
        <v>21.638390356478681</v>
      </c>
      <c r="D281" s="43">
        <v>5.5802877693605444</v>
      </c>
    </row>
    <row r="282" spans="1:4" ht="15.75" customHeight="1">
      <c r="A282" s="7">
        <v>70802</v>
      </c>
      <c r="B282" s="8" t="s">
        <v>368</v>
      </c>
      <c r="C282" s="86">
        <v>0</v>
      </c>
      <c r="D282" s="43">
        <v>10.717695557025804</v>
      </c>
    </row>
    <row r="283" spans="1:4" ht="15.75" customHeight="1">
      <c r="A283" s="7">
        <v>70803</v>
      </c>
      <c r="B283" s="8" t="s">
        <v>369</v>
      </c>
      <c r="C283" s="86">
        <v>0</v>
      </c>
      <c r="D283" s="43">
        <v>3.897343838918474</v>
      </c>
    </row>
    <row r="284" spans="1:4" ht="15.75" customHeight="1">
      <c r="A284" s="7">
        <v>70804</v>
      </c>
      <c r="B284" s="8" t="s">
        <v>370</v>
      </c>
      <c r="C284" s="86">
        <v>0</v>
      </c>
      <c r="D284" s="43">
        <v>0</v>
      </c>
    </row>
    <row r="285" spans="1:4" ht="15.75" customHeight="1">
      <c r="A285" s="7">
        <v>70805</v>
      </c>
      <c r="B285" s="8" t="s">
        <v>371</v>
      </c>
      <c r="C285" s="86">
        <v>0</v>
      </c>
      <c r="D285" s="43">
        <v>10.348119848162847</v>
      </c>
    </row>
    <row r="286" spans="1:4" ht="15.75" customHeight="1">
      <c r="A286" s="7">
        <v>70901</v>
      </c>
      <c r="B286" s="8" t="s">
        <v>373</v>
      </c>
      <c r="C286" s="86">
        <v>8.1521377622082465</v>
      </c>
      <c r="D286" s="43">
        <v>11.834751150293283</v>
      </c>
    </row>
    <row r="287" spans="1:4" ht="15.75" customHeight="1">
      <c r="A287" s="7">
        <v>70902</v>
      </c>
      <c r="B287" s="8" t="s">
        <v>374</v>
      </c>
      <c r="C287" s="86">
        <v>32.012961075338325</v>
      </c>
      <c r="D287" s="43">
        <v>7.2409095988485337</v>
      </c>
    </row>
    <row r="288" spans="1:4" ht="15.75" customHeight="1">
      <c r="A288" s="7">
        <v>70903</v>
      </c>
      <c r="B288" s="8" t="s">
        <v>375</v>
      </c>
      <c r="C288" s="86">
        <v>37.803540799259807</v>
      </c>
      <c r="D288" s="43">
        <v>8.3987969488856695</v>
      </c>
    </row>
    <row r="289" spans="1:4" ht="15.75" customHeight="1">
      <c r="A289" s="7">
        <v>70904</v>
      </c>
      <c r="B289" s="8" t="s">
        <v>376</v>
      </c>
      <c r="C289" s="86">
        <v>37.291694018612191</v>
      </c>
      <c r="D289" s="43">
        <v>7.9495490224297374</v>
      </c>
    </row>
    <row r="290" spans="1:4" ht="15.75" customHeight="1">
      <c r="A290" s="7">
        <v>71001</v>
      </c>
      <c r="B290" s="8" t="s">
        <v>378</v>
      </c>
      <c r="C290" s="86">
        <v>30.063075351411637</v>
      </c>
      <c r="D290" s="43">
        <v>7.4463743395761197</v>
      </c>
    </row>
    <row r="291" spans="1:4" ht="15.75" customHeight="1">
      <c r="A291" s="7">
        <v>71002</v>
      </c>
      <c r="B291" s="8" t="s">
        <v>379</v>
      </c>
      <c r="C291" s="86">
        <v>28.811664967804489</v>
      </c>
      <c r="D291" s="43">
        <v>9.3560553576530801</v>
      </c>
    </row>
    <row r="292" spans="1:4" ht="15.75" customHeight="1">
      <c r="A292" s="7">
        <v>71003</v>
      </c>
      <c r="B292" s="8" t="s">
        <v>380</v>
      </c>
      <c r="C292" s="86">
        <v>64.660401952209071</v>
      </c>
      <c r="D292" s="43">
        <v>11.455350716821103</v>
      </c>
    </row>
    <row r="293" spans="1:4" ht="15.75" customHeight="1">
      <c r="A293" s="7">
        <v>71004</v>
      </c>
      <c r="B293" s="8" t="s">
        <v>381</v>
      </c>
      <c r="C293" s="86">
        <v>51.39910905791124</v>
      </c>
      <c r="D293" s="43">
        <v>12.112834534681033</v>
      </c>
    </row>
    <row r="294" spans="1:4" ht="15.75" customHeight="1">
      <c r="A294" s="7">
        <v>71005</v>
      </c>
      <c r="B294" s="8" t="s">
        <v>382</v>
      </c>
      <c r="C294" s="86">
        <v>25.038708841068189</v>
      </c>
      <c r="D294" s="43">
        <v>5.5175879067834588</v>
      </c>
    </row>
    <row r="295" spans="1:4" ht="15.75" customHeight="1">
      <c r="A295" s="7">
        <v>71101</v>
      </c>
      <c r="B295" s="8" t="s">
        <v>384</v>
      </c>
      <c r="C295" s="86">
        <v>41.027846883772781</v>
      </c>
      <c r="D295" s="43">
        <v>14.614637276274562</v>
      </c>
    </row>
    <row r="296" spans="1:4" ht="15.75" customHeight="1">
      <c r="A296" s="7">
        <v>71102</v>
      </c>
      <c r="B296" s="8" t="s">
        <v>385</v>
      </c>
      <c r="C296" s="86">
        <v>76.960337372688343</v>
      </c>
      <c r="D296" s="43">
        <v>22.899920941719735</v>
      </c>
    </row>
    <row r="297" spans="1:4" ht="15.75" customHeight="1">
      <c r="A297" s="7">
        <v>71103</v>
      </c>
      <c r="B297" s="8" t="s">
        <v>386</v>
      </c>
      <c r="C297" s="86">
        <v>43.491553818232589</v>
      </c>
      <c r="D297" s="43">
        <v>7.3756184478457154</v>
      </c>
    </row>
    <row r="298" spans="1:4" ht="15.75" customHeight="1">
      <c r="A298" s="7">
        <v>71104</v>
      </c>
      <c r="B298" s="8" t="s">
        <v>387</v>
      </c>
      <c r="C298" s="86">
        <v>118.73194192377494</v>
      </c>
      <c r="D298" s="43">
        <v>10.401922897633362</v>
      </c>
    </row>
    <row r="299" spans="1:4" ht="15.75" customHeight="1">
      <c r="A299" s="7">
        <v>71105</v>
      </c>
      <c r="B299" s="8" t="s">
        <v>388</v>
      </c>
      <c r="C299" s="86">
        <v>28.400387342878268</v>
      </c>
      <c r="D299" s="43">
        <v>9.4704686578847355</v>
      </c>
    </row>
    <row r="300" spans="1:4" ht="15.75" customHeight="1">
      <c r="A300" s="7">
        <v>71106</v>
      </c>
      <c r="B300" s="8" t="s">
        <v>389</v>
      </c>
      <c r="C300" s="86">
        <v>34.69218694846797</v>
      </c>
      <c r="D300" s="43">
        <v>10.027760363919965</v>
      </c>
    </row>
    <row r="301" spans="1:4" ht="15.75" customHeight="1">
      <c r="A301" s="7">
        <v>71201</v>
      </c>
      <c r="B301" s="8" t="s">
        <v>391</v>
      </c>
      <c r="C301" s="86">
        <v>29.540049756316403</v>
      </c>
      <c r="D301" s="43">
        <v>7.6093939929438363</v>
      </c>
    </row>
    <row r="302" spans="1:4" ht="15.75" customHeight="1">
      <c r="A302" s="7">
        <v>71301</v>
      </c>
      <c r="B302" s="8" t="s">
        <v>393</v>
      </c>
      <c r="C302" s="86">
        <v>33.254535179543687</v>
      </c>
      <c r="D302" s="43">
        <v>14.662645387462012</v>
      </c>
    </row>
    <row r="303" spans="1:4" ht="15.75" customHeight="1">
      <c r="A303" s="7">
        <v>71302</v>
      </c>
      <c r="B303" s="8" t="s">
        <v>394</v>
      </c>
      <c r="C303" s="86">
        <v>30.04645060928183</v>
      </c>
      <c r="D303" s="43">
        <v>6.9952325313921335</v>
      </c>
    </row>
    <row r="304" spans="1:4" ht="15.75" customHeight="1">
      <c r="A304" s="7">
        <v>71401</v>
      </c>
      <c r="B304" s="8" t="s">
        <v>396</v>
      </c>
      <c r="C304" s="86">
        <v>20.593193955447724</v>
      </c>
      <c r="D304" s="43">
        <v>9.8571506582865069</v>
      </c>
    </row>
    <row r="305" spans="1:4" ht="15.75" customHeight="1">
      <c r="A305" s="7">
        <v>71402</v>
      </c>
      <c r="B305" s="8" t="s">
        <v>397</v>
      </c>
      <c r="C305" s="86">
        <v>35.136867359517865</v>
      </c>
      <c r="D305" s="43">
        <v>7.9037491515186185</v>
      </c>
    </row>
    <row r="306" spans="1:4" ht="15.75" customHeight="1">
      <c r="A306" s="7">
        <v>71403</v>
      </c>
      <c r="B306" s="8" t="s">
        <v>398</v>
      </c>
      <c r="C306" s="86">
        <v>40.13838821850625</v>
      </c>
      <c r="D306" s="43">
        <v>16.775523480562128</v>
      </c>
    </row>
    <row r="307" spans="1:4" ht="15.75" customHeight="1">
      <c r="A307" s="7">
        <v>71501</v>
      </c>
      <c r="B307" s="8" t="s">
        <v>400</v>
      </c>
      <c r="C307" s="86">
        <v>32.636661868702674</v>
      </c>
      <c r="D307" s="43">
        <v>13.952609764786642</v>
      </c>
    </row>
    <row r="308" spans="1:4" ht="15.75" customHeight="1">
      <c r="A308" s="7">
        <v>71502</v>
      </c>
      <c r="B308" s="8" t="s">
        <v>401</v>
      </c>
      <c r="C308" s="86">
        <v>48.41739278659594</v>
      </c>
      <c r="D308" s="43">
        <v>27.057788783311054</v>
      </c>
    </row>
    <row r="309" spans="1:4" ht="15.75" customHeight="1">
      <c r="A309" s="7">
        <v>71503</v>
      </c>
      <c r="B309" s="8" t="s">
        <v>332</v>
      </c>
      <c r="C309" s="86">
        <v>34.879793410443249</v>
      </c>
      <c r="D309" s="43">
        <v>10.286048863640875</v>
      </c>
    </row>
    <row r="310" spans="1:4" ht="15.75" customHeight="1">
      <c r="A310" s="7">
        <v>80101</v>
      </c>
      <c r="B310" s="8" t="s">
        <v>402</v>
      </c>
      <c r="C310" s="86">
        <v>34.412902768351856</v>
      </c>
      <c r="D310" s="43">
        <v>16.550745316522946</v>
      </c>
    </row>
    <row r="311" spans="1:4" ht="15.75" customHeight="1">
      <c r="A311" s="7">
        <v>80102</v>
      </c>
      <c r="B311" s="8" t="s">
        <v>385</v>
      </c>
      <c r="C311" s="86">
        <v>47.907006389725446</v>
      </c>
      <c r="D311" s="43">
        <v>25.913218905067925</v>
      </c>
    </row>
    <row r="312" spans="1:4" ht="15.75" customHeight="1">
      <c r="A312" s="7">
        <v>80201</v>
      </c>
      <c r="B312" s="8" t="s">
        <v>404</v>
      </c>
      <c r="C312" s="86">
        <v>63.830910623179953</v>
      </c>
      <c r="D312" s="43">
        <v>24.538351887267019</v>
      </c>
    </row>
    <row r="313" spans="1:4" ht="15.75" customHeight="1">
      <c r="A313" s="7">
        <v>80202</v>
      </c>
      <c r="B313" s="8" t="s">
        <v>405</v>
      </c>
      <c r="C313" s="86">
        <v>40.177372191682466</v>
      </c>
      <c r="D313" s="43">
        <v>19.886280411832672</v>
      </c>
    </row>
    <row r="314" spans="1:4" ht="15.75" customHeight="1">
      <c r="A314" s="7">
        <v>80301</v>
      </c>
      <c r="B314" s="8" t="s">
        <v>407</v>
      </c>
      <c r="C314" s="86">
        <v>52.933556906308951</v>
      </c>
      <c r="D314" s="43">
        <v>30.784163387620389</v>
      </c>
    </row>
    <row r="315" spans="1:4" ht="15.75" customHeight="1">
      <c r="A315" s="7">
        <v>80302</v>
      </c>
      <c r="B315" s="8" t="s">
        <v>408</v>
      </c>
      <c r="C315" s="86">
        <v>96.120617620345115</v>
      </c>
      <c r="D315" s="43">
        <v>37.937705087363277</v>
      </c>
    </row>
    <row r="316" spans="1:4" ht="15.75" customHeight="1">
      <c r="A316" s="7">
        <v>80303</v>
      </c>
      <c r="B316" s="8" t="s">
        <v>409</v>
      </c>
      <c r="C316" s="86">
        <v>27.3069936421435</v>
      </c>
      <c r="D316" s="43">
        <v>19.635642917123768</v>
      </c>
    </row>
    <row r="317" spans="1:4" ht="15.75" customHeight="1">
      <c r="A317" s="7">
        <v>80304</v>
      </c>
      <c r="B317" s="8" t="s">
        <v>410</v>
      </c>
      <c r="C317" s="86">
        <v>47.490423725466968</v>
      </c>
      <c r="D317" s="43">
        <v>30.554181898953253</v>
      </c>
    </row>
    <row r="318" spans="1:4" ht="15.75" customHeight="1">
      <c r="A318" s="7">
        <v>80401</v>
      </c>
      <c r="B318" s="8" t="s">
        <v>412</v>
      </c>
      <c r="C318" s="86">
        <v>60.402566581699915</v>
      </c>
      <c r="D318" s="43">
        <v>15.237173205301062</v>
      </c>
    </row>
    <row r="319" spans="1:4" ht="15.75" customHeight="1">
      <c r="A319" s="7">
        <v>80402</v>
      </c>
      <c r="B319" s="8" t="s">
        <v>413</v>
      </c>
      <c r="C319" s="86">
        <v>17.906225339110492</v>
      </c>
      <c r="D319" s="43">
        <v>13.164469497227021</v>
      </c>
    </row>
    <row r="320" spans="1:4" ht="15.75" customHeight="1">
      <c r="A320" s="7">
        <v>80501</v>
      </c>
      <c r="B320" s="8" t="s">
        <v>415</v>
      </c>
      <c r="C320" s="86">
        <v>61.800038242745828</v>
      </c>
      <c r="D320" s="43">
        <v>32.456078254546213</v>
      </c>
    </row>
    <row r="321" spans="1:4" ht="15.75" customHeight="1">
      <c r="A321" s="7">
        <v>80601</v>
      </c>
      <c r="B321" s="8" t="s">
        <v>417</v>
      </c>
      <c r="C321" s="86">
        <v>38.400459809264298</v>
      </c>
      <c r="D321" s="43">
        <v>27.645385944176741</v>
      </c>
    </row>
    <row r="322" spans="1:4" ht="15.75" customHeight="1">
      <c r="A322" s="7">
        <v>80602</v>
      </c>
      <c r="B322" s="8" t="s">
        <v>418</v>
      </c>
      <c r="C322" s="86">
        <v>27.613813795426015</v>
      </c>
      <c r="D322" s="43">
        <v>31.367630823581372</v>
      </c>
    </row>
    <row r="323" spans="1:4" ht="15.75" customHeight="1">
      <c r="A323" s="7">
        <v>80701</v>
      </c>
      <c r="B323" s="8" t="s">
        <v>420</v>
      </c>
      <c r="C323" s="86">
        <v>42.865629554527594</v>
      </c>
      <c r="D323" s="43">
        <v>14.952960898854746</v>
      </c>
    </row>
    <row r="324" spans="1:4" ht="15.75" customHeight="1">
      <c r="A324" s="7">
        <v>80702</v>
      </c>
      <c r="B324" s="8" t="s">
        <v>386</v>
      </c>
      <c r="C324" s="86">
        <v>20.144503506499305</v>
      </c>
      <c r="D324" s="43">
        <v>17.438647905417614</v>
      </c>
    </row>
    <row r="325" spans="1:4" ht="15.75" customHeight="1">
      <c r="A325" s="7">
        <v>80703</v>
      </c>
      <c r="B325" s="8" t="s">
        <v>421</v>
      </c>
      <c r="C325" s="86">
        <v>79.278368638481126</v>
      </c>
      <c r="D325" s="43">
        <v>0</v>
      </c>
    </row>
    <row r="326" spans="1:4" ht="15.75" customHeight="1">
      <c r="A326" s="7">
        <v>80801</v>
      </c>
      <c r="B326" s="8" t="s">
        <v>423</v>
      </c>
      <c r="C326" s="86">
        <v>5.4796642760154191</v>
      </c>
      <c r="D326" s="43">
        <v>17.648752097049147</v>
      </c>
    </row>
    <row r="327" spans="1:4" ht="15.75" customHeight="1">
      <c r="A327" s="7">
        <v>80802</v>
      </c>
      <c r="B327" s="8" t="s">
        <v>424</v>
      </c>
      <c r="C327" s="86">
        <v>21.005379724725771</v>
      </c>
      <c r="D327" s="43">
        <v>26.328938994454042</v>
      </c>
    </row>
    <row r="328" spans="1:4" ht="15.75" customHeight="1">
      <c r="A328" s="7">
        <v>80803</v>
      </c>
      <c r="B328" s="8" t="s">
        <v>425</v>
      </c>
      <c r="C328" s="86">
        <v>28.007172966301031</v>
      </c>
      <c r="D328" s="43">
        <v>12.244157039974066</v>
      </c>
    </row>
    <row r="329" spans="1:4" ht="15.75" customHeight="1">
      <c r="A329" s="7">
        <v>80901</v>
      </c>
      <c r="B329" s="44" t="s">
        <v>426</v>
      </c>
      <c r="C329" s="86">
        <v>33.301211758711588</v>
      </c>
      <c r="D329" s="43">
        <v>67.816964076624046</v>
      </c>
    </row>
    <row r="330" spans="1:4" ht="15.75" customHeight="1">
      <c r="A330" s="7">
        <v>90101</v>
      </c>
      <c r="B330" s="8" t="s">
        <v>428</v>
      </c>
      <c r="C330" s="86">
        <v>63.61609122584732</v>
      </c>
      <c r="D330" s="43">
        <v>9.8858673634957999</v>
      </c>
    </row>
    <row r="331" spans="1:4" ht="15.75" customHeight="1">
      <c r="A331" s="7">
        <v>90102</v>
      </c>
      <c r="B331" s="8" t="s">
        <v>429</v>
      </c>
      <c r="C331" s="86">
        <v>43.920179323164398</v>
      </c>
      <c r="D331" s="43">
        <v>4.6470839694656494</v>
      </c>
    </row>
    <row r="332" spans="1:4" ht="15.75" customHeight="1">
      <c r="A332" s="7">
        <v>90103</v>
      </c>
      <c r="B332" s="8" t="s">
        <v>430</v>
      </c>
      <c r="C332" s="86">
        <v>0</v>
      </c>
      <c r="D332" s="43">
        <v>4.777018883085578</v>
      </c>
    </row>
    <row r="333" spans="1:4" ht="15.75" customHeight="1">
      <c r="A333" s="7">
        <v>90104</v>
      </c>
      <c r="B333" s="8" t="s">
        <v>431</v>
      </c>
      <c r="C333" s="86">
        <v>38.382417582417588</v>
      </c>
      <c r="D333" s="43">
        <v>5.5217252488897923</v>
      </c>
    </row>
    <row r="334" spans="1:4" ht="15.75" customHeight="1">
      <c r="A334" s="7">
        <v>90201</v>
      </c>
      <c r="B334" s="8" t="s">
        <v>433</v>
      </c>
      <c r="C334" s="86">
        <v>51.80725377908476</v>
      </c>
      <c r="D334" s="43">
        <v>10.819473231889189</v>
      </c>
    </row>
    <row r="335" spans="1:4" ht="15.75" customHeight="1">
      <c r="A335" s="7">
        <v>90202</v>
      </c>
      <c r="B335" s="8" t="s">
        <v>382</v>
      </c>
      <c r="C335" s="86">
        <v>129.82288299935362</v>
      </c>
      <c r="D335" s="43">
        <v>0</v>
      </c>
    </row>
    <row r="336" spans="1:4" ht="15.75" customHeight="1">
      <c r="A336" s="7">
        <v>90203</v>
      </c>
      <c r="B336" s="8" t="s">
        <v>434</v>
      </c>
      <c r="C336" s="86">
        <v>61.878196569785359</v>
      </c>
      <c r="D336" s="43">
        <v>11.257470856263685</v>
      </c>
    </row>
    <row r="337" spans="1:4" ht="15.75" customHeight="1">
      <c r="A337" s="7">
        <v>90301</v>
      </c>
      <c r="B337" s="8" t="s">
        <v>436</v>
      </c>
      <c r="C337" s="86">
        <v>20.247605605403773</v>
      </c>
      <c r="D337" s="43">
        <v>9.6957890683398649</v>
      </c>
    </row>
    <row r="338" spans="1:4" ht="15.75" customHeight="1">
      <c r="A338" s="7">
        <v>90302</v>
      </c>
      <c r="B338" s="8" t="s">
        <v>437</v>
      </c>
      <c r="C338" s="86">
        <v>30.866979174671489</v>
      </c>
      <c r="D338" s="43">
        <v>3.685821676289379</v>
      </c>
    </row>
    <row r="339" spans="1:4" ht="15.75" customHeight="1">
      <c r="A339" s="7">
        <v>90303</v>
      </c>
      <c r="B339" s="8" t="s">
        <v>438</v>
      </c>
      <c r="C339" s="86">
        <v>70.736827275288817</v>
      </c>
      <c r="D339" s="43">
        <v>17.766444697092737</v>
      </c>
    </row>
    <row r="340" spans="1:4" ht="15.75" customHeight="1">
      <c r="A340" s="7">
        <v>90401</v>
      </c>
      <c r="B340" s="8" t="s">
        <v>440</v>
      </c>
      <c r="C340" s="86">
        <v>61.305250305250304</v>
      </c>
      <c r="D340" s="43">
        <v>6.3139727846000673</v>
      </c>
    </row>
    <row r="341" spans="1:4" ht="15.75" customHeight="1">
      <c r="A341" s="7">
        <v>90402</v>
      </c>
      <c r="B341" s="8" t="s">
        <v>102</v>
      </c>
      <c r="C341" s="86">
        <v>129.8228829993536</v>
      </c>
      <c r="D341" s="43">
        <v>10.323794363445604</v>
      </c>
    </row>
    <row r="342" spans="1:4" ht="15.75" customHeight="1">
      <c r="A342" s="7">
        <v>90501</v>
      </c>
      <c r="B342" s="8" t="s">
        <v>442</v>
      </c>
      <c r="C342" s="86">
        <v>77.43821091189514</v>
      </c>
      <c r="D342" s="43">
        <v>5.7627529383254581</v>
      </c>
    </row>
    <row r="343" spans="1:4" ht="15.75" customHeight="1">
      <c r="A343" s="7">
        <v>90502</v>
      </c>
      <c r="B343" s="8" t="s">
        <v>443</v>
      </c>
      <c r="C343" s="86">
        <v>47.978021978021985</v>
      </c>
      <c r="D343" s="43">
        <v>13.572091032317902</v>
      </c>
    </row>
    <row r="344" spans="1:4" ht="15.75" customHeight="1">
      <c r="A344" s="7">
        <v>90503</v>
      </c>
      <c r="B344" s="8" t="s">
        <v>444</v>
      </c>
      <c r="C344" s="86">
        <v>169.76838546069317</v>
      </c>
      <c r="D344" s="43">
        <v>40.56462962173228</v>
      </c>
    </row>
    <row r="345" spans="1:4" ht="15.75" customHeight="1">
      <c r="A345" s="24"/>
      <c r="B345" s="25"/>
      <c r="C345" s="36"/>
      <c r="D345" s="33"/>
    </row>
    <row r="346" spans="1:4" ht="15.75" customHeight="1">
      <c r="A346" s="24"/>
      <c r="B346" s="25"/>
      <c r="C346" s="36"/>
      <c r="D346" s="33"/>
    </row>
    <row r="347" spans="1:4" ht="15.75" customHeight="1">
      <c r="A347" s="24"/>
      <c r="B347" s="25"/>
      <c r="C347" s="36"/>
      <c r="D347" s="33"/>
    </row>
    <row r="348" spans="1:4" ht="15.75" customHeight="1">
      <c r="A348" s="24"/>
      <c r="B348" s="25"/>
      <c r="C348" s="36"/>
    </row>
    <row r="349" spans="1:4" ht="15.75" customHeight="1">
      <c r="A349" s="24"/>
      <c r="B349" s="25"/>
      <c r="C349" s="36"/>
    </row>
    <row r="350" spans="1:4" ht="15.75" customHeight="1">
      <c r="A350" s="24"/>
      <c r="B350" s="25"/>
      <c r="C350" s="36"/>
      <c r="D350" s="36"/>
    </row>
    <row r="351" spans="1:4" ht="15.75" customHeight="1">
      <c r="A351" s="24"/>
      <c r="B351" s="25"/>
      <c r="C351" s="36"/>
      <c r="D351" s="36"/>
    </row>
    <row r="352" spans="1:4" ht="15.75" customHeight="1">
      <c r="A352" s="24"/>
      <c r="B352" s="25"/>
      <c r="C352" s="36"/>
      <c r="D352" s="36"/>
    </row>
    <row r="353" spans="1:4" ht="15.75" customHeight="1">
      <c r="A353" s="24"/>
      <c r="B353" s="37"/>
      <c r="C353" s="36"/>
      <c r="D353" s="36"/>
    </row>
    <row r="354" spans="1:4" ht="15.75" customHeight="1">
      <c r="A354" s="24"/>
      <c r="B354" s="37"/>
      <c r="D354" s="33"/>
    </row>
    <row r="355" spans="1:4" ht="15.75" customHeight="1">
      <c r="A355" s="24"/>
      <c r="B355" s="37"/>
    </row>
    <row r="356" spans="1:4" ht="15.75" customHeight="1">
      <c r="A356" s="24"/>
      <c r="B356" s="37"/>
    </row>
    <row r="357" spans="1:4" ht="15.75" customHeight="1">
      <c r="A357" s="24"/>
      <c r="B357" s="37"/>
    </row>
    <row r="358" spans="1:4" ht="15.75" customHeight="1">
      <c r="A358" s="24"/>
      <c r="B358" s="37"/>
    </row>
    <row r="359" spans="1:4" ht="15.75" customHeight="1">
      <c r="A359" s="24"/>
      <c r="B359" s="37"/>
    </row>
    <row r="360" spans="1:4" ht="15.75" customHeight="1">
      <c r="A360" s="24"/>
      <c r="B360" s="37"/>
    </row>
    <row r="361" spans="1:4" ht="15.75" customHeight="1">
      <c r="A361" s="24"/>
      <c r="B361" s="37"/>
    </row>
    <row r="362" spans="1:4" ht="15.75" customHeight="1">
      <c r="A362" s="24"/>
      <c r="B362" s="37"/>
    </row>
    <row r="363" spans="1:4" ht="15.75" customHeight="1">
      <c r="A363" s="24"/>
      <c r="B363" s="37"/>
    </row>
    <row r="364" spans="1:4" ht="15.75" customHeight="1">
      <c r="A364" s="24"/>
      <c r="B364" s="37"/>
    </row>
    <row r="365" spans="1:4" ht="15.75" customHeight="1">
      <c r="A365" s="24"/>
      <c r="B365" s="37"/>
    </row>
    <row r="366" spans="1:4" ht="15.75" customHeight="1">
      <c r="A366" s="24"/>
      <c r="B366" s="37"/>
    </row>
    <row r="367" spans="1:4" ht="15.75" customHeight="1">
      <c r="A367" s="24"/>
      <c r="B367" s="37"/>
    </row>
    <row r="368" spans="1:4" ht="15.75" customHeight="1">
      <c r="A368" s="24"/>
      <c r="B368" s="37"/>
    </row>
    <row r="369" spans="1:2" ht="15.75" customHeight="1">
      <c r="A369" s="24"/>
      <c r="B369" s="37"/>
    </row>
    <row r="370" spans="1:2" ht="15.75" customHeight="1">
      <c r="A370" s="24"/>
      <c r="B370" s="37"/>
    </row>
    <row r="371" spans="1:2" ht="15.75" customHeight="1">
      <c r="A371" s="24"/>
      <c r="B371" s="37"/>
    </row>
    <row r="372" spans="1:2" ht="15.75" customHeight="1">
      <c r="A372" s="24"/>
      <c r="B372" s="37"/>
    </row>
    <row r="373" spans="1:2" ht="15.75" customHeight="1">
      <c r="A373" s="24"/>
      <c r="B373" s="37"/>
    </row>
    <row r="374" spans="1:2" ht="15.75" customHeight="1">
      <c r="A374" s="24"/>
      <c r="B374" s="37"/>
    </row>
    <row r="375" spans="1:2" ht="15.75" customHeight="1">
      <c r="A375" s="24"/>
      <c r="B375" s="37"/>
    </row>
    <row r="376" spans="1:2" ht="15.75" customHeight="1">
      <c r="A376" s="24"/>
      <c r="B376" s="37"/>
    </row>
    <row r="377" spans="1:2" ht="15.75" customHeight="1">
      <c r="A377" s="24"/>
      <c r="B377" s="37"/>
    </row>
    <row r="378" spans="1:2" ht="15.75" customHeight="1">
      <c r="A378" s="24"/>
      <c r="B378" s="37"/>
    </row>
    <row r="379" spans="1:2" ht="15.75" customHeight="1">
      <c r="A379" s="24"/>
      <c r="B379" s="37"/>
    </row>
    <row r="380" spans="1:2" ht="15.75" customHeight="1">
      <c r="A380" s="24"/>
      <c r="B380" s="37"/>
    </row>
    <row r="381" spans="1:2" ht="15.75" customHeight="1">
      <c r="A381" s="24"/>
      <c r="B381" s="37"/>
    </row>
    <row r="382" spans="1:2" ht="15.75" customHeight="1">
      <c r="A382" s="24"/>
      <c r="B382" s="37"/>
    </row>
    <row r="383" spans="1:2" ht="15.75" customHeight="1">
      <c r="A383" s="24"/>
      <c r="B383" s="37"/>
    </row>
    <row r="384" spans="1:2" ht="15.75" customHeight="1">
      <c r="A384" s="24"/>
      <c r="B384" s="37"/>
    </row>
    <row r="385" spans="1:2" ht="15.75" customHeight="1">
      <c r="A385" s="24"/>
      <c r="B385" s="37"/>
    </row>
    <row r="386" spans="1:2" ht="15.75" customHeight="1">
      <c r="A386" s="24"/>
      <c r="B386" s="37"/>
    </row>
    <row r="387" spans="1:2" ht="15.75" customHeight="1">
      <c r="A387" s="24"/>
      <c r="B387" s="37"/>
    </row>
    <row r="388" spans="1:2" ht="15.75" customHeight="1">
      <c r="A388" s="24"/>
      <c r="B388" s="37"/>
    </row>
    <row r="389" spans="1:2" ht="15.75" customHeight="1">
      <c r="A389" s="24"/>
      <c r="B389" s="37"/>
    </row>
    <row r="390" spans="1:2" ht="15.75" customHeight="1">
      <c r="A390" s="24"/>
      <c r="B390" s="37"/>
    </row>
    <row r="391" spans="1:2" ht="15.75" customHeight="1">
      <c r="A391" s="24"/>
      <c r="B391" s="37"/>
    </row>
    <row r="392" spans="1:2" ht="15.75" customHeight="1">
      <c r="A392" s="24"/>
      <c r="B392" s="37"/>
    </row>
    <row r="393" spans="1:2" ht="15.75" customHeight="1">
      <c r="A393" s="24"/>
      <c r="B393" s="37"/>
    </row>
    <row r="394" spans="1:2" ht="15.75" customHeight="1">
      <c r="A394" s="24"/>
      <c r="B394" s="37"/>
    </row>
    <row r="395" spans="1:2" ht="15.75" customHeight="1">
      <c r="A395" s="24"/>
      <c r="B395" s="37"/>
    </row>
    <row r="396" spans="1:2" ht="15.75" customHeight="1">
      <c r="A396" s="24"/>
      <c r="B396" s="37"/>
    </row>
    <row r="397" spans="1:2" ht="15.75" customHeight="1">
      <c r="A397" s="24"/>
      <c r="B397" s="37"/>
    </row>
    <row r="398" spans="1:2" ht="15.75" customHeight="1">
      <c r="A398" s="24"/>
      <c r="B398" s="37"/>
    </row>
    <row r="399" spans="1:2" ht="15.75" customHeight="1">
      <c r="A399" s="24"/>
      <c r="B399" s="37"/>
    </row>
    <row r="400" spans="1:2" ht="15.75" customHeight="1">
      <c r="A400" s="24"/>
      <c r="B400" s="37"/>
    </row>
    <row r="401" spans="1:2" ht="15.75" customHeight="1">
      <c r="A401" s="24"/>
      <c r="B401" s="37"/>
    </row>
    <row r="402" spans="1:2" ht="15.75" customHeight="1">
      <c r="A402" s="24"/>
      <c r="B402" s="37"/>
    </row>
    <row r="403" spans="1:2" ht="15.75" customHeight="1">
      <c r="A403" s="24"/>
      <c r="B403" s="37"/>
    </row>
    <row r="404" spans="1:2" ht="15.75" customHeight="1">
      <c r="A404" s="24"/>
      <c r="B404" s="37"/>
    </row>
    <row r="405" spans="1:2" ht="15.75" customHeight="1">
      <c r="A405" s="24"/>
      <c r="B405" s="37"/>
    </row>
    <row r="406" spans="1:2" ht="15.75" customHeight="1">
      <c r="A406" s="24"/>
      <c r="B406" s="37"/>
    </row>
    <row r="407" spans="1:2" ht="15.75" customHeight="1">
      <c r="A407" s="24"/>
      <c r="B407" s="37"/>
    </row>
    <row r="408" spans="1:2" ht="15.75" customHeight="1">
      <c r="A408" s="24"/>
      <c r="B408" s="37"/>
    </row>
    <row r="409" spans="1:2" ht="15.75" customHeight="1">
      <c r="A409" s="24"/>
      <c r="B409" s="37"/>
    </row>
    <row r="410" spans="1:2" ht="15.75" customHeight="1">
      <c r="A410" s="24"/>
      <c r="B410" s="37"/>
    </row>
    <row r="411" spans="1:2" ht="15.75" customHeight="1">
      <c r="A411" s="24"/>
      <c r="B411" s="37"/>
    </row>
    <row r="412" spans="1:2" ht="15.75" customHeight="1">
      <c r="A412" s="24"/>
      <c r="B412" s="37"/>
    </row>
    <row r="413" spans="1:2" ht="15.75" customHeight="1">
      <c r="A413" s="24"/>
      <c r="B413" s="37"/>
    </row>
    <row r="414" spans="1:2" ht="15.75" customHeight="1">
      <c r="A414" s="24"/>
      <c r="B414" s="37"/>
    </row>
    <row r="415" spans="1:2" ht="15.75" customHeight="1">
      <c r="A415" s="24"/>
      <c r="B415" s="37"/>
    </row>
    <row r="416" spans="1:2" ht="15.75" customHeight="1">
      <c r="A416" s="24"/>
      <c r="B416" s="37"/>
    </row>
    <row r="417" spans="1:2" ht="15.75" customHeight="1">
      <c r="A417" s="24"/>
      <c r="B417" s="37"/>
    </row>
    <row r="418" spans="1:2" ht="15.75" customHeight="1">
      <c r="A418" s="24"/>
      <c r="B418" s="37"/>
    </row>
    <row r="419" spans="1:2" ht="15.75" customHeight="1">
      <c r="A419" s="24"/>
      <c r="B419" s="37"/>
    </row>
    <row r="420" spans="1:2" ht="15.75" customHeight="1">
      <c r="A420" s="24"/>
      <c r="B420" s="37"/>
    </row>
    <row r="421" spans="1:2" ht="15.75" customHeight="1">
      <c r="A421" s="24"/>
      <c r="B421" s="37"/>
    </row>
    <row r="422" spans="1:2" ht="15.75" customHeight="1">
      <c r="A422" s="24"/>
      <c r="B422" s="37"/>
    </row>
    <row r="423" spans="1:2" ht="15.75" customHeight="1">
      <c r="A423" s="24"/>
      <c r="B423" s="37"/>
    </row>
    <row r="424" spans="1:2" ht="15.75" customHeight="1">
      <c r="A424" s="24"/>
      <c r="B424" s="37"/>
    </row>
    <row r="425" spans="1:2" ht="15.75" customHeight="1">
      <c r="A425" s="24"/>
      <c r="B425" s="37"/>
    </row>
    <row r="426" spans="1:2" ht="15.75" customHeight="1">
      <c r="A426" s="24"/>
      <c r="B426" s="37"/>
    </row>
    <row r="427" spans="1:2" ht="15.75" customHeight="1">
      <c r="A427" s="24"/>
      <c r="B427" s="37"/>
    </row>
    <row r="428" spans="1:2" ht="15.75" customHeight="1">
      <c r="A428" s="24"/>
      <c r="B428" s="37"/>
    </row>
    <row r="429" spans="1:2" ht="15.75" customHeight="1">
      <c r="A429" s="24"/>
      <c r="B429" s="37"/>
    </row>
    <row r="430" spans="1:2" ht="15.75" customHeight="1">
      <c r="A430" s="24"/>
      <c r="B430" s="37"/>
    </row>
    <row r="431" spans="1:2" ht="15.75" customHeight="1">
      <c r="A431" s="24"/>
      <c r="B431" s="37"/>
    </row>
    <row r="432" spans="1:2" ht="15.75" customHeight="1">
      <c r="A432" s="24"/>
      <c r="B432" s="37"/>
    </row>
    <row r="433" spans="1:2" ht="15.75" customHeight="1">
      <c r="A433" s="24"/>
      <c r="B433" s="37"/>
    </row>
    <row r="434" spans="1:2" ht="15.75" customHeight="1">
      <c r="A434" s="24"/>
      <c r="B434" s="37"/>
    </row>
    <row r="435" spans="1:2" ht="15.75" customHeight="1">
      <c r="A435" s="24"/>
      <c r="B435" s="37"/>
    </row>
    <row r="436" spans="1:2" ht="15.75" customHeight="1">
      <c r="A436" s="24"/>
      <c r="B436" s="37"/>
    </row>
    <row r="437" spans="1:2" ht="15.75" customHeight="1">
      <c r="A437" s="24"/>
      <c r="B437" s="37"/>
    </row>
    <row r="438" spans="1:2" ht="15.75" customHeight="1">
      <c r="A438" s="24"/>
      <c r="B438" s="37"/>
    </row>
    <row r="439" spans="1:2" ht="15.75" customHeight="1">
      <c r="A439" s="24"/>
      <c r="B439" s="37"/>
    </row>
    <row r="440" spans="1:2" ht="15.75" customHeight="1">
      <c r="A440" s="24"/>
      <c r="B440" s="37"/>
    </row>
    <row r="441" spans="1:2" ht="15.75" customHeight="1">
      <c r="A441" s="24"/>
      <c r="B441" s="37"/>
    </row>
    <row r="442" spans="1:2" ht="15.75" customHeight="1">
      <c r="A442" s="24"/>
      <c r="B442" s="37"/>
    </row>
    <row r="443" spans="1:2" ht="15.75" customHeight="1">
      <c r="A443" s="24"/>
      <c r="B443" s="37"/>
    </row>
    <row r="444" spans="1:2" ht="15.75" customHeight="1">
      <c r="A444" s="24"/>
      <c r="B444" s="37"/>
    </row>
    <row r="445" spans="1:2" ht="15.75" customHeight="1">
      <c r="A445" s="24"/>
      <c r="B445" s="37"/>
    </row>
    <row r="446" spans="1:2" ht="15.75" customHeight="1">
      <c r="A446" s="24"/>
      <c r="B446" s="37"/>
    </row>
    <row r="447" spans="1:2" ht="15.75" customHeight="1">
      <c r="A447" s="24"/>
      <c r="B447" s="37"/>
    </row>
    <row r="448" spans="1:2" ht="15.75" customHeight="1">
      <c r="A448" s="24"/>
      <c r="B448" s="37"/>
    </row>
    <row r="449" spans="1:2" ht="15.75" customHeight="1">
      <c r="A449" s="24"/>
      <c r="B449" s="37"/>
    </row>
    <row r="450" spans="1:2" ht="15.75" customHeight="1">
      <c r="A450" s="24"/>
      <c r="B450" s="37"/>
    </row>
    <row r="451" spans="1:2" ht="15.75" customHeight="1">
      <c r="A451" s="24"/>
      <c r="B451" s="37"/>
    </row>
    <row r="452" spans="1:2" ht="15.75" customHeight="1">
      <c r="A452" s="24"/>
      <c r="B452" s="37"/>
    </row>
    <row r="453" spans="1:2" ht="15.75" customHeight="1">
      <c r="A453" s="24"/>
      <c r="B453" s="37"/>
    </row>
    <row r="454" spans="1:2" ht="15.75" customHeight="1">
      <c r="A454" s="24"/>
      <c r="B454" s="37"/>
    </row>
    <row r="455" spans="1:2" ht="15.75" customHeight="1">
      <c r="A455" s="24"/>
      <c r="B455" s="37"/>
    </row>
    <row r="456" spans="1:2" ht="15.75" customHeight="1">
      <c r="A456" s="24"/>
      <c r="B456" s="37"/>
    </row>
    <row r="457" spans="1:2" ht="15.75" customHeight="1">
      <c r="A457" s="24"/>
      <c r="B457" s="37"/>
    </row>
    <row r="458" spans="1:2" ht="15.75" customHeight="1">
      <c r="A458" s="24"/>
      <c r="B458" s="37"/>
    </row>
    <row r="459" spans="1:2" ht="15.75" customHeight="1">
      <c r="A459" s="24"/>
      <c r="B459" s="37"/>
    </row>
    <row r="460" spans="1:2" ht="15.75" customHeight="1">
      <c r="A460" s="24"/>
      <c r="B460" s="37"/>
    </row>
    <row r="461" spans="1:2" ht="15.75" customHeight="1">
      <c r="A461" s="24"/>
      <c r="B461" s="37"/>
    </row>
    <row r="462" spans="1:2" ht="15.75" customHeight="1">
      <c r="A462" s="24"/>
      <c r="B462" s="37"/>
    </row>
    <row r="463" spans="1:2" ht="15.75" customHeight="1">
      <c r="A463" s="24"/>
      <c r="B463" s="37"/>
    </row>
    <row r="464" spans="1:2" ht="15.75" customHeight="1">
      <c r="A464" s="24"/>
      <c r="B464" s="37"/>
    </row>
    <row r="465" spans="1:2" ht="15.75" customHeight="1">
      <c r="A465" s="24"/>
      <c r="B465" s="37"/>
    </row>
    <row r="466" spans="1:2" ht="15.75" customHeight="1">
      <c r="A466" s="24"/>
      <c r="B466" s="37"/>
    </row>
    <row r="467" spans="1:2" ht="15.75" customHeight="1">
      <c r="A467" s="24"/>
      <c r="B467" s="37"/>
    </row>
    <row r="468" spans="1:2" ht="15.75" customHeight="1">
      <c r="A468" s="24"/>
      <c r="B468" s="37"/>
    </row>
    <row r="469" spans="1:2" ht="15.75" customHeight="1">
      <c r="A469" s="24"/>
      <c r="B469" s="37"/>
    </row>
    <row r="470" spans="1:2" ht="15.75" customHeight="1">
      <c r="A470" s="24"/>
      <c r="B470" s="37"/>
    </row>
    <row r="471" spans="1:2" ht="15.75" customHeight="1">
      <c r="A471" s="24"/>
      <c r="B471" s="37"/>
    </row>
    <row r="472" spans="1:2" ht="15.75" customHeight="1">
      <c r="A472" s="24"/>
      <c r="B472" s="37"/>
    </row>
    <row r="473" spans="1:2" ht="15.75" customHeight="1">
      <c r="A473" s="24"/>
      <c r="B473" s="37"/>
    </row>
    <row r="474" spans="1:2" ht="15.75" customHeight="1">
      <c r="A474" s="24"/>
      <c r="B474" s="37"/>
    </row>
    <row r="475" spans="1:2" ht="15.75" customHeight="1">
      <c r="A475" s="24"/>
      <c r="B475" s="37"/>
    </row>
    <row r="476" spans="1:2" ht="15.75" customHeight="1">
      <c r="A476" s="24"/>
      <c r="B476" s="37"/>
    </row>
    <row r="477" spans="1:2" ht="15.75" customHeight="1">
      <c r="A477" s="24"/>
      <c r="B477" s="37"/>
    </row>
    <row r="478" spans="1:2" ht="15.75" customHeight="1">
      <c r="A478" s="24"/>
      <c r="B478" s="37"/>
    </row>
    <row r="479" spans="1:2" ht="15.75" customHeight="1">
      <c r="A479" s="24"/>
      <c r="B479" s="37"/>
    </row>
    <row r="480" spans="1:2" ht="15.75" customHeight="1">
      <c r="A480" s="24"/>
      <c r="B480" s="37"/>
    </row>
    <row r="481" spans="1:2" ht="15.75" customHeight="1">
      <c r="A481" s="24"/>
      <c r="B481" s="37"/>
    </row>
    <row r="482" spans="1:2" ht="15.75" customHeight="1">
      <c r="A482" s="24"/>
      <c r="B482" s="37"/>
    </row>
    <row r="483" spans="1:2" ht="15.75" customHeight="1">
      <c r="A483" s="24"/>
      <c r="B483" s="37"/>
    </row>
    <row r="484" spans="1:2" ht="15.75" customHeight="1">
      <c r="A484" s="24"/>
      <c r="B484" s="37"/>
    </row>
    <row r="485" spans="1:2" ht="15.75" customHeight="1">
      <c r="A485" s="24"/>
      <c r="B485" s="37"/>
    </row>
    <row r="486" spans="1:2" ht="15.75" customHeight="1">
      <c r="A486" s="24"/>
      <c r="B486" s="37"/>
    </row>
    <row r="487" spans="1:2" ht="15.75" customHeight="1">
      <c r="A487" s="24"/>
      <c r="B487" s="37"/>
    </row>
    <row r="488" spans="1:2" ht="15.75" customHeight="1">
      <c r="A488" s="24"/>
      <c r="B488" s="37"/>
    </row>
    <row r="489" spans="1:2" ht="15.75" customHeight="1">
      <c r="A489" s="24"/>
      <c r="B489" s="37"/>
    </row>
    <row r="490" spans="1:2" ht="15.75" customHeight="1">
      <c r="A490" s="24"/>
      <c r="B490" s="37"/>
    </row>
    <row r="491" spans="1:2" ht="15.75" customHeight="1">
      <c r="A491" s="24"/>
      <c r="B491" s="37"/>
    </row>
    <row r="492" spans="1:2" ht="15.75" customHeight="1">
      <c r="A492" s="24"/>
      <c r="B492" s="37"/>
    </row>
    <row r="493" spans="1:2" ht="15.75" customHeight="1">
      <c r="A493" s="24"/>
      <c r="B493" s="37"/>
    </row>
    <row r="494" spans="1:2" ht="15.75" customHeight="1">
      <c r="A494" s="24"/>
      <c r="B494" s="37"/>
    </row>
    <row r="495" spans="1:2" ht="15.75" customHeight="1">
      <c r="A495" s="24"/>
      <c r="B495" s="37"/>
    </row>
    <row r="496" spans="1:2" ht="15.75" customHeight="1">
      <c r="A496" s="24"/>
      <c r="B496" s="37"/>
    </row>
    <row r="497" spans="1:2" ht="15.75" customHeight="1">
      <c r="A497" s="24"/>
      <c r="B497" s="37"/>
    </row>
    <row r="498" spans="1:2" ht="15.75" customHeight="1">
      <c r="A498" s="24"/>
      <c r="B498" s="37"/>
    </row>
    <row r="499" spans="1:2" ht="15.75" customHeight="1">
      <c r="A499" s="24"/>
      <c r="B499" s="37"/>
    </row>
    <row r="500" spans="1:2" ht="15.75" customHeight="1">
      <c r="A500" s="24"/>
      <c r="B500" s="37"/>
    </row>
    <row r="501" spans="1:2" ht="15.75" customHeight="1">
      <c r="A501" s="24"/>
      <c r="B501" s="37"/>
    </row>
    <row r="502" spans="1:2" ht="15.75" customHeight="1">
      <c r="A502" s="24"/>
      <c r="B502" s="37"/>
    </row>
    <row r="503" spans="1:2" ht="15.75" customHeight="1">
      <c r="A503" s="24"/>
      <c r="B503" s="37"/>
    </row>
    <row r="504" spans="1:2" ht="15.75" customHeight="1">
      <c r="A504" s="24"/>
      <c r="B504" s="37"/>
    </row>
    <row r="505" spans="1:2" ht="15.75" customHeight="1">
      <c r="A505" s="24"/>
      <c r="B505" s="37"/>
    </row>
    <row r="506" spans="1:2" ht="15.75" customHeight="1">
      <c r="A506" s="24"/>
      <c r="B506" s="37"/>
    </row>
    <row r="507" spans="1:2" ht="15.75" customHeight="1">
      <c r="A507" s="24"/>
      <c r="B507" s="37"/>
    </row>
    <row r="508" spans="1:2" ht="15.75" customHeight="1">
      <c r="A508" s="24"/>
      <c r="B508" s="37"/>
    </row>
    <row r="509" spans="1:2" ht="15.75" customHeight="1">
      <c r="A509" s="24"/>
      <c r="B509" s="37"/>
    </row>
    <row r="510" spans="1:2" ht="15.75" customHeight="1">
      <c r="A510" s="24"/>
      <c r="B510" s="37"/>
    </row>
    <row r="511" spans="1:2" ht="15.75" customHeight="1">
      <c r="A511" s="24"/>
      <c r="B511" s="37"/>
    </row>
    <row r="512" spans="1:2" ht="15.75" customHeight="1">
      <c r="A512" s="24"/>
      <c r="B512" s="37"/>
    </row>
    <row r="513" spans="1:2" ht="15.75" customHeight="1">
      <c r="A513" s="24"/>
      <c r="B513" s="37"/>
    </row>
    <row r="514" spans="1:2" ht="15.75" customHeight="1">
      <c r="A514" s="24"/>
      <c r="B514" s="37"/>
    </row>
    <row r="515" spans="1:2" ht="15.75" customHeight="1">
      <c r="A515" s="24"/>
      <c r="B515" s="37"/>
    </row>
    <row r="516" spans="1:2" ht="15.75" customHeight="1">
      <c r="A516" s="24"/>
      <c r="B516" s="37"/>
    </row>
    <row r="517" spans="1:2" ht="15.75" customHeight="1">
      <c r="A517" s="24"/>
      <c r="B517" s="37"/>
    </row>
    <row r="518" spans="1:2" ht="15.75" customHeight="1">
      <c r="A518" s="24"/>
      <c r="B518" s="37"/>
    </row>
    <row r="519" spans="1:2" ht="15.75" customHeight="1">
      <c r="A519" s="24"/>
      <c r="B519" s="37"/>
    </row>
    <row r="520" spans="1:2" ht="15.75" customHeight="1">
      <c r="A520" s="24"/>
      <c r="B520" s="37"/>
    </row>
    <row r="521" spans="1:2" ht="15.75" customHeight="1">
      <c r="A521" s="24"/>
      <c r="B521" s="37"/>
    </row>
    <row r="522" spans="1:2" ht="15.75" customHeight="1">
      <c r="A522" s="24"/>
      <c r="B522" s="37"/>
    </row>
    <row r="523" spans="1:2" ht="15.75" customHeight="1">
      <c r="A523" s="24"/>
      <c r="B523" s="37"/>
    </row>
    <row r="524" spans="1:2" ht="15.75" customHeight="1">
      <c r="A524" s="24"/>
      <c r="B524" s="37"/>
    </row>
    <row r="525" spans="1:2" ht="15.75" customHeight="1">
      <c r="A525" s="24"/>
      <c r="B525" s="37"/>
    </row>
    <row r="526" spans="1:2" ht="15.75" customHeight="1">
      <c r="A526" s="24"/>
      <c r="B526" s="37"/>
    </row>
    <row r="527" spans="1:2" ht="15.75" customHeight="1">
      <c r="A527" s="24"/>
      <c r="B527" s="37"/>
    </row>
    <row r="528" spans="1:2" ht="15.75" customHeight="1">
      <c r="A528" s="24"/>
      <c r="B528" s="37"/>
    </row>
    <row r="529" spans="1:2" ht="15.75" customHeight="1">
      <c r="A529" s="24"/>
      <c r="B529" s="37"/>
    </row>
    <row r="530" spans="1:2" ht="15.75" customHeight="1">
      <c r="A530" s="24"/>
      <c r="B530" s="37"/>
    </row>
    <row r="531" spans="1:2" ht="15.75" customHeight="1">
      <c r="A531" s="24"/>
      <c r="B531" s="37"/>
    </row>
    <row r="532" spans="1:2" ht="15.75" customHeight="1">
      <c r="A532" s="24"/>
      <c r="B532" s="37"/>
    </row>
    <row r="533" spans="1:2" ht="15.75" customHeight="1">
      <c r="A533" s="24"/>
      <c r="B533" s="37"/>
    </row>
    <row r="534" spans="1:2" ht="15.75" customHeight="1">
      <c r="A534" s="24"/>
      <c r="B534" s="37"/>
    </row>
    <row r="535" spans="1:2" ht="15.75" customHeight="1">
      <c r="A535" s="24"/>
      <c r="B535" s="37"/>
    </row>
    <row r="536" spans="1:2" ht="15.75" customHeight="1">
      <c r="A536" s="24"/>
      <c r="B536" s="37"/>
    </row>
    <row r="537" spans="1:2" ht="15.75" customHeight="1">
      <c r="A537" s="24"/>
      <c r="B537" s="37"/>
    </row>
    <row r="538" spans="1:2" ht="15.75" customHeight="1">
      <c r="A538" s="24"/>
      <c r="B538" s="37"/>
    </row>
    <row r="539" spans="1:2" ht="15.75" customHeight="1">
      <c r="A539" s="24"/>
      <c r="B539" s="37"/>
    </row>
    <row r="540" spans="1:2" ht="15.75" customHeight="1">
      <c r="A540" s="24"/>
      <c r="B540" s="37"/>
    </row>
    <row r="541" spans="1:2" ht="15.75" customHeight="1">
      <c r="A541" s="24"/>
      <c r="B541" s="37"/>
    </row>
    <row r="542" spans="1:2" ht="15.75" customHeight="1">
      <c r="A542" s="24"/>
      <c r="B542" s="37"/>
    </row>
    <row r="543" spans="1:2" ht="15.75" customHeight="1">
      <c r="A543" s="24"/>
      <c r="B543" s="37"/>
    </row>
    <row r="544" spans="1:2" ht="15.75" customHeight="1">
      <c r="A544" s="24"/>
      <c r="B544" s="37"/>
    </row>
    <row r="545" spans="1:1" ht="15.75" customHeight="1">
      <c r="A545" s="24"/>
    </row>
    <row r="546" spans="1:1" ht="15.75" customHeight="1">
      <c r="A546" s="24"/>
    </row>
    <row r="547" spans="1:1" ht="15.75" customHeight="1">
      <c r="A547" s="24"/>
    </row>
    <row r="548" spans="1:1" ht="15.75" customHeight="1">
      <c r="A548" s="24"/>
    </row>
    <row r="549" spans="1:1" ht="15.75" customHeight="1">
      <c r="A549" s="24"/>
    </row>
    <row r="550" spans="1:1" ht="15.75" customHeight="1">
      <c r="A550" s="24"/>
    </row>
    <row r="551" spans="1:1" ht="15.75" customHeight="1">
      <c r="A551" s="24"/>
    </row>
    <row r="552" spans="1:1" ht="15.75" customHeight="1">
      <c r="A552" s="24"/>
    </row>
    <row r="553" spans="1:1" ht="15.75" customHeight="1">
      <c r="A553" s="24"/>
    </row>
    <row r="554" spans="1:1" ht="15.75" customHeight="1">
      <c r="A554" s="24"/>
    </row>
    <row r="555" spans="1:1" ht="15.75" customHeight="1">
      <c r="A555" s="24"/>
    </row>
    <row r="556" spans="1:1" ht="15.75" customHeight="1">
      <c r="A556" s="24"/>
    </row>
    <row r="557" spans="1:1" ht="15.75" customHeight="1">
      <c r="A557" s="24"/>
    </row>
    <row r="558" spans="1:1" ht="15.75" customHeight="1">
      <c r="A558" s="24"/>
    </row>
    <row r="559" spans="1:1" ht="15.75" customHeight="1">
      <c r="A559" s="24"/>
    </row>
    <row r="560" spans="1:1" ht="15.75" customHeight="1">
      <c r="A560" s="24"/>
    </row>
    <row r="561" spans="1:1" ht="15.75" customHeight="1">
      <c r="A561" s="24"/>
    </row>
    <row r="562" spans="1:1" ht="15.75" customHeight="1">
      <c r="A562" s="24"/>
    </row>
    <row r="563" spans="1:1" ht="15.75" customHeight="1">
      <c r="A563" s="24"/>
    </row>
    <row r="564" spans="1:1" ht="15.75" customHeight="1">
      <c r="A564" s="24"/>
    </row>
    <row r="565" spans="1:1" ht="15.75" customHeight="1">
      <c r="A565" s="24"/>
    </row>
    <row r="566" spans="1:1" ht="15.75" customHeight="1">
      <c r="A566" s="24"/>
    </row>
    <row r="567" spans="1:1" ht="15.75" customHeight="1">
      <c r="A567" s="24"/>
    </row>
    <row r="568" spans="1:1" ht="15.75" customHeight="1">
      <c r="A568" s="24"/>
    </row>
    <row r="569" spans="1:1" ht="15.75" customHeight="1">
      <c r="A569" s="24"/>
    </row>
    <row r="570" spans="1:1" ht="15.75" customHeight="1">
      <c r="A570" s="24"/>
    </row>
    <row r="571" spans="1:1" ht="15.75" customHeight="1">
      <c r="A571" s="24"/>
    </row>
    <row r="572" spans="1:1" ht="15.75" customHeight="1">
      <c r="A572" s="24"/>
    </row>
    <row r="573" spans="1:1" ht="15.75" customHeight="1">
      <c r="A573" s="24"/>
    </row>
    <row r="574" spans="1:1" ht="15.75" customHeight="1">
      <c r="A574" s="24"/>
    </row>
    <row r="575" spans="1:1" ht="15.75" customHeight="1">
      <c r="A575" s="24"/>
    </row>
    <row r="576" spans="1:1" ht="15.75" customHeight="1">
      <c r="A576" s="24"/>
    </row>
    <row r="577" spans="1:1" ht="15.75" customHeight="1">
      <c r="A577" s="24"/>
    </row>
    <row r="578" spans="1:1" ht="15.75" customHeight="1">
      <c r="A578" s="24"/>
    </row>
    <row r="579" spans="1:1" ht="15.75" customHeight="1">
      <c r="A579" s="24"/>
    </row>
    <row r="580" spans="1:1" ht="15.75" customHeight="1">
      <c r="A580" s="24"/>
    </row>
    <row r="581" spans="1:1" ht="15.75" customHeight="1">
      <c r="A581" s="24"/>
    </row>
    <row r="582" spans="1:1" ht="15.75" customHeight="1">
      <c r="A582" s="24"/>
    </row>
    <row r="583" spans="1:1" ht="15.75" customHeight="1">
      <c r="A583" s="24"/>
    </row>
    <row r="584" spans="1:1" ht="15.75" customHeight="1">
      <c r="A584" s="24"/>
    </row>
    <row r="585" spans="1:1" ht="15.75" customHeight="1">
      <c r="A585" s="24"/>
    </row>
    <row r="586" spans="1:1" ht="15.75" customHeight="1">
      <c r="A586" s="24"/>
    </row>
    <row r="587" spans="1:1" ht="15.75" customHeight="1">
      <c r="A587" s="24"/>
    </row>
    <row r="588" spans="1:1" ht="15.75" customHeight="1">
      <c r="A588" s="24"/>
    </row>
    <row r="589" spans="1:1" ht="15.75" customHeight="1">
      <c r="A589" s="24"/>
    </row>
    <row r="590" spans="1:1" ht="15.75" customHeight="1">
      <c r="A590" s="24"/>
    </row>
    <row r="591" spans="1:1" ht="15.75" customHeight="1">
      <c r="A591" s="24"/>
    </row>
    <row r="592" spans="1:1" ht="15.75" customHeight="1">
      <c r="A592" s="24"/>
    </row>
    <row r="593" spans="1:1" ht="15.75" customHeight="1">
      <c r="A593" s="24"/>
    </row>
    <row r="594" spans="1:1" ht="15.75" customHeight="1">
      <c r="A594" s="24"/>
    </row>
    <row r="595" spans="1:1" ht="15.75" customHeight="1">
      <c r="A595" s="24"/>
    </row>
    <row r="596" spans="1:1" ht="15.75" customHeight="1">
      <c r="A596" s="24"/>
    </row>
    <row r="597" spans="1:1" ht="15.75" customHeight="1">
      <c r="A597" s="24"/>
    </row>
    <row r="598" spans="1:1" ht="15.75" customHeight="1">
      <c r="A598" s="24"/>
    </row>
    <row r="599" spans="1:1" ht="15.75" customHeight="1">
      <c r="A599" s="24"/>
    </row>
    <row r="600" spans="1:1" ht="15.75" customHeight="1">
      <c r="A600" s="24"/>
    </row>
    <row r="601" spans="1:1" ht="15.75" customHeight="1">
      <c r="A601" s="24"/>
    </row>
    <row r="602" spans="1:1" ht="15.75" customHeight="1">
      <c r="A602" s="24"/>
    </row>
    <row r="603" spans="1:1" ht="15.75" customHeight="1">
      <c r="A603" s="24"/>
    </row>
    <row r="604" spans="1:1" ht="15.75" customHeight="1">
      <c r="A604" s="24"/>
    </row>
    <row r="605" spans="1:1" ht="15.75" customHeight="1">
      <c r="A605" s="24"/>
    </row>
    <row r="606" spans="1:1" ht="15.75" customHeight="1">
      <c r="A606" s="24"/>
    </row>
    <row r="607" spans="1:1" ht="15.75" customHeight="1">
      <c r="A607" s="24"/>
    </row>
    <row r="608" spans="1:1" ht="15.75" customHeight="1">
      <c r="A608" s="24"/>
    </row>
    <row r="609" spans="1:1" ht="15.75" customHeight="1">
      <c r="A609" s="24"/>
    </row>
    <row r="610" spans="1:1" ht="15.75" customHeight="1">
      <c r="A610" s="24"/>
    </row>
    <row r="611" spans="1:1" ht="15.75" customHeight="1">
      <c r="A611" s="24"/>
    </row>
    <row r="612" spans="1:1" ht="15.75" customHeight="1">
      <c r="A612" s="24"/>
    </row>
    <row r="613" spans="1:1" ht="15.75" customHeight="1">
      <c r="A613" s="24"/>
    </row>
    <row r="614" spans="1:1" ht="15.75" customHeight="1">
      <c r="A614" s="24"/>
    </row>
    <row r="615" spans="1:1" ht="15.75" customHeight="1">
      <c r="A615" s="24"/>
    </row>
    <row r="616" spans="1:1" ht="15.75" customHeight="1">
      <c r="A616" s="24"/>
    </row>
    <row r="617" spans="1:1" ht="15.75" customHeight="1">
      <c r="A617" s="24"/>
    </row>
    <row r="618" spans="1:1" ht="15.75" customHeight="1">
      <c r="A618" s="24"/>
    </row>
    <row r="619" spans="1:1" ht="15.75" customHeight="1">
      <c r="A619" s="24"/>
    </row>
    <row r="620" spans="1:1" ht="15.75" customHeight="1">
      <c r="A620" s="24"/>
    </row>
    <row r="621" spans="1:1" ht="15.75" customHeight="1">
      <c r="A621" s="24"/>
    </row>
    <row r="622" spans="1:1" ht="15.75" customHeight="1">
      <c r="A622" s="24"/>
    </row>
    <row r="623" spans="1:1" ht="15.75" customHeight="1">
      <c r="A623" s="24"/>
    </row>
    <row r="624" spans="1:1" ht="15.75" customHeight="1">
      <c r="A624" s="24"/>
    </row>
    <row r="625" spans="1:1" ht="15.75" customHeight="1">
      <c r="A625" s="24"/>
    </row>
    <row r="626" spans="1:1" ht="15.75" customHeight="1">
      <c r="A626" s="24"/>
    </row>
    <row r="627" spans="1:1" ht="15.75" customHeight="1">
      <c r="A627" s="24"/>
    </row>
    <row r="628" spans="1:1" ht="15.75" customHeight="1">
      <c r="A628" s="24"/>
    </row>
    <row r="629" spans="1:1" ht="15.75" customHeight="1">
      <c r="A629" s="24"/>
    </row>
    <row r="630" spans="1:1" ht="15.75" customHeight="1">
      <c r="A630" s="24"/>
    </row>
    <row r="631" spans="1:1" ht="15.75" customHeight="1">
      <c r="A631" s="24"/>
    </row>
    <row r="632" spans="1:1" ht="15.75" customHeight="1">
      <c r="A632" s="24"/>
    </row>
    <row r="633" spans="1:1" ht="15.75" customHeight="1">
      <c r="A633" s="24"/>
    </row>
    <row r="634" spans="1:1" ht="15.75" customHeight="1">
      <c r="A634" s="24"/>
    </row>
    <row r="635" spans="1:1" ht="15.75" customHeight="1">
      <c r="A635" s="24"/>
    </row>
    <row r="636" spans="1:1" ht="15.75" customHeight="1">
      <c r="A636" s="24"/>
    </row>
    <row r="637" spans="1:1" ht="15.75" customHeight="1">
      <c r="A637" s="24"/>
    </row>
    <row r="638" spans="1:1" ht="15.75" customHeight="1">
      <c r="A638" s="24"/>
    </row>
    <row r="639" spans="1:1" ht="15.75" customHeight="1">
      <c r="A639" s="24"/>
    </row>
    <row r="640" spans="1:1" ht="15.75" customHeight="1">
      <c r="A640" s="24"/>
    </row>
    <row r="641" spans="1:1" ht="15.75" customHeight="1">
      <c r="A641" s="24"/>
    </row>
    <row r="642" spans="1:1" ht="15.75" customHeight="1">
      <c r="A642" s="24"/>
    </row>
    <row r="643" spans="1:1" ht="15.75" customHeight="1">
      <c r="A643" s="24"/>
    </row>
    <row r="644" spans="1:1" ht="15.75" customHeight="1">
      <c r="A644" s="24"/>
    </row>
    <row r="645" spans="1:1" ht="15.75" customHeight="1">
      <c r="A645" s="24"/>
    </row>
    <row r="646" spans="1:1" ht="15.75" customHeight="1">
      <c r="A646" s="24"/>
    </row>
    <row r="647" spans="1:1" ht="15.75" customHeight="1">
      <c r="A647" s="24"/>
    </row>
    <row r="648" spans="1:1" ht="15.75" customHeight="1">
      <c r="A648" s="24"/>
    </row>
    <row r="649" spans="1:1" ht="15.75" customHeight="1">
      <c r="A649" s="24"/>
    </row>
    <row r="650" spans="1:1" ht="15.75" customHeight="1">
      <c r="A650" s="24"/>
    </row>
    <row r="651" spans="1:1" ht="15.75" customHeight="1">
      <c r="A651" s="24"/>
    </row>
    <row r="652" spans="1:1" ht="15.75" customHeight="1">
      <c r="A652" s="24"/>
    </row>
    <row r="653" spans="1:1" ht="15.75" customHeight="1">
      <c r="A653" s="24"/>
    </row>
    <row r="654" spans="1:1" ht="15.75" customHeight="1">
      <c r="A654" s="24"/>
    </row>
    <row r="655" spans="1:1" ht="15.75" customHeight="1">
      <c r="A655" s="24"/>
    </row>
    <row r="656" spans="1:1" ht="15.75" customHeight="1">
      <c r="A656" s="24"/>
    </row>
    <row r="657" spans="1:1" ht="15.75" customHeight="1">
      <c r="A657" s="24"/>
    </row>
    <row r="658" spans="1:1" ht="15.75" customHeight="1">
      <c r="A658" s="24"/>
    </row>
    <row r="659" spans="1:1" ht="15.75" customHeight="1">
      <c r="A659" s="24"/>
    </row>
    <row r="660" spans="1:1" ht="15.75" customHeight="1">
      <c r="A660" s="24"/>
    </row>
    <row r="661" spans="1:1" ht="15.75" customHeight="1">
      <c r="A661" s="24"/>
    </row>
    <row r="662" spans="1:1" ht="15.75" customHeight="1">
      <c r="A662" s="24"/>
    </row>
    <row r="663" spans="1:1" ht="15.75" customHeight="1">
      <c r="A663" s="24"/>
    </row>
    <row r="664" spans="1:1" ht="15.75" customHeight="1">
      <c r="A664" s="24"/>
    </row>
    <row r="665" spans="1:1" ht="15.75" customHeight="1">
      <c r="A665" s="24"/>
    </row>
    <row r="666" spans="1:1" ht="15.75" customHeight="1">
      <c r="A666" s="24"/>
    </row>
    <row r="667" spans="1:1" ht="15.75" customHeight="1">
      <c r="A667" s="24"/>
    </row>
    <row r="668" spans="1:1" ht="15.75" customHeight="1">
      <c r="A668" s="24"/>
    </row>
    <row r="669" spans="1:1" ht="15.75" customHeight="1">
      <c r="A669" s="24"/>
    </row>
    <row r="670" spans="1:1" ht="15.75" customHeight="1">
      <c r="A670" s="24"/>
    </row>
    <row r="671" spans="1:1" ht="15.75" customHeight="1">
      <c r="A671" s="24"/>
    </row>
    <row r="672" spans="1:1" ht="15.75" customHeight="1">
      <c r="A672" s="24"/>
    </row>
    <row r="673" spans="1:1" ht="15.75" customHeight="1">
      <c r="A673" s="24"/>
    </row>
    <row r="674" spans="1:1" ht="15.75" customHeight="1">
      <c r="A674" s="24"/>
    </row>
    <row r="675" spans="1:1" ht="15.75" customHeight="1">
      <c r="A675" s="24"/>
    </row>
    <row r="676" spans="1:1" ht="15.75" customHeight="1">
      <c r="A676" s="24"/>
    </row>
    <row r="677" spans="1:1" ht="15.75" customHeight="1">
      <c r="A677" s="24"/>
    </row>
    <row r="678" spans="1:1" ht="15.75" customHeight="1">
      <c r="A678" s="24"/>
    </row>
    <row r="679" spans="1:1" ht="15.75" customHeight="1">
      <c r="A679" s="24"/>
    </row>
    <row r="680" spans="1:1" ht="15.75" customHeight="1">
      <c r="A680" s="24"/>
    </row>
    <row r="681" spans="1:1" ht="15.75" customHeight="1">
      <c r="A681" s="24"/>
    </row>
    <row r="682" spans="1:1" ht="15.75" customHeight="1">
      <c r="A682" s="24"/>
    </row>
    <row r="683" spans="1:1" ht="15.75" customHeight="1">
      <c r="A683" s="24"/>
    </row>
    <row r="684" spans="1:1" ht="15.75" customHeight="1">
      <c r="A684" s="24"/>
    </row>
    <row r="685" spans="1:1" ht="15.75" customHeight="1">
      <c r="A685" s="24"/>
    </row>
    <row r="686" spans="1:1" ht="15.75" customHeight="1">
      <c r="A686" s="24"/>
    </row>
    <row r="687" spans="1:1" ht="15.75" customHeight="1">
      <c r="A687" s="24"/>
    </row>
    <row r="688" spans="1:1" ht="15.75" customHeight="1">
      <c r="A688" s="24"/>
    </row>
    <row r="689" spans="1:1" ht="15.75" customHeight="1">
      <c r="A689" s="24"/>
    </row>
    <row r="690" spans="1:1" ht="15.75" customHeight="1">
      <c r="A690" s="24"/>
    </row>
    <row r="691" spans="1:1" ht="15.75" customHeight="1">
      <c r="A691" s="24"/>
    </row>
    <row r="692" spans="1:1" ht="15.75" customHeight="1">
      <c r="A692" s="24"/>
    </row>
    <row r="693" spans="1:1" ht="15.75" customHeight="1">
      <c r="A693" s="24"/>
    </row>
    <row r="694" spans="1:1" ht="15.75" customHeight="1">
      <c r="A694" s="24"/>
    </row>
    <row r="695" spans="1:1" ht="15.75" customHeight="1">
      <c r="A695" s="24"/>
    </row>
    <row r="696" spans="1:1" ht="15.75" customHeight="1">
      <c r="A696" s="24"/>
    </row>
    <row r="697" spans="1:1" ht="15.75" customHeight="1">
      <c r="A697" s="24"/>
    </row>
    <row r="698" spans="1:1" ht="15.75" customHeight="1">
      <c r="A698" s="24"/>
    </row>
    <row r="699" spans="1:1" ht="15.75" customHeight="1">
      <c r="A699" s="24"/>
    </row>
    <row r="700" spans="1:1" ht="15.75" customHeight="1">
      <c r="A700" s="24"/>
    </row>
    <row r="701" spans="1:1" ht="15.75" customHeight="1">
      <c r="A701" s="24"/>
    </row>
    <row r="702" spans="1:1" ht="15.75" customHeight="1">
      <c r="A702" s="24"/>
    </row>
    <row r="703" spans="1:1" ht="15.75" customHeight="1">
      <c r="A703" s="24"/>
    </row>
    <row r="704" spans="1:1" ht="15.75" customHeight="1">
      <c r="A704" s="24"/>
    </row>
    <row r="705" spans="1:1" ht="15.75" customHeight="1">
      <c r="A705" s="24"/>
    </row>
    <row r="706" spans="1:1" ht="15.75" customHeight="1">
      <c r="A706" s="24"/>
    </row>
    <row r="707" spans="1:1" ht="15.75" customHeight="1">
      <c r="A707" s="24"/>
    </row>
    <row r="708" spans="1:1" ht="15.75" customHeight="1">
      <c r="A708" s="24"/>
    </row>
    <row r="709" spans="1:1" ht="15.75" customHeight="1">
      <c r="A709" s="24"/>
    </row>
    <row r="710" spans="1:1" ht="15.75" customHeight="1">
      <c r="A710" s="24"/>
    </row>
    <row r="711" spans="1:1" ht="15.75" customHeight="1">
      <c r="A711" s="24"/>
    </row>
    <row r="712" spans="1:1" ht="15.75" customHeight="1">
      <c r="A712" s="24"/>
    </row>
    <row r="713" spans="1:1" ht="15.75" customHeight="1">
      <c r="A713" s="24"/>
    </row>
    <row r="714" spans="1:1" ht="15.75" customHeight="1">
      <c r="A714" s="24"/>
    </row>
    <row r="715" spans="1:1" ht="15.75" customHeight="1">
      <c r="A715" s="24"/>
    </row>
    <row r="716" spans="1:1" ht="15.75" customHeight="1">
      <c r="A716" s="24"/>
    </row>
    <row r="717" spans="1:1" ht="15.75" customHeight="1">
      <c r="A717" s="24"/>
    </row>
    <row r="718" spans="1:1" ht="15.75" customHeight="1">
      <c r="A718" s="24"/>
    </row>
    <row r="719" spans="1:1" ht="15.75" customHeight="1">
      <c r="A719" s="24"/>
    </row>
    <row r="720" spans="1:1" ht="15.75" customHeight="1">
      <c r="A720" s="24"/>
    </row>
    <row r="721" spans="1:1" ht="15.75" customHeight="1">
      <c r="A721" s="24"/>
    </row>
    <row r="722" spans="1:1" ht="15.75" customHeight="1">
      <c r="A722" s="24"/>
    </row>
    <row r="723" spans="1:1" ht="15.75" customHeight="1">
      <c r="A723" s="24"/>
    </row>
    <row r="724" spans="1:1" ht="15.75" customHeight="1">
      <c r="A724" s="24"/>
    </row>
    <row r="725" spans="1:1" ht="15.75" customHeight="1">
      <c r="A725" s="24"/>
    </row>
    <row r="726" spans="1:1" ht="15.75" customHeight="1">
      <c r="A726" s="24"/>
    </row>
    <row r="727" spans="1:1" ht="15.75" customHeight="1">
      <c r="A727" s="24"/>
    </row>
    <row r="728" spans="1:1" ht="15.75" customHeight="1">
      <c r="A728" s="24"/>
    </row>
    <row r="729" spans="1:1" ht="15.75" customHeight="1">
      <c r="A729" s="24"/>
    </row>
    <row r="730" spans="1:1" ht="15.75" customHeight="1">
      <c r="A730" s="24"/>
    </row>
    <row r="731" spans="1:1" ht="15.75" customHeight="1">
      <c r="A731" s="24"/>
    </row>
    <row r="732" spans="1:1" ht="15.75" customHeight="1">
      <c r="A732" s="24"/>
    </row>
    <row r="733" spans="1:1" ht="15.75" customHeight="1">
      <c r="A733" s="24"/>
    </row>
    <row r="734" spans="1:1" ht="15.75" customHeight="1">
      <c r="A734" s="24"/>
    </row>
    <row r="735" spans="1:1" ht="15.75" customHeight="1">
      <c r="A735" s="24"/>
    </row>
    <row r="736" spans="1:1" ht="15.75" customHeight="1">
      <c r="A736" s="24"/>
    </row>
    <row r="737" spans="1:1" ht="15.75" customHeight="1">
      <c r="A737" s="24"/>
    </row>
    <row r="738" spans="1:1" ht="15.75" customHeight="1">
      <c r="A738" s="24"/>
    </row>
    <row r="739" spans="1:1" ht="15.75" customHeight="1">
      <c r="A739" s="24"/>
    </row>
    <row r="740" spans="1:1" ht="15.75" customHeight="1">
      <c r="A740" s="24"/>
    </row>
    <row r="741" spans="1:1" ht="15.75" customHeight="1">
      <c r="A741" s="24"/>
    </row>
    <row r="742" spans="1:1" ht="15.75" customHeight="1">
      <c r="A742" s="24"/>
    </row>
    <row r="743" spans="1:1" ht="15.75" customHeight="1">
      <c r="A743" s="24"/>
    </row>
    <row r="744" spans="1:1" ht="15.75" customHeight="1">
      <c r="A744" s="24"/>
    </row>
    <row r="745" spans="1:1" ht="15.75" customHeight="1">
      <c r="A745" s="24"/>
    </row>
    <row r="746" spans="1:1" ht="15.75" customHeight="1">
      <c r="A746" s="24"/>
    </row>
    <row r="747" spans="1:1" ht="15.75" customHeight="1">
      <c r="A747" s="24"/>
    </row>
    <row r="748" spans="1:1" ht="15.75" customHeight="1">
      <c r="A748" s="24"/>
    </row>
    <row r="749" spans="1:1" ht="15.75" customHeight="1">
      <c r="A749" s="24"/>
    </row>
    <row r="750" spans="1:1" ht="15.75" customHeight="1">
      <c r="A750" s="24"/>
    </row>
    <row r="751" spans="1:1" ht="15.75" customHeight="1">
      <c r="A751" s="24"/>
    </row>
    <row r="752" spans="1:1" ht="15.75" customHeight="1">
      <c r="A752" s="24"/>
    </row>
    <row r="753" spans="1:1" ht="15.75" customHeight="1">
      <c r="A753" s="24"/>
    </row>
    <row r="754" spans="1:1" ht="15.75" customHeight="1">
      <c r="A754" s="24"/>
    </row>
    <row r="755" spans="1:1" ht="15.75" customHeight="1">
      <c r="A755" s="24"/>
    </row>
    <row r="756" spans="1:1" ht="15.75" customHeight="1">
      <c r="A756" s="24"/>
    </row>
    <row r="757" spans="1:1" ht="15.75" customHeight="1">
      <c r="A757" s="24"/>
    </row>
    <row r="758" spans="1:1" ht="15.75" customHeight="1">
      <c r="A758" s="24"/>
    </row>
    <row r="759" spans="1:1" ht="15.75" customHeight="1">
      <c r="A759" s="24"/>
    </row>
    <row r="760" spans="1:1" ht="15.75" customHeight="1">
      <c r="A760" s="24"/>
    </row>
    <row r="761" spans="1:1" ht="15.75" customHeight="1">
      <c r="A761" s="24"/>
    </row>
    <row r="762" spans="1:1" ht="15.75" customHeight="1">
      <c r="A762" s="24"/>
    </row>
    <row r="763" spans="1:1" ht="15.75" customHeight="1">
      <c r="A763" s="24"/>
    </row>
    <row r="764" spans="1:1" ht="15.75" customHeight="1">
      <c r="A764" s="24"/>
    </row>
    <row r="765" spans="1:1" ht="15.75" customHeight="1">
      <c r="A765" s="24"/>
    </row>
    <row r="766" spans="1:1" ht="15.75" customHeight="1">
      <c r="A766" s="24"/>
    </row>
    <row r="767" spans="1:1" ht="15.75" customHeight="1">
      <c r="A767" s="24"/>
    </row>
    <row r="768" spans="1:1" ht="15.75" customHeight="1">
      <c r="A768" s="24"/>
    </row>
    <row r="769" spans="1:1" ht="15.75" customHeight="1">
      <c r="A769" s="24"/>
    </row>
    <row r="770" spans="1:1" ht="15.75" customHeight="1">
      <c r="A770" s="24"/>
    </row>
    <row r="771" spans="1:1" ht="15.75" customHeight="1">
      <c r="A771" s="24"/>
    </row>
    <row r="772" spans="1:1" ht="15.75" customHeight="1">
      <c r="A772" s="24"/>
    </row>
    <row r="773" spans="1:1" ht="15.75" customHeight="1">
      <c r="A773" s="24"/>
    </row>
    <row r="774" spans="1:1" ht="15.75" customHeight="1">
      <c r="A774" s="24"/>
    </row>
    <row r="775" spans="1:1" ht="15.75" customHeight="1">
      <c r="A775" s="24"/>
    </row>
    <row r="776" spans="1:1" ht="15.75" customHeight="1">
      <c r="A776" s="24"/>
    </row>
    <row r="777" spans="1:1" ht="15.75" customHeight="1">
      <c r="A777" s="24"/>
    </row>
    <row r="778" spans="1:1" ht="15.75" customHeight="1">
      <c r="A778" s="24"/>
    </row>
    <row r="779" spans="1:1" ht="15.75" customHeight="1">
      <c r="A779" s="24"/>
    </row>
    <row r="780" spans="1:1" ht="15.75" customHeight="1">
      <c r="A780" s="24"/>
    </row>
    <row r="781" spans="1:1" ht="15.75" customHeight="1">
      <c r="A781" s="24"/>
    </row>
    <row r="782" spans="1:1" ht="15.75" customHeight="1">
      <c r="A782" s="24"/>
    </row>
    <row r="783" spans="1:1" ht="15.75" customHeight="1">
      <c r="A783" s="24"/>
    </row>
    <row r="784" spans="1:1" ht="15.75" customHeight="1">
      <c r="A784" s="24"/>
    </row>
    <row r="785" spans="1:1" ht="15.75" customHeight="1">
      <c r="A785" s="24"/>
    </row>
    <row r="786" spans="1:1" ht="15.75" customHeight="1">
      <c r="A786" s="24"/>
    </row>
    <row r="787" spans="1:1" ht="15.75" customHeight="1">
      <c r="A787" s="24"/>
    </row>
    <row r="788" spans="1:1" ht="15.75" customHeight="1">
      <c r="A788" s="24"/>
    </row>
    <row r="789" spans="1:1" ht="15.75" customHeight="1">
      <c r="A789" s="24"/>
    </row>
    <row r="790" spans="1:1" ht="15.75" customHeight="1">
      <c r="A790" s="24"/>
    </row>
    <row r="791" spans="1:1" ht="15.75" customHeight="1">
      <c r="A791" s="24"/>
    </row>
    <row r="792" spans="1:1" ht="15.75" customHeight="1">
      <c r="A792" s="24"/>
    </row>
    <row r="793" spans="1:1" ht="15.75" customHeight="1">
      <c r="A793" s="24"/>
    </row>
    <row r="794" spans="1:1" ht="15.75" customHeight="1">
      <c r="A794" s="24"/>
    </row>
    <row r="795" spans="1:1" ht="15.75" customHeight="1">
      <c r="A795" s="24"/>
    </row>
    <row r="796" spans="1:1" ht="15.75" customHeight="1">
      <c r="A796" s="24"/>
    </row>
    <row r="797" spans="1:1" ht="15.75" customHeight="1">
      <c r="A797" s="24"/>
    </row>
    <row r="798" spans="1:1" ht="15.75" customHeight="1">
      <c r="A798" s="24"/>
    </row>
    <row r="799" spans="1:1" ht="15.75" customHeight="1">
      <c r="A799" s="24"/>
    </row>
    <row r="800" spans="1:1" ht="15.75" customHeight="1">
      <c r="A800" s="24"/>
    </row>
    <row r="801" spans="1:1" ht="15.75" customHeight="1">
      <c r="A801" s="24"/>
    </row>
    <row r="802" spans="1:1" ht="15.75" customHeight="1">
      <c r="A802" s="24"/>
    </row>
    <row r="803" spans="1:1" ht="15.75" customHeight="1">
      <c r="A803" s="24"/>
    </row>
    <row r="804" spans="1:1" ht="15.75" customHeight="1">
      <c r="A804" s="24"/>
    </row>
    <row r="805" spans="1:1" ht="15.75" customHeight="1">
      <c r="A805" s="24"/>
    </row>
    <row r="806" spans="1:1" ht="15.75" customHeight="1">
      <c r="A806" s="24"/>
    </row>
    <row r="807" spans="1:1" ht="15.75" customHeight="1">
      <c r="A807" s="24"/>
    </row>
    <row r="808" spans="1:1" ht="15.75" customHeight="1">
      <c r="A808" s="24"/>
    </row>
    <row r="809" spans="1:1" ht="15.75" customHeight="1">
      <c r="A809" s="24"/>
    </row>
    <row r="810" spans="1:1" ht="15.75" customHeight="1">
      <c r="A810" s="24"/>
    </row>
    <row r="811" spans="1:1" ht="15.75" customHeight="1">
      <c r="A811" s="24"/>
    </row>
    <row r="812" spans="1:1" ht="15.75" customHeight="1">
      <c r="A812" s="24"/>
    </row>
    <row r="813" spans="1:1" ht="15.75" customHeight="1">
      <c r="A813" s="24"/>
    </row>
    <row r="814" spans="1:1" ht="15.75" customHeight="1">
      <c r="A814" s="24"/>
    </row>
    <row r="815" spans="1:1" ht="15.75" customHeight="1">
      <c r="A815" s="24"/>
    </row>
    <row r="816" spans="1:1" ht="15.75" customHeight="1">
      <c r="A816" s="24"/>
    </row>
    <row r="817" spans="1:1" ht="15.75" customHeight="1">
      <c r="A817" s="24"/>
    </row>
    <row r="818" spans="1:1" ht="15.75" customHeight="1">
      <c r="A818" s="24"/>
    </row>
    <row r="819" spans="1:1" ht="15.75" customHeight="1">
      <c r="A819" s="24"/>
    </row>
    <row r="820" spans="1:1" ht="15.75" customHeight="1">
      <c r="A820" s="24"/>
    </row>
    <row r="821" spans="1:1" ht="15.75" customHeight="1">
      <c r="A821" s="24"/>
    </row>
    <row r="822" spans="1:1" ht="15.75" customHeight="1">
      <c r="A822" s="24"/>
    </row>
    <row r="823" spans="1:1" ht="15.75" customHeight="1">
      <c r="A823" s="24"/>
    </row>
    <row r="824" spans="1:1" ht="15.75" customHeight="1">
      <c r="A824" s="24"/>
    </row>
    <row r="825" spans="1:1" ht="15.75" customHeight="1">
      <c r="A825" s="24"/>
    </row>
    <row r="826" spans="1:1" ht="15.75" customHeight="1">
      <c r="A826" s="24"/>
    </row>
    <row r="827" spans="1:1" ht="15.75" customHeight="1">
      <c r="A827" s="24"/>
    </row>
    <row r="828" spans="1:1" ht="15.75" customHeight="1">
      <c r="A828" s="24"/>
    </row>
    <row r="829" spans="1:1" ht="15.75" customHeight="1">
      <c r="A829" s="24"/>
    </row>
    <row r="830" spans="1:1" ht="15.75" customHeight="1">
      <c r="A830" s="24"/>
    </row>
    <row r="831" spans="1:1" ht="15.75" customHeight="1">
      <c r="A831" s="24"/>
    </row>
    <row r="832" spans="1:1" ht="15.75" customHeight="1">
      <c r="A832" s="24"/>
    </row>
    <row r="833" spans="1:1" ht="15.75" customHeight="1">
      <c r="A833" s="24"/>
    </row>
    <row r="834" spans="1:1" ht="15.75" customHeight="1">
      <c r="A834" s="24"/>
    </row>
    <row r="835" spans="1:1" ht="15.75" customHeight="1">
      <c r="A835" s="24"/>
    </row>
    <row r="836" spans="1:1" ht="15.75" customHeight="1">
      <c r="A836" s="24"/>
    </row>
    <row r="837" spans="1:1" ht="15.75" customHeight="1">
      <c r="A837" s="24"/>
    </row>
    <row r="838" spans="1:1" ht="15.75" customHeight="1">
      <c r="A838" s="24"/>
    </row>
    <row r="839" spans="1:1" ht="15.75" customHeight="1">
      <c r="A839" s="24"/>
    </row>
    <row r="840" spans="1:1" ht="15.75" customHeight="1">
      <c r="A840" s="24"/>
    </row>
    <row r="841" spans="1:1" ht="15.75" customHeight="1">
      <c r="A841" s="24"/>
    </row>
    <row r="842" spans="1:1" ht="15.75" customHeight="1">
      <c r="A842" s="24"/>
    </row>
    <row r="843" spans="1:1" ht="15.75" customHeight="1">
      <c r="A843" s="24"/>
    </row>
    <row r="844" spans="1:1" ht="15.75" customHeight="1">
      <c r="A844" s="24"/>
    </row>
    <row r="845" spans="1:1" ht="15.75" customHeight="1">
      <c r="A845" s="24"/>
    </row>
    <row r="846" spans="1:1" ht="15.75" customHeight="1">
      <c r="A846" s="24"/>
    </row>
    <row r="847" spans="1:1" ht="15.75" customHeight="1">
      <c r="A847" s="24"/>
    </row>
    <row r="848" spans="1:1" ht="15.75" customHeight="1">
      <c r="A848" s="24"/>
    </row>
    <row r="849" spans="1:1" ht="15.75" customHeight="1">
      <c r="A849" s="24"/>
    </row>
    <row r="850" spans="1:1" ht="15.75" customHeight="1">
      <c r="A850" s="24"/>
    </row>
    <row r="851" spans="1:1" ht="15.75" customHeight="1">
      <c r="A851" s="24"/>
    </row>
    <row r="852" spans="1:1" ht="15.75" customHeight="1">
      <c r="A852" s="24"/>
    </row>
    <row r="853" spans="1:1" ht="15.75" customHeight="1">
      <c r="A853" s="24"/>
    </row>
    <row r="854" spans="1:1" ht="15.75" customHeight="1">
      <c r="A854" s="24"/>
    </row>
    <row r="855" spans="1:1" ht="15.75" customHeight="1">
      <c r="A855" s="24"/>
    </row>
    <row r="856" spans="1:1" ht="15.75" customHeight="1">
      <c r="A856" s="24"/>
    </row>
    <row r="857" spans="1:1" ht="15.75" customHeight="1">
      <c r="A857" s="24"/>
    </row>
    <row r="858" spans="1:1" ht="15.75" customHeight="1">
      <c r="A858" s="24"/>
    </row>
    <row r="859" spans="1:1" ht="15.75" customHeight="1">
      <c r="A859" s="24"/>
    </row>
    <row r="860" spans="1:1" ht="15.75" customHeight="1">
      <c r="A860" s="24"/>
    </row>
    <row r="861" spans="1:1" ht="15.75" customHeight="1">
      <c r="A861" s="24"/>
    </row>
    <row r="862" spans="1:1" ht="15.75" customHeight="1">
      <c r="A862" s="24"/>
    </row>
    <row r="863" spans="1:1" ht="15.75" customHeight="1">
      <c r="A863" s="24"/>
    </row>
    <row r="864" spans="1:1" ht="15.75" customHeight="1">
      <c r="A864" s="24"/>
    </row>
    <row r="865" spans="1:1" ht="15.75" customHeight="1">
      <c r="A865" s="24"/>
    </row>
    <row r="866" spans="1:1" ht="15.75" customHeight="1">
      <c r="A866" s="24"/>
    </row>
    <row r="867" spans="1:1" ht="15.75" customHeight="1">
      <c r="A867" s="24"/>
    </row>
    <row r="868" spans="1:1" ht="15.75" customHeight="1">
      <c r="A868" s="24"/>
    </row>
    <row r="869" spans="1:1" ht="15.75" customHeight="1">
      <c r="A869" s="24"/>
    </row>
    <row r="870" spans="1:1" ht="15.75" customHeight="1">
      <c r="A870" s="24"/>
    </row>
    <row r="871" spans="1:1" ht="15.75" customHeight="1">
      <c r="A871" s="24"/>
    </row>
    <row r="872" spans="1:1" ht="15.75" customHeight="1">
      <c r="A872" s="24"/>
    </row>
    <row r="873" spans="1:1" ht="15.75" customHeight="1">
      <c r="A873" s="24"/>
    </row>
    <row r="874" spans="1:1" ht="15.75" customHeight="1">
      <c r="A874" s="24"/>
    </row>
    <row r="875" spans="1:1" ht="15.75" customHeight="1">
      <c r="A875" s="24"/>
    </row>
    <row r="876" spans="1:1" ht="15.75" customHeight="1">
      <c r="A876" s="24"/>
    </row>
    <row r="877" spans="1:1" ht="15.75" customHeight="1">
      <c r="A877" s="24"/>
    </row>
    <row r="878" spans="1:1" ht="15.75" customHeight="1">
      <c r="A878" s="24"/>
    </row>
    <row r="879" spans="1:1" ht="15.75" customHeight="1">
      <c r="A879" s="24"/>
    </row>
    <row r="880" spans="1:1" ht="15.75" customHeight="1">
      <c r="A880" s="24"/>
    </row>
    <row r="881" spans="1:1" ht="15.75" customHeight="1">
      <c r="A881" s="24"/>
    </row>
    <row r="882" spans="1:1" ht="15.75" customHeight="1">
      <c r="A882" s="24"/>
    </row>
    <row r="883" spans="1:1" ht="15.75" customHeight="1">
      <c r="A883" s="24"/>
    </row>
    <row r="884" spans="1:1" ht="15.75" customHeight="1">
      <c r="A884" s="24"/>
    </row>
    <row r="885" spans="1:1" ht="15.75" customHeight="1">
      <c r="A885" s="24"/>
    </row>
    <row r="886" spans="1:1" ht="15.75" customHeight="1">
      <c r="A886" s="24"/>
    </row>
    <row r="887" spans="1:1" ht="15.75" customHeight="1">
      <c r="A887" s="24"/>
    </row>
    <row r="888" spans="1:1" ht="15.75" customHeight="1">
      <c r="A888" s="24"/>
    </row>
    <row r="889" spans="1:1" ht="15.75" customHeight="1">
      <c r="A889" s="24"/>
    </row>
    <row r="890" spans="1:1" ht="15.75" customHeight="1">
      <c r="A890" s="24"/>
    </row>
    <row r="891" spans="1:1" ht="15.75" customHeight="1">
      <c r="A891" s="24"/>
    </row>
    <row r="892" spans="1:1" ht="15.75" customHeight="1">
      <c r="A892" s="24"/>
    </row>
    <row r="893" spans="1:1" ht="15.75" customHeight="1">
      <c r="A893" s="24"/>
    </row>
    <row r="894" spans="1:1" ht="15.75" customHeight="1">
      <c r="A894" s="24"/>
    </row>
    <row r="895" spans="1:1" ht="15.75" customHeight="1">
      <c r="A895" s="24"/>
    </row>
    <row r="896" spans="1:1" ht="15.75" customHeight="1">
      <c r="A896" s="24"/>
    </row>
    <row r="897" spans="1:1" ht="15.75" customHeight="1">
      <c r="A897" s="24"/>
    </row>
    <row r="898" spans="1:1" ht="15.75" customHeight="1">
      <c r="A898" s="24"/>
    </row>
    <row r="899" spans="1:1" ht="15.75" customHeight="1">
      <c r="A899" s="24"/>
    </row>
    <row r="900" spans="1:1" ht="15.75" customHeight="1">
      <c r="A900" s="24"/>
    </row>
    <row r="901" spans="1:1" ht="15.75" customHeight="1">
      <c r="A901" s="24"/>
    </row>
    <row r="902" spans="1:1" ht="15.75" customHeight="1">
      <c r="A902" s="24"/>
    </row>
    <row r="903" spans="1:1" ht="15.75" customHeight="1">
      <c r="A903" s="24"/>
    </row>
    <row r="904" spans="1:1" ht="15.75" customHeight="1">
      <c r="A904" s="24"/>
    </row>
    <row r="905" spans="1:1" ht="15.75" customHeight="1">
      <c r="A905" s="24"/>
    </row>
    <row r="906" spans="1:1" ht="15.75" customHeight="1">
      <c r="A906" s="24"/>
    </row>
    <row r="907" spans="1:1" ht="15.75" customHeight="1">
      <c r="A907" s="24"/>
    </row>
    <row r="908" spans="1:1" ht="15.75" customHeight="1">
      <c r="A908" s="24"/>
    </row>
    <row r="909" spans="1:1" ht="15.75" customHeight="1">
      <c r="A909" s="24"/>
    </row>
    <row r="910" spans="1:1" ht="15.75" customHeight="1">
      <c r="A910" s="24"/>
    </row>
    <row r="911" spans="1:1" ht="15.75" customHeight="1">
      <c r="A911" s="24"/>
    </row>
    <row r="912" spans="1:1" ht="15.75" customHeight="1">
      <c r="A912" s="24"/>
    </row>
    <row r="913" spans="1:1" ht="15.75" customHeight="1">
      <c r="A913" s="24"/>
    </row>
    <row r="914" spans="1:1" ht="15.75" customHeight="1">
      <c r="A914" s="24"/>
    </row>
    <row r="915" spans="1:1" ht="15.75" customHeight="1">
      <c r="A915" s="24"/>
    </row>
    <row r="916" spans="1:1" ht="15.75" customHeight="1">
      <c r="A916" s="24"/>
    </row>
    <row r="917" spans="1:1" ht="15.75" customHeight="1">
      <c r="A917" s="24"/>
    </row>
    <row r="918" spans="1:1" ht="15.75" customHeight="1">
      <c r="A918" s="24"/>
    </row>
    <row r="919" spans="1:1" ht="15.75" customHeight="1">
      <c r="A919" s="24"/>
    </row>
    <row r="920" spans="1:1" ht="15.75" customHeight="1">
      <c r="A920" s="24"/>
    </row>
    <row r="921" spans="1:1" ht="15.75" customHeight="1">
      <c r="A921" s="24"/>
    </row>
    <row r="922" spans="1:1" ht="15.75" customHeight="1">
      <c r="A922" s="24"/>
    </row>
    <row r="923" spans="1:1" ht="15.75" customHeight="1">
      <c r="A923" s="24"/>
    </row>
    <row r="924" spans="1:1" ht="15.75" customHeight="1">
      <c r="A924" s="24"/>
    </row>
    <row r="925" spans="1:1" ht="15.75" customHeight="1">
      <c r="A925" s="24"/>
    </row>
    <row r="926" spans="1:1" ht="15.75" customHeight="1">
      <c r="A926" s="24"/>
    </row>
    <row r="927" spans="1:1" ht="15.75" customHeight="1">
      <c r="A927" s="24"/>
    </row>
    <row r="928" spans="1:1" ht="15.75" customHeight="1">
      <c r="A928" s="24"/>
    </row>
    <row r="929" spans="1:1" ht="15.75" customHeight="1">
      <c r="A929" s="24"/>
    </row>
    <row r="930" spans="1:1" ht="15.75" customHeight="1">
      <c r="A930" s="24"/>
    </row>
    <row r="931" spans="1:1" ht="15.75" customHeight="1">
      <c r="A931" s="24"/>
    </row>
    <row r="932" spans="1:1" ht="15.75" customHeight="1">
      <c r="A932" s="24"/>
    </row>
    <row r="933" spans="1:1" ht="15.75" customHeight="1">
      <c r="A933" s="24"/>
    </row>
    <row r="934" spans="1:1" ht="15.75" customHeight="1">
      <c r="A934" s="24"/>
    </row>
    <row r="935" spans="1:1" ht="15.75" customHeight="1">
      <c r="A935" s="24"/>
    </row>
    <row r="936" spans="1:1" ht="15.75" customHeight="1">
      <c r="A936" s="24"/>
    </row>
    <row r="937" spans="1:1" ht="15.75" customHeight="1">
      <c r="A937" s="24"/>
    </row>
    <row r="938" spans="1:1" ht="15.75" customHeight="1">
      <c r="A938" s="24"/>
    </row>
    <row r="939" spans="1:1" ht="15.75" customHeight="1">
      <c r="A939" s="24"/>
    </row>
    <row r="940" spans="1:1" ht="15.75" customHeight="1">
      <c r="A940" s="24"/>
    </row>
    <row r="941" spans="1:1" ht="15.75" customHeight="1">
      <c r="A941" s="24"/>
    </row>
    <row r="942" spans="1:1" ht="15.75" customHeight="1">
      <c r="A942" s="24"/>
    </row>
    <row r="943" spans="1:1" ht="15.75" customHeight="1">
      <c r="A943" s="24"/>
    </row>
    <row r="944" spans="1:1" ht="15.75" customHeight="1">
      <c r="A944" s="24"/>
    </row>
    <row r="945" spans="1:1" ht="15.75" customHeight="1">
      <c r="A945" s="24"/>
    </row>
    <row r="946" spans="1:1" ht="15.75" customHeight="1">
      <c r="A946" s="24"/>
    </row>
    <row r="947" spans="1:1" ht="15.75" customHeight="1">
      <c r="A947" s="24"/>
    </row>
    <row r="948" spans="1:1" ht="15.75" customHeight="1">
      <c r="A948" s="24"/>
    </row>
    <row r="949" spans="1:1" ht="15.75" customHeight="1">
      <c r="A949" s="24"/>
    </row>
    <row r="950" spans="1:1" ht="15.75" customHeight="1">
      <c r="A950" s="24"/>
    </row>
    <row r="951" spans="1:1" ht="15.75" customHeight="1">
      <c r="A951" s="24"/>
    </row>
    <row r="952" spans="1:1" ht="15.75" customHeight="1">
      <c r="A952" s="24"/>
    </row>
    <row r="953" spans="1:1" ht="15.75" customHeight="1">
      <c r="A953" s="24"/>
    </row>
    <row r="954" spans="1:1" ht="15.75" customHeight="1">
      <c r="A954" s="24"/>
    </row>
    <row r="955" spans="1:1" ht="15.75" customHeight="1">
      <c r="A955" s="24"/>
    </row>
    <row r="956" spans="1:1" ht="15.75" customHeight="1">
      <c r="A956" s="24"/>
    </row>
    <row r="957" spans="1:1" ht="15.75" customHeight="1">
      <c r="A957" s="24"/>
    </row>
    <row r="958" spans="1:1" ht="15.75" customHeight="1">
      <c r="A958" s="24"/>
    </row>
    <row r="959" spans="1:1" ht="15.75" customHeight="1">
      <c r="A959" s="24"/>
    </row>
    <row r="960" spans="1:1" ht="15.75" customHeight="1">
      <c r="A960" s="24"/>
    </row>
    <row r="961" spans="1:1" ht="15.75" customHeight="1">
      <c r="A961" s="24"/>
    </row>
    <row r="962" spans="1:1" ht="15.75" customHeight="1">
      <c r="A962" s="24"/>
    </row>
    <row r="963" spans="1:1" ht="15.75" customHeight="1">
      <c r="A963" s="24"/>
    </row>
    <row r="964" spans="1:1" ht="15.75" customHeight="1">
      <c r="A964" s="24"/>
    </row>
    <row r="965" spans="1:1" ht="15.75" customHeight="1">
      <c r="A965" s="24"/>
    </row>
    <row r="966" spans="1:1" ht="15.75" customHeight="1">
      <c r="A966" s="24"/>
    </row>
    <row r="967" spans="1:1" ht="15.75" customHeight="1">
      <c r="A967" s="24"/>
    </row>
    <row r="968" spans="1:1" ht="15.75" customHeight="1">
      <c r="A968" s="24"/>
    </row>
    <row r="969" spans="1:1" ht="15.75" customHeight="1">
      <c r="A969" s="24"/>
    </row>
    <row r="970" spans="1:1" ht="15.75" customHeight="1">
      <c r="A970" s="24"/>
    </row>
    <row r="971" spans="1:1" ht="15.75" customHeight="1">
      <c r="A971" s="24"/>
    </row>
    <row r="972" spans="1:1" ht="15.75" customHeight="1">
      <c r="A972" s="24"/>
    </row>
    <row r="973" spans="1:1" ht="15.75" customHeight="1">
      <c r="A973" s="24"/>
    </row>
    <row r="974" spans="1:1" ht="15.75" customHeight="1">
      <c r="A974" s="24"/>
    </row>
    <row r="975" spans="1:1" ht="15.75" customHeight="1">
      <c r="A975" s="24"/>
    </row>
    <row r="976" spans="1:1" ht="15.75" customHeight="1">
      <c r="A976" s="24"/>
    </row>
    <row r="977" spans="1:1" ht="15.75" customHeight="1">
      <c r="A977" s="24"/>
    </row>
    <row r="978" spans="1:1" ht="15.75" customHeight="1">
      <c r="A978" s="24"/>
    </row>
    <row r="979" spans="1:1" ht="15.75" customHeight="1">
      <c r="A979" s="24"/>
    </row>
    <row r="980" spans="1:1" ht="15.75" customHeight="1">
      <c r="A980" s="24"/>
    </row>
    <row r="981" spans="1:1" ht="15.75" customHeight="1">
      <c r="A981" s="24"/>
    </row>
    <row r="982" spans="1:1" ht="15.75" customHeight="1">
      <c r="A982" s="24"/>
    </row>
    <row r="983" spans="1:1" ht="15.75" customHeight="1">
      <c r="A983" s="24"/>
    </row>
    <row r="984" spans="1:1" ht="15.75" customHeight="1">
      <c r="A984" s="24"/>
    </row>
    <row r="985" spans="1:1" ht="15.75" customHeight="1">
      <c r="A985" s="24"/>
    </row>
    <row r="986" spans="1:1" ht="15.75" customHeight="1">
      <c r="A986" s="24"/>
    </row>
    <row r="987" spans="1:1" ht="15.75" customHeight="1">
      <c r="A987" s="24"/>
    </row>
    <row r="988" spans="1:1" ht="15.75" customHeight="1">
      <c r="A988" s="24"/>
    </row>
    <row r="989" spans="1:1" ht="15.75" customHeight="1">
      <c r="A989" s="24"/>
    </row>
    <row r="990" spans="1:1" ht="15.75" customHeight="1">
      <c r="A990" s="24"/>
    </row>
    <row r="991" spans="1:1" ht="15.75" customHeight="1">
      <c r="A991" s="24"/>
    </row>
    <row r="992" spans="1:1" ht="15.75" customHeight="1">
      <c r="A992" s="24"/>
    </row>
    <row r="993" spans="1:1" ht="15.75" customHeight="1">
      <c r="A993" s="24"/>
    </row>
    <row r="994" spans="1:1" ht="15.75" customHeight="1">
      <c r="A994" s="24"/>
    </row>
    <row r="995" spans="1:1" ht="15.75" customHeight="1">
      <c r="A995" s="24"/>
    </row>
    <row r="996" spans="1:1" ht="15.75" customHeight="1">
      <c r="A996" s="24"/>
    </row>
    <row r="997" spans="1:1" ht="15.75" customHeight="1">
      <c r="A997" s="24"/>
    </row>
    <row r="998" spans="1:1" ht="15.75" customHeight="1">
      <c r="A998" s="24"/>
    </row>
    <row r="999" spans="1:1" ht="15.75" customHeight="1">
      <c r="A999" s="24"/>
    </row>
    <row r="1000" spans="1:1" ht="15.75" customHeight="1">
      <c r="A1000" s="24"/>
    </row>
  </sheetData>
  <autoFilter ref="A1:D1" xr:uid="{00000000-0009-0000-0000-000002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D1000"/>
  <sheetViews>
    <sheetView workbookViewId="0"/>
  </sheetViews>
  <sheetFormatPr baseColWidth="10" defaultColWidth="12.59765625" defaultRowHeight="15" customHeight="1"/>
  <cols>
    <col min="1" max="1" width="12.59765625" customWidth="1"/>
    <col min="2" max="2" width="11.69921875" customWidth="1"/>
    <col min="3" max="3" width="18.19921875" customWidth="1"/>
    <col min="4" max="4" width="17.8984375" customWidth="1"/>
    <col min="5" max="6" width="9.3984375" customWidth="1"/>
  </cols>
  <sheetData>
    <row r="1" spans="1:4" ht="51.75" customHeight="1">
      <c r="A1" s="1" t="s">
        <v>0</v>
      </c>
      <c r="B1" s="2" t="s">
        <v>3</v>
      </c>
      <c r="C1" s="45" t="s">
        <v>458</v>
      </c>
      <c r="D1" s="45" t="s">
        <v>459</v>
      </c>
    </row>
    <row r="2" spans="1:4" ht="14.4">
      <c r="A2" s="7">
        <v>10101</v>
      </c>
      <c r="B2" s="8" t="s">
        <v>13</v>
      </c>
      <c r="C2" s="46">
        <v>106</v>
      </c>
      <c r="D2" s="46">
        <v>132</v>
      </c>
    </row>
    <row r="3" spans="1:4" ht="14.4">
      <c r="A3" s="7">
        <v>10102</v>
      </c>
      <c r="B3" s="8" t="s">
        <v>14</v>
      </c>
      <c r="C3" s="46">
        <v>4</v>
      </c>
      <c r="D3" s="46">
        <v>9</v>
      </c>
    </row>
    <row r="4" spans="1:4" ht="14.4">
      <c r="A4" s="7">
        <v>10103</v>
      </c>
      <c r="B4" s="8" t="s">
        <v>16</v>
      </c>
      <c r="C4" s="46">
        <v>14</v>
      </c>
      <c r="D4" s="46">
        <v>17</v>
      </c>
    </row>
    <row r="5" spans="1:4" ht="14.4">
      <c r="A5" s="7">
        <v>10201</v>
      </c>
      <c r="B5" s="8" t="s">
        <v>19</v>
      </c>
      <c r="C5" s="46">
        <v>6</v>
      </c>
      <c r="D5" s="46">
        <v>9</v>
      </c>
    </row>
    <row r="6" spans="1:4" ht="14.4">
      <c r="A6" s="7">
        <v>10202</v>
      </c>
      <c r="B6" s="8" t="s">
        <v>21</v>
      </c>
      <c r="C6" s="46">
        <v>6</v>
      </c>
      <c r="D6" s="46">
        <v>12</v>
      </c>
    </row>
    <row r="7" spans="1:4" ht="14.4">
      <c r="A7" s="7">
        <v>10301</v>
      </c>
      <c r="B7" s="8" t="s">
        <v>24</v>
      </c>
      <c r="C7" s="46">
        <v>8</v>
      </c>
      <c r="D7" s="46">
        <v>3</v>
      </c>
    </row>
    <row r="8" spans="1:4" ht="14.4">
      <c r="A8" s="7">
        <v>10302</v>
      </c>
      <c r="B8" s="8" t="s">
        <v>26</v>
      </c>
      <c r="C8" s="46">
        <v>16</v>
      </c>
      <c r="D8" s="46">
        <v>8</v>
      </c>
    </row>
    <row r="9" spans="1:4" ht="14.4">
      <c r="A9" s="7">
        <v>10303</v>
      </c>
      <c r="B9" s="8" t="s">
        <v>28</v>
      </c>
      <c r="C9" s="46">
        <v>7</v>
      </c>
      <c r="D9" s="46">
        <v>5</v>
      </c>
    </row>
    <row r="10" spans="1:4" ht="14.4">
      <c r="A10" s="7">
        <v>10304</v>
      </c>
      <c r="B10" s="8" t="s">
        <v>30</v>
      </c>
      <c r="C10" s="46">
        <v>2</v>
      </c>
      <c r="D10" s="46">
        <v>5</v>
      </c>
    </row>
    <row r="11" spans="1:4" ht="14.4">
      <c r="A11" s="7">
        <v>10401</v>
      </c>
      <c r="B11" s="8" t="s">
        <v>33</v>
      </c>
      <c r="C11" s="46">
        <v>7</v>
      </c>
      <c r="D11" s="46">
        <v>3</v>
      </c>
    </row>
    <row r="12" spans="1:4" ht="14.4">
      <c r="A12" s="7">
        <v>10402</v>
      </c>
      <c r="B12" s="8" t="s">
        <v>32</v>
      </c>
      <c r="C12" s="46">
        <v>6</v>
      </c>
      <c r="D12" s="46">
        <v>3</v>
      </c>
    </row>
    <row r="13" spans="1:4" ht="14.4">
      <c r="A13" s="7">
        <v>10403</v>
      </c>
      <c r="B13" s="8" t="s">
        <v>35</v>
      </c>
      <c r="C13" s="46">
        <v>2</v>
      </c>
      <c r="D13" s="46">
        <v>3</v>
      </c>
    </row>
    <row r="14" spans="1:4" ht="14.4">
      <c r="A14" s="7">
        <v>10404</v>
      </c>
      <c r="B14" s="8" t="s">
        <v>36</v>
      </c>
      <c r="C14" s="46">
        <v>0</v>
      </c>
      <c r="D14" s="46">
        <v>1</v>
      </c>
    </row>
    <row r="15" spans="1:4" ht="14.4">
      <c r="A15" s="7">
        <v>10405</v>
      </c>
      <c r="B15" s="8" t="s">
        <v>37</v>
      </c>
      <c r="C15" s="46">
        <v>2</v>
      </c>
      <c r="D15" s="46">
        <v>4</v>
      </c>
    </row>
    <row r="16" spans="1:4" ht="14.4">
      <c r="A16" s="7">
        <v>10501</v>
      </c>
      <c r="B16" s="8" t="s">
        <v>39</v>
      </c>
      <c r="C16" s="46">
        <v>17</v>
      </c>
      <c r="D16" s="46">
        <v>10</v>
      </c>
    </row>
    <row r="17" spans="1:4" ht="14.4">
      <c r="A17" s="7">
        <v>10502</v>
      </c>
      <c r="B17" s="8" t="s">
        <v>40</v>
      </c>
      <c r="C17" s="46">
        <v>2</v>
      </c>
      <c r="D17" s="46">
        <v>4</v>
      </c>
    </row>
    <row r="18" spans="1:4" ht="14.4">
      <c r="A18" s="7">
        <v>10601</v>
      </c>
      <c r="B18" s="8" t="s">
        <v>42</v>
      </c>
      <c r="C18" s="46">
        <v>13</v>
      </c>
      <c r="D18" s="46">
        <v>13</v>
      </c>
    </row>
    <row r="19" spans="1:4" ht="14.4">
      <c r="A19" s="7">
        <v>10602</v>
      </c>
      <c r="B19" s="8" t="s">
        <v>41</v>
      </c>
      <c r="C19" s="46">
        <v>2</v>
      </c>
      <c r="D19" s="46">
        <v>4</v>
      </c>
    </row>
    <row r="20" spans="1:4" ht="14.4">
      <c r="A20" s="7">
        <v>10701</v>
      </c>
      <c r="B20" s="8" t="s">
        <v>44</v>
      </c>
      <c r="C20" s="46">
        <v>3</v>
      </c>
      <c r="D20" s="46">
        <v>11</v>
      </c>
    </row>
    <row r="21" spans="1:4" ht="15.75" customHeight="1">
      <c r="A21" s="7">
        <v>10702</v>
      </c>
      <c r="B21" s="8" t="s">
        <v>45</v>
      </c>
      <c r="C21" s="46">
        <v>22</v>
      </c>
      <c r="D21" s="46">
        <v>31</v>
      </c>
    </row>
    <row r="22" spans="1:4" ht="15.75" customHeight="1">
      <c r="A22" s="7">
        <v>10703</v>
      </c>
      <c r="B22" s="8" t="s">
        <v>46</v>
      </c>
      <c r="C22" s="46">
        <v>9</v>
      </c>
      <c r="D22" s="46">
        <v>16</v>
      </c>
    </row>
    <row r="23" spans="1:4" ht="15.75" customHeight="1">
      <c r="A23" s="7">
        <v>10704</v>
      </c>
      <c r="B23" s="8" t="s">
        <v>47</v>
      </c>
      <c r="C23" s="46">
        <v>17</v>
      </c>
      <c r="D23" s="46">
        <v>9</v>
      </c>
    </row>
    <row r="24" spans="1:4" ht="15.75" customHeight="1">
      <c r="A24" s="7">
        <v>10801</v>
      </c>
      <c r="B24" s="8" t="s">
        <v>49</v>
      </c>
      <c r="C24" s="46">
        <v>1</v>
      </c>
      <c r="D24" s="46">
        <v>5</v>
      </c>
    </row>
    <row r="25" spans="1:4" ht="15.75" customHeight="1">
      <c r="A25" s="7">
        <v>10901</v>
      </c>
      <c r="B25" s="8" t="s">
        <v>51</v>
      </c>
      <c r="C25" s="46">
        <v>1</v>
      </c>
      <c r="D25" s="46">
        <v>2</v>
      </c>
    </row>
    <row r="26" spans="1:4" ht="15.75" customHeight="1">
      <c r="A26" s="7">
        <v>10902</v>
      </c>
      <c r="B26" s="8" t="s">
        <v>52</v>
      </c>
      <c r="C26" s="46">
        <v>7</v>
      </c>
      <c r="D26" s="46">
        <v>17</v>
      </c>
    </row>
    <row r="27" spans="1:4" ht="15.75" customHeight="1">
      <c r="A27" s="7">
        <v>10903</v>
      </c>
      <c r="B27" s="8" t="s">
        <v>53</v>
      </c>
      <c r="C27" s="46">
        <v>1</v>
      </c>
      <c r="D27" s="46">
        <v>1</v>
      </c>
    </row>
    <row r="28" spans="1:4" ht="15.75" customHeight="1">
      <c r="A28" s="7">
        <v>11001</v>
      </c>
      <c r="B28" s="8" t="s">
        <v>55</v>
      </c>
      <c r="C28" s="46">
        <v>4</v>
      </c>
      <c r="D28" s="46">
        <v>4</v>
      </c>
    </row>
    <row r="29" spans="1:4" ht="15.75" customHeight="1">
      <c r="A29" s="7">
        <v>11002</v>
      </c>
      <c r="B29" s="8" t="s">
        <v>56</v>
      </c>
      <c r="C29" s="46">
        <v>1</v>
      </c>
      <c r="D29" s="46">
        <v>3</v>
      </c>
    </row>
    <row r="30" spans="1:4" ht="15.75" customHeight="1">
      <c r="A30" s="7">
        <v>11003</v>
      </c>
      <c r="B30" s="8" t="s">
        <v>57</v>
      </c>
      <c r="C30" s="46">
        <v>1</v>
      </c>
      <c r="D30" s="46">
        <v>8</v>
      </c>
    </row>
    <row r="31" spans="1:4" ht="15.75" customHeight="1">
      <c r="A31" s="7">
        <v>20101</v>
      </c>
      <c r="B31" s="8" t="s">
        <v>59</v>
      </c>
      <c r="C31" s="46">
        <v>398</v>
      </c>
      <c r="D31" s="46">
        <v>380</v>
      </c>
    </row>
    <row r="32" spans="1:4" ht="15.75" customHeight="1">
      <c r="A32" s="7">
        <v>20102</v>
      </c>
      <c r="B32" s="8" t="s">
        <v>60</v>
      </c>
      <c r="C32" s="46">
        <v>23</v>
      </c>
      <c r="D32" s="46">
        <v>28</v>
      </c>
    </row>
    <row r="33" spans="1:4" ht="15.75" customHeight="1">
      <c r="A33" s="7">
        <v>20103</v>
      </c>
      <c r="B33" s="8" t="s">
        <v>61</v>
      </c>
      <c r="C33" s="46">
        <v>12</v>
      </c>
      <c r="D33" s="46">
        <v>14</v>
      </c>
    </row>
    <row r="34" spans="1:4" ht="15.75" customHeight="1">
      <c r="A34" s="7">
        <v>20104</v>
      </c>
      <c r="B34" s="8" t="s">
        <v>62</v>
      </c>
      <c r="C34" s="46">
        <v>24</v>
      </c>
      <c r="D34" s="46">
        <v>40</v>
      </c>
    </row>
    <row r="35" spans="1:4" ht="15.75" customHeight="1">
      <c r="A35" s="7">
        <v>20105</v>
      </c>
      <c r="B35" s="8" t="s">
        <v>63</v>
      </c>
      <c r="C35" s="46">
        <v>575</v>
      </c>
      <c r="D35" s="46">
        <v>794</v>
      </c>
    </row>
    <row r="36" spans="1:4" ht="15.75" customHeight="1">
      <c r="A36" s="7">
        <v>20201</v>
      </c>
      <c r="B36" s="8" t="s">
        <v>65</v>
      </c>
      <c r="C36" s="46">
        <v>3</v>
      </c>
      <c r="D36" s="46">
        <v>43</v>
      </c>
    </row>
    <row r="37" spans="1:4" ht="15.75" customHeight="1">
      <c r="A37" s="7">
        <v>20202</v>
      </c>
      <c r="B37" s="8" t="s">
        <v>66</v>
      </c>
      <c r="C37" s="46">
        <v>7</v>
      </c>
      <c r="D37" s="46">
        <v>11</v>
      </c>
    </row>
    <row r="38" spans="1:4" ht="15.75" customHeight="1">
      <c r="A38" s="7">
        <v>20203</v>
      </c>
      <c r="B38" s="8" t="s">
        <v>67</v>
      </c>
      <c r="C38" s="46">
        <v>2</v>
      </c>
      <c r="D38" s="46">
        <v>7</v>
      </c>
    </row>
    <row r="39" spans="1:4" ht="15.75" customHeight="1">
      <c r="A39" s="7">
        <v>20204</v>
      </c>
      <c r="B39" s="8" t="s">
        <v>68</v>
      </c>
      <c r="C39" s="46">
        <v>3</v>
      </c>
      <c r="D39" s="46">
        <v>8</v>
      </c>
    </row>
    <row r="40" spans="1:4" ht="15.75" customHeight="1">
      <c r="A40" s="7">
        <v>20205</v>
      </c>
      <c r="B40" s="8" t="s">
        <v>69</v>
      </c>
      <c r="C40" s="46">
        <v>4</v>
      </c>
      <c r="D40" s="46">
        <v>6</v>
      </c>
    </row>
    <row r="41" spans="1:4" ht="15.75" customHeight="1">
      <c r="A41" s="7">
        <v>20206</v>
      </c>
      <c r="B41" s="8" t="s">
        <v>70</v>
      </c>
      <c r="C41" s="46">
        <v>0</v>
      </c>
      <c r="D41" s="46">
        <v>3</v>
      </c>
    </row>
    <row r="42" spans="1:4" ht="15.75" customHeight="1">
      <c r="A42" s="7">
        <v>20301</v>
      </c>
      <c r="B42" s="8" t="s">
        <v>72</v>
      </c>
      <c r="C42" s="46">
        <v>2</v>
      </c>
      <c r="D42" s="46">
        <v>17</v>
      </c>
    </row>
    <row r="43" spans="1:4" ht="15.75" customHeight="1">
      <c r="A43" s="7">
        <v>20302</v>
      </c>
      <c r="B43" s="8" t="s">
        <v>73</v>
      </c>
      <c r="C43" s="46">
        <v>4</v>
      </c>
      <c r="D43" s="46">
        <v>12</v>
      </c>
    </row>
    <row r="44" spans="1:4" ht="15.75" customHeight="1">
      <c r="A44" s="7">
        <v>20303</v>
      </c>
      <c r="B44" s="8" t="s">
        <v>74</v>
      </c>
      <c r="C44" s="46">
        <v>0</v>
      </c>
      <c r="D44" s="46">
        <v>11</v>
      </c>
    </row>
    <row r="45" spans="1:4" ht="15.75" customHeight="1">
      <c r="A45" s="7">
        <v>20304</v>
      </c>
      <c r="B45" s="8" t="s">
        <v>75</v>
      </c>
      <c r="C45" s="46">
        <v>0</v>
      </c>
      <c r="D45" s="46">
        <v>4</v>
      </c>
    </row>
    <row r="46" spans="1:4" ht="15.75" customHeight="1">
      <c r="A46" s="7">
        <v>20305</v>
      </c>
      <c r="B46" s="8" t="s">
        <v>76</v>
      </c>
      <c r="C46" s="46">
        <v>0</v>
      </c>
      <c r="D46" s="46">
        <v>6</v>
      </c>
    </row>
    <row r="47" spans="1:4" ht="15.75" customHeight="1">
      <c r="A47" s="7">
        <v>20306</v>
      </c>
      <c r="B47" s="8" t="s">
        <v>77</v>
      </c>
      <c r="C47" s="46">
        <v>2</v>
      </c>
      <c r="D47" s="46">
        <v>7</v>
      </c>
    </row>
    <row r="48" spans="1:4" ht="15.75" customHeight="1">
      <c r="A48" s="7">
        <v>20307</v>
      </c>
      <c r="B48" s="8" t="s">
        <v>78</v>
      </c>
      <c r="C48" s="46">
        <v>0</v>
      </c>
      <c r="D48" s="46">
        <v>1</v>
      </c>
    </row>
    <row r="49" spans="1:4" ht="15.75" customHeight="1">
      <c r="A49" s="7">
        <v>20308</v>
      </c>
      <c r="B49" s="8" t="s">
        <v>79</v>
      </c>
      <c r="C49" s="46">
        <v>0</v>
      </c>
      <c r="D49" s="46">
        <v>3</v>
      </c>
    </row>
    <row r="50" spans="1:4" ht="15.75" customHeight="1">
      <c r="A50" s="7">
        <v>20401</v>
      </c>
      <c r="B50" s="8" t="s">
        <v>81</v>
      </c>
      <c r="C50" s="46">
        <v>6</v>
      </c>
      <c r="D50" s="46">
        <v>10</v>
      </c>
    </row>
    <row r="51" spans="1:4" ht="15.75" customHeight="1">
      <c r="A51" s="7">
        <v>20402</v>
      </c>
      <c r="B51" s="8" t="s">
        <v>82</v>
      </c>
      <c r="C51" s="46">
        <v>14</v>
      </c>
      <c r="D51" s="46">
        <v>11</v>
      </c>
    </row>
    <row r="52" spans="1:4" ht="15.75" customHeight="1">
      <c r="A52" s="7">
        <v>20403</v>
      </c>
      <c r="B52" s="8" t="s">
        <v>83</v>
      </c>
      <c r="C52" s="46">
        <v>14</v>
      </c>
      <c r="D52" s="46">
        <v>17</v>
      </c>
    </row>
    <row r="53" spans="1:4" ht="15.75" customHeight="1">
      <c r="A53" s="7">
        <v>20404</v>
      </c>
      <c r="B53" s="8" t="s">
        <v>84</v>
      </c>
      <c r="C53" s="46">
        <v>9</v>
      </c>
      <c r="D53" s="46">
        <v>2</v>
      </c>
    </row>
    <row r="54" spans="1:4" ht="15.75" customHeight="1">
      <c r="A54" s="7">
        <v>20405</v>
      </c>
      <c r="B54" s="8" t="s">
        <v>85</v>
      </c>
      <c r="C54" s="46">
        <v>3</v>
      </c>
      <c r="D54" s="46">
        <v>6</v>
      </c>
    </row>
    <row r="55" spans="1:4" ht="15.75" customHeight="1">
      <c r="A55" s="7">
        <v>20501</v>
      </c>
      <c r="B55" s="8" t="s">
        <v>87</v>
      </c>
      <c r="C55" s="46">
        <v>7</v>
      </c>
      <c r="D55" s="46">
        <v>8</v>
      </c>
    </row>
    <row r="56" spans="1:4" ht="15.75" customHeight="1">
      <c r="A56" s="7">
        <v>20502</v>
      </c>
      <c r="B56" s="8" t="s">
        <v>88</v>
      </c>
      <c r="C56" s="46">
        <v>10</v>
      </c>
      <c r="D56" s="46">
        <v>3</v>
      </c>
    </row>
    <row r="57" spans="1:4" ht="15.75" customHeight="1">
      <c r="A57" s="7">
        <v>20503</v>
      </c>
      <c r="B57" s="8" t="s">
        <v>89</v>
      </c>
      <c r="C57" s="46">
        <v>4</v>
      </c>
      <c r="D57" s="46">
        <v>4</v>
      </c>
    </row>
    <row r="58" spans="1:4" ht="15.75" customHeight="1">
      <c r="A58" s="7">
        <v>20601</v>
      </c>
      <c r="B58" s="8" t="s">
        <v>91</v>
      </c>
      <c r="C58" s="46">
        <v>20</v>
      </c>
      <c r="D58" s="46">
        <v>23</v>
      </c>
    </row>
    <row r="59" spans="1:4" ht="15.75" customHeight="1">
      <c r="A59" s="7">
        <v>20602</v>
      </c>
      <c r="B59" s="8" t="s">
        <v>92</v>
      </c>
      <c r="C59" s="46">
        <v>25</v>
      </c>
      <c r="D59" s="46">
        <v>23</v>
      </c>
    </row>
    <row r="60" spans="1:4" ht="15.75" customHeight="1">
      <c r="A60" s="7">
        <v>20603</v>
      </c>
      <c r="B60" s="8" t="s">
        <v>93</v>
      </c>
      <c r="C60" s="46">
        <v>7</v>
      </c>
      <c r="D60" s="46">
        <v>1</v>
      </c>
    </row>
    <row r="61" spans="1:4" ht="15.75" customHeight="1">
      <c r="A61" s="7">
        <v>20604</v>
      </c>
      <c r="B61" s="8" t="s">
        <v>94</v>
      </c>
      <c r="C61" s="46">
        <v>5</v>
      </c>
      <c r="D61" s="46">
        <v>8</v>
      </c>
    </row>
    <row r="62" spans="1:4" ht="15.75" customHeight="1">
      <c r="A62" s="7">
        <v>20605</v>
      </c>
      <c r="B62" s="8" t="s">
        <v>95</v>
      </c>
      <c r="C62" s="46">
        <v>2</v>
      </c>
      <c r="D62" s="46">
        <v>2</v>
      </c>
    </row>
    <row r="63" spans="1:4" ht="15.75" customHeight="1">
      <c r="A63" s="7">
        <v>20606</v>
      </c>
      <c r="B63" s="8" t="s">
        <v>96</v>
      </c>
      <c r="C63" s="46">
        <v>13</v>
      </c>
      <c r="D63" s="46">
        <v>12</v>
      </c>
    </row>
    <row r="64" spans="1:4" ht="15.75" customHeight="1">
      <c r="A64" s="7">
        <v>20607</v>
      </c>
      <c r="B64" s="8" t="s">
        <v>97</v>
      </c>
      <c r="C64" s="46">
        <v>13</v>
      </c>
      <c r="D64" s="46">
        <v>26</v>
      </c>
    </row>
    <row r="65" spans="1:4" ht="15.75" customHeight="1">
      <c r="A65" s="7">
        <v>20608</v>
      </c>
      <c r="B65" s="8" t="s">
        <v>98</v>
      </c>
      <c r="C65" s="46">
        <v>9</v>
      </c>
      <c r="D65" s="46">
        <v>15</v>
      </c>
    </row>
    <row r="66" spans="1:4" ht="15.75" customHeight="1">
      <c r="A66" s="7">
        <v>20701</v>
      </c>
      <c r="B66" s="8" t="s">
        <v>100</v>
      </c>
      <c r="C66" s="46">
        <v>19</v>
      </c>
      <c r="D66" s="46">
        <v>31</v>
      </c>
    </row>
    <row r="67" spans="1:4" ht="15.75" customHeight="1">
      <c r="A67" s="7">
        <v>20702</v>
      </c>
      <c r="B67" s="8" t="s">
        <v>101</v>
      </c>
      <c r="C67" s="46">
        <v>7</v>
      </c>
      <c r="D67" s="46">
        <v>7</v>
      </c>
    </row>
    <row r="68" spans="1:4" ht="15.75" customHeight="1">
      <c r="A68" s="7">
        <v>20801</v>
      </c>
      <c r="B68" s="8" t="s">
        <v>103</v>
      </c>
      <c r="C68" s="46">
        <v>72</v>
      </c>
      <c r="D68" s="46">
        <v>108</v>
      </c>
    </row>
    <row r="69" spans="1:4" ht="15.75" customHeight="1">
      <c r="A69" s="7">
        <v>20802</v>
      </c>
      <c r="B69" s="8" t="s">
        <v>104</v>
      </c>
      <c r="C69" s="46">
        <v>5</v>
      </c>
      <c r="D69" s="46">
        <v>11</v>
      </c>
    </row>
    <row r="70" spans="1:4" ht="15.75" customHeight="1">
      <c r="A70" s="7">
        <v>20803</v>
      </c>
      <c r="B70" s="8" t="s">
        <v>105</v>
      </c>
      <c r="C70" s="46">
        <v>11</v>
      </c>
      <c r="D70" s="46">
        <v>8</v>
      </c>
    </row>
    <row r="71" spans="1:4" ht="15.75" customHeight="1">
      <c r="A71" s="7">
        <v>20804</v>
      </c>
      <c r="B71" s="8" t="s">
        <v>106</v>
      </c>
      <c r="C71" s="46">
        <v>7</v>
      </c>
      <c r="D71" s="46">
        <v>8</v>
      </c>
    </row>
    <row r="72" spans="1:4" ht="15.75" customHeight="1">
      <c r="A72" s="7">
        <v>20805</v>
      </c>
      <c r="B72" s="8" t="s">
        <v>107</v>
      </c>
      <c r="C72" s="46">
        <v>1</v>
      </c>
      <c r="D72" s="46">
        <v>5</v>
      </c>
    </row>
    <row r="73" spans="1:4" ht="15.75" customHeight="1">
      <c r="A73" s="7">
        <v>20806</v>
      </c>
      <c r="B73" s="8" t="s">
        <v>108</v>
      </c>
      <c r="C73" s="46">
        <v>9</v>
      </c>
      <c r="D73" s="46">
        <v>5</v>
      </c>
    </row>
    <row r="74" spans="1:4" ht="15.75" customHeight="1">
      <c r="A74" s="7">
        <v>20807</v>
      </c>
      <c r="B74" s="8" t="s">
        <v>109</v>
      </c>
      <c r="C74" s="46">
        <v>1</v>
      </c>
      <c r="D74" s="46">
        <v>2</v>
      </c>
    </row>
    <row r="75" spans="1:4" ht="15.75" customHeight="1">
      <c r="A75" s="7">
        <v>20901</v>
      </c>
      <c r="B75" s="8" t="s">
        <v>111</v>
      </c>
      <c r="C75" s="46">
        <v>9</v>
      </c>
      <c r="D75" s="46">
        <v>3</v>
      </c>
    </row>
    <row r="76" spans="1:4" ht="15.75" customHeight="1">
      <c r="A76" s="7">
        <v>20902</v>
      </c>
      <c r="B76" s="8" t="s">
        <v>112</v>
      </c>
      <c r="C76" s="46">
        <v>8</v>
      </c>
      <c r="D76" s="46">
        <v>20</v>
      </c>
    </row>
    <row r="77" spans="1:4" ht="15.75" customHeight="1">
      <c r="A77" s="7">
        <v>20903</v>
      </c>
      <c r="B77" s="8" t="s">
        <v>113</v>
      </c>
      <c r="C77" s="46">
        <v>7</v>
      </c>
      <c r="D77" s="46">
        <v>9</v>
      </c>
    </row>
    <row r="78" spans="1:4" ht="15.75" customHeight="1">
      <c r="A78" s="7">
        <v>20904</v>
      </c>
      <c r="B78" s="8" t="s">
        <v>114</v>
      </c>
      <c r="C78" s="46">
        <v>4</v>
      </c>
      <c r="D78" s="46">
        <v>1</v>
      </c>
    </row>
    <row r="79" spans="1:4" ht="15.75" customHeight="1">
      <c r="A79" s="7">
        <v>20905</v>
      </c>
      <c r="B79" s="8" t="s">
        <v>115</v>
      </c>
      <c r="C79" s="46">
        <v>17</v>
      </c>
      <c r="D79" s="46">
        <v>11</v>
      </c>
    </row>
    <row r="80" spans="1:4" ht="15.75" customHeight="1">
      <c r="A80" s="7">
        <v>21001</v>
      </c>
      <c r="B80" s="8" t="s">
        <v>116</v>
      </c>
      <c r="C80" s="46">
        <v>14</v>
      </c>
      <c r="D80" s="46">
        <v>12</v>
      </c>
    </row>
    <row r="81" spans="1:4" ht="15.75" customHeight="1">
      <c r="A81" s="7">
        <v>21002</v>
      </c>
      <c r="B81" s="8" t="s">
        <v>117</v>
      </c>
      <c r="C81" s="46">
        <v>10</v>
      </c>
      <c r="D81" s="46">
        <v>15</v>
      </c>
    </row>
    <row r="82" spans="1:4" ht="15.75" customHeight="1">
      <c r="A82" s="7">
        <v>21003</v>
      </c>
      <c r="B82" s="8" t="s">
        <v>118</v>
      </c>
      <c r="C82" s="46">
        <v>12</v>
      </c>
      <c r="D82" s="46">
        <v>15</v>
      </c>
    </row>
    <row r="83" spans="1:4" ht="15.75" customHeight="1">
      <c r="A83" s="7">
        <v>21004</v>
      </c>
      <c r="B83" s="8" t="s">
        <v>119</v>
      </c>
      <c r="C83" s="46">
        <v>21</v>
      </c>
      <c r="D83" s="46">
        <v>29</v>
      </c>
    </row>
    <row r="84" spans="1:4" ht="15.75" customHeight="1">
      <c r="A84" s="7">
        <v>21005</v>
      </c>
      <c r="B84" s="8" t="s">
        <v>120</v>
      </c>
      <c r="C84" s="46">
        <v>4</v>
      </c>
      <c r="D84" s="46">
        <v>5</v>
      </c>
    </row>
    <row r="85" spans="1:4" ht="15.75" customHeight="1">
      <c r="A85" s="7">
        <v>21006</v>
      </c>
      <c r="B85" s="8" t="s">
        <v>121</v>
      </c>
      <c r="C85" s="46">
        <v>1</v>
      </c>
      <c r="D85" s="46">
        <v>4</v>
      </c>
    </row>
    <row r="86" spans="1:4" ht="15.75" customHeight="1">
      <c r="A86" s="7">
        <v>21101</v>
      </c>
      <c r="B86" s="8" t="s">
        <v>123</v>
      </c>
      <c r="C86" s="46">
        <v>12</v>
      </c>
      <c r="D86" s="46">
        <v>29</v>
      </c>
    </row>
    <row r="87" spans="1:4" ht="15.75" customHeight="1">
      <c r="A87" s="7">
        <v>21102</v>
      </c>
      <c r="B87" s="8" t="s">
        <v>124</v>
      </c>
      <c r="C87" s="46">
        <v>10</v>
      </c>
      <c r="D87" s="46">
        <v>23</v>
      </c>
    </row>
    <row r="88" spans="1:4" ht="15.75" customHeight="1">
      <c r="A88" s="7">
        <v>21103</v>
      </c>
      <c r="B88" s="8" t="s">
        <v>125</v>
      </c>
      <c r="C88" s="46">
        <v>5</v>
      </c>
      <c r="D88" s="46">
        <v>3</v>
      </c>
    </row>
    <row r="89" spans="1:4" ht="15.75" customHeight="1">
      <c r="A89" s="7">
        <v>21104</v>
      </c>
      <c r="B89" s="8" t="s">
        <v>126</v>
      </c>
      <c r="C89" s="46">
        <v>17</v>
      </c>
      <c r="D89" s="46">
        <v>30</v>
      </c>
    </row>
    <row r="90" spans="1:4" ht="15.75" customHeight="1">
      <c r="A90" s="7">
        <v>21105</v>
      </c>
      <c r="B90" s="8" t="s">
        <v>127</v>
      </c>
      <c r="C90" s="46">
        <v>42</v>
      </c>
      <c r="D90" s="46">
        <v>59</v>
      </c>
    </row>
    <row r="91" spans="1:4" ht="15.75" customHeight="1">
      <c r="A91" s="7">
        <v>21201</v>
      </c>
      <c r="B91" s="8" t="s">
        <v>129</v>
      </c>
      <c r="C91" s="46">
        <v>32</v>
      </c>
      <c r="D91" s="46">
        <v>44</v>
      </c>
    </row>
    <row r="92" spans="1:4" ht="15.75" customHeight="1">
      <c r="A92" s="7">
        <v>21202</v>
      </c>
      <c r="B92" s="8" t="s">
        <v>130</v>
      </c>
      <c r="C92" s="46">
        <v>18</v>
      </c>
      <c r="D92" s="46">
        <v>28</v>
      </c>
    </row>
    <row r="93" spans="1:4" ht="15.75" customHeight="1">
      <c r="A93" s="7">
        <v>21203</v>
      </c>
      <c r="B93" s="8" t="s">
        <v>131</v>
      </c>
      <c r="C93" s="46">
        <v>6</v>
      </c>
      <c r="D93" s="46">
        <v>20</v>
      </c>
    </row>
    <row r="94" spans="1:4" ht="15.75" customHeight="1">
      <c r="A94" s="7">
        <v>21204</v>
      </c>
      <c r="B94" s="8" t="s">
        <v>132</v>
      </c>
      <c r="C94" s="46">
        <v>9</v>
      </c>
      <c r="D94" s="46">
        <v>3</v>
      </c>
    </row>
    <row r="95" spans="1:4" ht="15.75" customHeight="1">
      <c r="A95" s="7">
        <v>21301</v>
      </c>
      <c r="B95" s="8" t="s">
        <v>134</v>
      </c>
      <c r="C95" s="46">
        <v>28</v>
      </c>
      <c r="D95" s="46">
        <v>31</v>
      </c>
    </row>
    <row r="96" spans="1:4" ht="15.75" customHeight="1">
      <c r="A96" s="7">
        <v>21302</v>
      </c>
      <c r="B96" s="8" t="s">
        <v>135</v>
      </c>
      <c r="C96" s="46">
        <v>6</v>
      </c>
      <c r="D96" s="46">
        <v>6</v>
      </c>
    </row>
    <row r="97" spans="1:4" ht="15.75" customHeight="1">
      <c r="A97" s="7">
        <v>21303</v>
      </c>
      <c r="B97" s="8" t="s">
        <v>136</v>
      </c>
      <c r="C97" s="46">
        <v>3</v>
      </c>
      <c r="D97" s="46">
        <v>21</v>
      </c>
    </row>
    <row r="98" spans="1:4" ht="15.75" customHeight="1">
      <c r="A98" s="7">
        <v>21304</v>
      </c>
      <c r="B98" s="8" t="s">
        <v>137</v>
      </c>
      <c r="C98" s="46">
        <v>4</v>
      </c>
      <c r="D98" s="46">
        <v>7</v>
      </c>
    </row>
    <row r="99" spans="1:4" ht="15.75" customHeight="1">
      <c r="A99" s="7">
        <v>21305</v>
      </c>
      <c r="B99" s="8" t="s">
        <v>138</v>
      </c>
      <c r="C99" s="46">
        <v>6</v>
      </c>
      <c r="D99" s="46">
        <v>31</v>
      </c>
    </row>
    <row r="100" spans="1:4" ht="15.75" customHeight="1">
      <c r="A100" s="7">
        <v>21306</v>
      </c>
      <c r="B100" s="8" t="s">
        <v>139</v>
      </c>
      <c r="C100" s="46">
        <v>2</v>
      </c>
      <c r="D100" s="46">
        <v>18</v>
      </c>
    </row>
    <row r="101" spans="1:4" ht="15.75" customHeight="1">
      <c r="A101" s="7">
        <v>21307</v>
      </c>
      <c r="B101" s="8" t="s">
        <v>140</v>
      </c>
      <c r="C101" s="46">
        <v>0</v>
      </c>
      <c r="D101" s="46">
        <v>5</v>
      </c>
    </row>
    <row r="102" spans="1:4" ht="15.75" customHeight="1">
      <c r="A102" s="7">
        <v>21401</v>
      </c>
      <c r="B102" s="8" t="s">
        <v>142</v>
      </c>
      <c r="C102" s="46">
        <v>5</v>
      </c>
      <c r="D102" s="46">
        <v>21</v>
      </c>
    </row>
    <row r="103" spans="1:4" ht="15.75" customHeight="1">
      <c r="A103" s="7">
        <v>21402</v>
      </c>
      <c r="B103" s="8" t="s">
        <v>143</v>
      </c>
      <c r="C103" s="46">
        <v>10</v>
      </c>
      <c r="D103" s="46">
        <v>17</v>
      </c>
    </row>
    <row r="104" spans="1:4" ht="15.75" customHeight="1">
      <c r="A104" s="7">
        <v>21501</v>
      </c>
      <c r="B104" s="8" t="s">
        <v>145</v>
      </c>
      <c r="C104" s="46">
        <v>2</v>
      </c>
      <c r="D104" s="46">
        <v>16</v>
      </c>
    </row>
    <row r="105" spans="1:4" ht="15.75" customHeight="1">
      <c r="A105" s="7">
        <v>21502</v>
      </c>
      <c r="B105" s="8" t="s">
        <v>146</v>
      </c>
      <c r="C105" s="46">
        <v>2</v>
      </c>
      <c r="D105" s="46">
        <v>18</v>
      </c>
    </row>
    <row r="106" spans="1:4" ht="15.75" customHeight="1">
      <c r="A106" s="7">
        <v>21601</v>
      </c>
      <c r="B106" s="8" t="s">
        <v>148</v>
      </c>
      <c r="C106" s="46">
        <v>6</v>
      </c>
      <c r="D106" s="46">
        <v>10</v>
      </c>
    </row>
    <row r="107" spans="1:4" ht="15.75" customHeight="1">
      <c r="A107" s="7">
        <v>21602</v>
      </c>
      <c r="B107" s="8" t="s">
        <v>149</v>
      </c>
      <c r="C107" s="46">
        <v>1</v>
      </c>
      <c r="D107" s="46">
        <v>4</v>
      </c>
    </row>
    <row r="108" spans="1:4" ht="15.75" customHeight="1">
      <c r="A108" s="7">
        <v>21701</v>
      </c>
      <c r="B108" s="8" t="s">
        <v>151</v>
      </c>
      <c r="C108" s="46">
        <v>5</v>
      </c>
      <c r="D108" s="46">
        <v>9</v>
      </c>
    </row>
    <row r="109" spans="1:4" ht="15.75" customHeight="1">
      <c r="A109" s="7">
        <v>21702</v>
      </c>
      <c r="B109" s="8" t="s">
        <v>152</v>
      </c>
      <c r="C109" s="46">
        <v>0</v>
      </c>
      <c r="D109" s="46">
        <v>10</v>
      </c>
    </row>
    <row r="110" spans="1:4" ht="15.75" customHeight="1">
      <c r="A110" s="7">
        <v>21703</v>
      </c>
      <c r="B110" s="8" t="s">
        <v>153</v>
      </c>
      <c r="C110" s="46">
        <v>0</v>
      </c>
      <c r="D110" s="46">
        <v>0</v>
      </c>
    </row>
    <row r="111" spans="1:4" ht="15.75" customHeight="1">
      <c r="A111" s="7">
        <v>21801</v>
      </c>
      <c r="B111" s="8" t="s">
        <v>155</v>
      </c>
      <c r="C111" s="46">
        <v>1</v>
      </c>
      <c r="D111" s="46">
        <v>7</v>
      </c>
    </row>
    <row r="112" spans="1:4" ht="15.75" customHeight="1">
      <c r="A112" s="7">
        <v>21802</v>
      </c>
      <c r="B112" s="8" t="s">
        <v>157</v>
      </c>
      <c r="C112" s="46">
        <v>1</v>
      </c>
      <c r="D112" s="46">
        <v>6</v>
      </c>
    </row>
    <row r="113" spans="1:4" ht="15.75" customHeight="1">
      <c r="A113" s="7">
        <v>21803</v>
      </c>
      <c r="B113" s="8" t="s">
        <v>158</v>
      </c>
      <c r="C113" s="46">
        <v>0</v>
      </c>
      <c r="D113" s="46">
        <v>0</v>
      </c>
    </row>
    <row r="114" spans="1:4" ht="15.75" customHeight="1">
      <c r="A114" s="7">
        <v>21901</v>
      </c>
      <c r="B114" s="8" t="s">
        <v>160</v>
      </c>
      <c r="C114" s="46">
        <v>0</v>
      </c>
      <c r="D114" s="46">
        <v>11</v>
      </c>
    </row>
    <row r="115" spans="1:4" ht="15.75" customHeight="1">
      <c r="A115" s="7">
        <v>21902</v>
      </c>
      <c r="B115" s="8" t="s">
        <v>161</v>
      </c>
      <c r="C115" s="46">
        <v>0</v>
      </c>
      <c r="D115" s="46">
        <v>1</v>
      </c>
    </row>
    <row r="116" spans="1:4" ht="15.75" customHeight="1">
      <c r="A116" s="7">
        <v>22001</v>
      </c>
      <c r="B116" s="8" t="s">
        <v>162</v>
      </c>
      <c r="C116" s="46">
        <v>20</v>
      </c>
      <c r="D116" s="46">
        <v>43</v>
      </c>
    </row>
    <row r="117" spans="1:4" ht="15.75" customHeight="1">
      <c r="A117" s="7">
        <v>22002</v>
      </c>
      <c r="B117" s="8" t="s">
        <v>163</v>
      </c>
      <c r="C117" s="46">
        <v>13</v>
      </c>
      <c r="D117" s="46">
        <v>13</v>
      </c>
    </row>
    <row r="118" spans="1:4" ht="15.75" customHeight="1">
      <c r="A118" s="7">
        <v>30101</v>
      </c>
      <c r="B118" s="8" t="s">
        <v>17</v>
      </c>
      <c r="C118" s="46">
        <v>288</v>
      </c>
      <c r="D118" s="46">
        <v>307</v>
      </c>
    </row>
    <row r="119" spans="1:4" ht="15.75" customHeight="1">
      <c r="A119" s="7">
        <v>30201</v>
      </c>
      <c r="B119" s="8" t="s">
        <v>166</v>
      </c>
      <c r="C119" s="46">
        <v>14</v>
      </c>
      <c r="D119" s="46">
        <v>8</v>
      </c>
    </row>
    <row r="120" spans="1:4" ht="15.75" customHeight="1">
      <c r="A120" s="7">
        <v>30202</v>
      </c>
      <c r="B120" s="8" t="s">
        <v>167</v>
      </c>
      <c r="C120" s="46">
        <v>0</v>
      </c>
      <c r="D120" s="46">
        <v>1</v>
      </c>
    </row>
    <row r="121" spans="1:4" ht="15.75" customHeight="1">
      <c r="A121" s="7">
        <v>30203</v>
      </c>
      <c r="B121" s="8" t="s">
        <v>168</v>
      </c>
      <c r="C121" s="46">
        <v>3</v>
      </c>
      <c r="D121" s="46">
        <v>1</v>
      </c>
    </row>
    <row r="122" spans="1:4" ht="15.75" customHeight="1">
      <c r="A122" s="7">
        <v>30301</v>
      </c>
      <c r="B122" s="8" t="s">
        <v>170</v>
      </c>
      <c r="C122" s="46">
        <v>41</v>
      </c>
      <c r="D122" s="46">
        <v>28</v>
      </c>
    </row>
    <row r="123" spans="1:4" ht="15.75" customHeight="1">
      <c r="A123" s="7">
        <v>30302</v>
      </c>
      <c r="B123" s="8" t="s">
        <v>171</v>
      </c>
      <c r="C123" s="46">
        <v>18</v>
      </c>
      <c r="D123" s="46">
        <v>13</v>
      </c>
    </row>
    <row r="124" spans="1:4" ht="15.75" customHeight="1">
      <c r="A124" s="7">
        <v>30303</v>
      </c>
      <c r="B124" s="8" t="s">
        <v>172</v>
      </c>
      <c r="C124" s="46">
        <v>29</v>
      </c>
      <c r="D124" s="46">
        <v>42</v>
      </c>
    </row>
    <row r="125" spans="1:4" ht="15.75" customHeight="1">
      <c r="A125" s="7">
        <v>30401</v>
      </c>
      <c r="B125" s="8" t="s">
        <v>174</v>
      </c>
      <c r="C125" s="46">
        <v>8</v>
      </c>
      <c r="D125" s="46">
        <v>11</v>
      </c>
    </row>
    <row r="126" spans="1:4" ht="15.75" customHeight="1">
      <c r="A126" s="7">
        <v>30402</v>
      </c>
      <c r="B126" s="8" t="s">
        <v>175</v>
      </c>
      <c r="C126" s="46">
        <v>3</v>
      </c>
      <c r="D126" s="46">
        <v>8</v>
      </c>
    </row>
    <row r="127" spans="1:4" ht="15.75" customHeight="1">
      <c r="A127" s="7">
        <v>30403</v>
      </c>
      <c r="B127" s="8" t="s">
        <v>176</v>
      </c>
      <c r="C127" s="46">
        <v>26</v>
      </c>
      <c r="D127" s="46">
        <v>22</v>
      </c>
    </row>
    <row r="128" spans="1:4" ht="15.75" customHeight="1">
      <c r="A128" s="7">
        <v>30404</v>
      </c>
      <c r="B128" s="8" t="s">
        <v>177</v>
      </c>
      <c r="C128" s="46">
        <v>0</v>
      </c>
      <c r="D128" s="46">
        <v>7</v>
      </c>
    </row>
    <row r="129" spans="1:4" ht="15.75" customHeight="1">
      <c r="A129" s="7">
        <v>30501</v>
      </c>
      <c r="B129" s="8" t="s">
        <v>178</v>
      </c>
      <c r="C129" s="46">
        <v>12</v>
      </c>
      <c r="D129" s="46">
        <v>11</v>
      </c>
    </row>
    <row r="130" spans="1:4" ht="15.75" customHeight="1">
      <c r="A130" s="7">
        <v>30502</v>
      </c>
      <c r="B130" s="8" t="s">
        <v>179</v>
      </c>
      <c r="C130" s="46">
        <v>4</v>
      </c>
      <c r="D130" s="46">
        <v>9</v>
      </c>
    </row>
    <row r="131" spans="1:4" ht="15.75" customHeight="1">
      <c r="A131" s="7">
        <v>30601</v>
      </c>
      <c r="B131" s="8" t="s">
        <v>180</v>
      </c>
      <c r="C131" s="46">
        <v>18</v>
      </c>
      <c r="D131" s="46">
        <v>19</v>
      </c>
    </row>
    <row r="132" spans="1:4" ht="15.75" customHeight="1">
      <c r="A132" s="7">
        <v>30602</v>
      </c>
      <c r="B132" s="8" t="s">
        <v>181</v>
      </c>
      <c r="C132" s="46">
        <v>10</v>
      </c>
      <c r="D132" s="46">
        <v>13</v>
      </c>
    </row>
    <row r="133" spans="1:4" ht="15.75" customHeight="1">
      <c r="A133" s="7">
        <v>30701</v>
      </c>
      <c r="B133" s="8" t="s">
        <v>182</v>
      </c>
      <c r="C133" s="46">
        <v>6</v>
      </c>
      <c r="D133" s="46">
        <v>19</v>
      </c>
    </row>
    <row r="134" spans="1:4" ht="15.75" customHeight="1">
      <c r="A134" s="7">
        <v>30702</v>
      </c>
      <c r="B134" s="8" t="s">
        <v>183</v>
      </c>
      <c r="C134" s="46">
        <v>3</v>
      </c>
      <c r="D134" s="46">
        <v>5</v>
      </c>
    </row>
    <row r="135" spans="1:4" ht="15.75" customHeight="1">
      <c r="A135" s="7">
        <v>30703</v>
      </c>
      <c r="B135" s="8" t="s">
        <v>184</v>
      </c>
      <c r="C135" s="46">
        <v>8</v>
      </c>
      <c r="D135" s="46">
        <v>3</v>
      </c>
    </row>
    <row r="136" spans="1:4" ht="15.75" customHeight="1">
      <c r="A136" s="7">
        <v>30801</v>
      </c>
      <c r="B136" s="8" t="s">
        <v>186</v>
      </c>
      <c r="C136" s="46">
        <v>8</v>
      </c>
      <c r="D136" s="46">
        <v>7</v>
      </c>
    </row>
    <row r="137" spans="1:4" ht="15.75" customHeight="1">
      <c r="A137" s="7">
        <v>30802</v>
      </c>
      <c r="B137" s="8" t="s">
        <v>187</v>
      </c>
      <c r="C137" s="46">
        <v>3</v>
      </c>
      <c r="D137" s="46">
        <v>7</v>
      </c>
    </row>
    <row r="138" spans="1:4" ht="15.75" customHeight="1">
      <c r="A138" s="7">
        <v>30803</v>
      </c>
      <c r="B138" s="8" t="s">
        <v>188</v>
      </c>
      <c r="C138" s="46">
        <v>4</v>
      </c>
      <c r="D138" s="46">
        <v>10</v>
      </c>
    </row>
    <row r="139" spans="1:4" ht="15.75" customHeight="1">
      <c r="A139" s="7">
        <v>30901</v>
      </c>
      <c r="B139" s="8" t="s">
        <v>189</v>
      </c>
      <c r="C139" s="46">
        <v>26</v>
      </c>
      <c r="D139" s="46">
        <v>75</v>
      </c>
    </row>
    <row r="140" spans="1:4" ht="15.75" customHeight="1">
      <c r="A140" s="7">
        <v>30902</v>
      </c>
      <c r="B140" s="8" t="s">
        <v>190</v>
      </c>
      <c r="C140" s="46">
        <v>17</v>
      </c>
      <c r="D140" s="46">
        <v>47</v>
      </c>
    </row>
    <row r="141" spans="1:4" ht="15.75" customHeight="1">
      <c r="A141" s="7">
        <v>30903</v>
      </c>
      <c r="B141" s="8" t="s">
        <v>191</v>
      </c>
      <c r="C141" s="46">
        <v>10</v>
      </c>
      <c r="D141" s="46">
        <v>31</v>
      </c>
    </row>
    <row r="142" spans="1:4" ht="15.75" customHeight="1">
      <c r="A142" s="7">
        <v>30904</v>
      </c>
      <c r="B142" s="8" t="s">
        <v>192</v>
      </c>
      <c r="C142" s="46">
        <v>16</v>
      </c>
      <c r="D142" s="46">
        <v>28</v>
      </c>
    </row>
    <row r="143" spans="1:4" ht="15.75" customHeight="1">
      <c r="A143" s="7">
        <v>30905</v>
      </c>
      <c r="B143" s="8" t="s">
        <v>193</v>
      </c>
      <c r="C143" s="46">
        <v>9</v>
      </c>
      <c r="D143" s="46">
        <v>25</v>
      </c>
    </row>
    <row r="144" spans="1:4" ht="15.75" customHeight="1">
      <c r="A144" s="7">
        <v>31001</v>
      </c>
      <c r="B144" s="8" t="s">
        <v>195</v>
      </c>
      <c r="C144" s="46">
        <v>82</v>
      </c>
      <c r="D144" s="46">
        <v>115</v>
      </c>
    </row>
    <row r="145" spans="1:4" ht="15.75" customHeight="1">
      <c r="A145" s="7">
        <v>31002</v>
      </c>
      <c r="B145" s="8" t="s">
        <v>196</v>
      </c>
      <c r="C145" s="46">
        <v>16</v>
      </c>
      <c r="D145" s="46">
        <v>24</v>
      </c>
    </row>
    <row r="146" spans="1:4" ht="15.75" customHeight="1">
      <c r="A146" s="7">
        <v>31003</v>
      </c>
      <c r="B146" s="8" t="s">
        <v>197</v>
      </c>
      <c r="C146" s="46">
        <v>62</v>
      </c>
      <c r="D146" s="46">
        <v>125</v>
      </c>
    </row>
    <row r="147" spans="1:4" ht="15.75" customHeight="1">
      <c r="A147" s="7">
        <v>31101</v>
      </c>
      <c r="B147" s="8" t="s">
        <v>198</v>
      </c>
      <c r="C147" s="46">
        <v>27</v>
      </c>
      <c r="D147" s="46">
        <v>46</v>
      </c>
    </row>
    <row r="148" spans="1:4" ht="15.75" customHeight="1">
      <c r="A148" s="7">
        <v>31201</v>
      </c>
      <c r="B148" s="8" t="s">
        <v>200</v>
      </c>
      <c r="C148" s="46">
        <v>14</v>
      </c>
      <c r="D148" s="46">
        <v>15</v>
      </c>
    </row>
    <row r="149" spans="1:4" ht="15.75" customHeight="1">
      <c r="A149" s="7">
        <v>31202</v>
      </c>
      <c r="B149" s="8" t="s">
        <v>201</v>
      </c>
      <c r="C149" s="46">
        <v>9</v>
      </c>
      <c r="D149" s="46">
        <v>8</v>
      </c>
    </row>
    <row r="150" spans="1:4" ht="15.75" customHeight="1">
      <c r="A150" s="7">
        <v>31203</v>
      </c>
      <c r="B150" s="8" t="s">
        <v>202</v>
      </c>
      <c r="C150" s="46">
        <v>5</v>
      </c>
      <c r="D150" s="46">
        <v>11</v>
      </c>
    </row>
    <row r="151" spans="1:4" ht="15.75" customHeight="1">
      <c r="A151" s="7">
        <v>31204</v>
      </c>
      <c r="B151" s="8" t="s">
        <v>203</v>
      </c>
      <c r="C151" s="46">
        <v>19</v>
      </c>
      <c r="D151" s="46">
        <v>34</v>
      </c>
    </row>
    <row r="152" spans="1:4" ht="15.75" customHeight="1">
      <c r="A152" s="7">
        <v>31205</v>
      </c>
      <c r="B152" s="8" t="s">
        <v>204</v>
      </c>
      <c r="C152" s="46">
        <v>25</v>
      </c>
      <c r="D152" s="46">
        <v>59</v>
      </c>
    </row>
    <row r="153" spans="1:4" ht="15.75" customHeight="1">
      <c r="A153" s="7">
        <v>31206</v>
      </c>
      <c r="B153" s="8" t="s">
        <v>205</v>
      </c>
      <c r="C153" s="46">
        <v>12</v>
      </c>
      <c r="D153" s="46">
        <v>42</v>
      </c>
    </row>
    <row r="154" spans="1:4" ht="15.75" customHeight="1">
      <c r="A154" s="7">
        <v>31301</v>
      </c>
      <c r="B154" s="8" t="s">
        <v>206</v>
      </c>
      <c r="C154" s="46">
        <v>12</v>
      </c>
      <c r="D154" s="46">
        <v>18</v>
      </c>
    </row>
    <row r="155" spans="1:4" ht="15.75" customHeight="1">
      <c r="A155" s="7">
        <v>31302</v>
      </c>
      <c r="B155" s="8" t="s">
        <v>207</v>
      </c>
      <c r="C155" s="46">
        <v>2</v>
      </c>
      <c r="D155" s="46">
        <v>8</v>
      </c>
    </row>
    <row r="156" spans="1:4" ht="15.75" customHeight="1">
      <c r="A156" s="7">
        <v>31303</v>
      </c>
      <c r="B156" s="8" t="s">
        <v>208</v>
      </c>
      <c r="C156" s="46">
        <v>1</v>
      </c>
      <c r="D156" s="46">
        <v>1</v>
      </c>
    </row>
    <row r="157" spans="1:4" ht="15.75" customHeight="1">
      <c r="A157" s="19">
        <v>31304</v>
      </c>
      <c r="B157" s="8" t="s">
        <v>209</v>
      </c>
      <c r="C157" s="46">
        <v>12</v>
      </c>
      <c r="D157" s="46">
        <v>18</v>
      </c>
    </row>
    <row r="158" spans="1:4" ht="15.75" customHeight="1">
      <c r="A158" s="7">
        <v>31401</v>
      </c>
      <c r="B158" s="8" t="s">
        <v>210</v>
      </c>
      <c r="C158" s="46">
        <v>8</v>
      </c>
      <c r="D158" s="46">
        <v>23</v>
      </c>
    </row>
    <row r="159" spans="1:4" ht="15.75" customHeight="1">
      <c r="A159" s="7">
        <v>31402</v>
      </c>
      <c r="B159" s="8" t="s">
        <v>211</v>
      </c>
      <c r="C159" s="46">
        <v>0</v>
      </c>
      <c r="D159" s="46">
        <v>5</v>
      </c>
    </row>
    <row r="160" spans="1:4" ht="15.75" customHeight="1">
      <c r="A160" s="7">
        <v>31403</v>
      </c>
      <c r="B160" s="8" t="s">
        <v>212</v>
      </c>
      <c r="C160" s="46">
        <v>6</v>
      </c>
      <c r="D160" s="46">
        <v>10</v>
      </c>
    </row>
    <row r="161" spans="1:4" ht="15.75" customHeight="1">
      <c r="A161" s="7">
        <v>31404</v>
      </c>
      <c r="B161" s="8" t="s">
        <v>213</v>
      </c>
      <c r="C161" s="46">
        <v>1</v>
      </c>
      <c r="D161" s="46">
        <v>2</v>
      </c>
    </row>
    <row r="162" spans="1:4" ht="15.75" customHeight="1">
      <c r="A162" s="7">
        <v>31405</v>
      </c>
      <c r="B162" s="8" t="s">
        <v>214</v>
      </c>
      <c r="C162" s="46">
        <v>0</v>
      </c>
      <c r="D162" s="46">
        <v>0</v>
      </c>
    </row>
    <row r="163" spans="1:4" ht="15.75" customHeight="1">
      <c r="A163" s="7">
        <v>31501</v>
      </c>
      <c r="B163" s="8" t="s">
        <v>215</v>
      </c>
      <c r="C163" s="46">
        <v>8</v>
      </c>
      <c r="D163" s="46">
        <v>24</v>
      </c>
    </row>
    <row r="164" spans="1:4" ht="15.75" customHeight="1">
      <c r="A164" s="7">
        <v>31601</v>
      </c>
      <c r="B164" s="8" t="s">
        <v>216</v>
      </c>
      <c r="C164" s="46">
        <v>14</v>
      </c>
      <c r="D164" s="46">
        <v>14</v>
      </c>
    </row>
    <row r="165" spans="1:4" ht="15.75" customHeight="1">
      <c r="A165" s="7">
        <v>31602</v>
      </c>
      <c r="B165" s="8" t="s">
        <v>217</v>
      </c>
      <c r="C165" s="46">
        <v>5</v>
      </c>
      <c r="D165" s="46">
        <v>27</v>
      </c>
    </row>
    <row r="166" spans="1:4" ht="15.75" customHeight="1">
      <c r="A166" s="7">
        <v>40101</v>
      </c>
      <c r="B166" s="8" t="s">
        <v>20</v>
      </c>
      <c r="C166" s="46">
        <v>30</v>
      </c>
      <c r="D166" s="46">
        <v>258</v>
      </c>
    </row>
    <row r="167" spans="1:4" ht="15.75" customHeight="1">
      <c r="A167" s="7">
        <v>40102</v>
      </c>
      <c r="B167" s="8" t="s">
        <v>218</v>
      </c>
      <c r="C167" s="46">
        <v>25</v>
      </c>
      <c r="D167" s="46">
        <v>29</v>
      </c>
    </row>
    <row r="168" spans="1:4" ht="15.75" customHeight="1">
      <c r="A168" s="7">
        <v>40103</v>
      </c>
      <c r="B168" s="8" t="s">
        <v>219</v>
      </c>
      <c r="C168" s="46">
        <v>4</v>
      </c>
      <c r="D168" s="46">
        <v>3</v>
      </c>
    </row>
    <row r="169" spans="1:4" ht="15.75" customHeight="1">
      <c r="A169" s="7">
        <v>40104</v>
      </c>
      <c r="B169" s="8" t="s">
        <v>220</v>
      </c>
      <c r="C169" s="46">
        <v>16</v>
      </c>
      <c r="D169" s="46">
        <v>12</v>
      </c>
    </row>
    <row r="170" spans="1:4" ht="15.75" customHeight="1">
      <c r="A170" s="7">
        <v>40201</v>
      </c>
      <c r="B170" s="8" t="s">
        <v>222</v>
      </c>
      <c r="C170" s="46">
        <v>42</v>
      </c>
      <c r="D170" s="46">
        <v>32</v>
      </c>
    </row>
    <row r="171" spans="1:4" ht="15.75" customHeight="1">
      <c r="A171" s="7">
        <v>40202</v>
      </c>
      <c r="B171" s="8" t="s">
        <v>223</v>
      </c>
      <c r="C171" s="46">
        <v>5</v>
      </c>
      <c r="D171" s="46">
        <v>5</v>
      </c>
    </row>
    <row r="172" spans="1:4" ht="15.75" customHeight="1">
      <c r="A172" s="7">
        <v>40301</v>
      </c>
      <c r="B172" s="8" t="s">
        <v>225</v>
      </c>
      <c r="C172" s="46">
        <v>2</v>
      </c>
      <c r="D172" s="46">
        <v>11</v>
      </c>
    </row>
    <row r="173" spans="1:4" ht="15.75" customHeight="1">
      <c r="A173" s="7">
        <v>40302</v>
      </c>
      <c r="B173" s="8" t="s">
        <v>226</v>
      </c>
      <c r="C173" s="46">
        <v>1</v>
      </c>
      <c r="D173" s="46">
        <v>2</v>
      </c>
    </row>
    <row r="174" spans="1:4" ht="15.75" customHeight="1">
      <c r="A174" s="7">
        <v>40401</v>
      </c>
      <c r="B174" s="8" t="s">
        <v>228</v>
      </c>
      <c r="C174" s="46">
        <v>5</v>
      </c>
      <c r="D174" s="46">
        <v>9</v>
      </c>
    </row>
    <row r="175" spans="1:4" ht="15.75" customHeight="1">
      <c r="A175" s="7">
        <v>40402</v>
      </c>
      <c r="B175" s="8" t="s">
        <v>229</v>
      </c>
      <c r="C175" s="46">
        <v>7</v>
      </c>
      <c r="D175" s="46">
        <v>2</v>
      </c>
    </row>
    <row r="176" spans="1:4" ht="15.75" customHeight="1">
      <c r="A176" s="7">
        <v>40501</v>
      </c>
      <c r="B176" s="8" t="s">
        <v>231</v>
      </c>
      <c r="C176" s="46">
        <v>0</v>
      </c>
      <c r="D176" s="46">
        <v>1</v>
      </c>
    </row>
    <row r="177" spans="1:4" ht="15.75" customHeight="1">
      <c r="A177" s="7">
        <v>40502</v>
      </c>
      <c r="B177" s="8" t="s">
        <v>232</v>
      </c>
      <c r="C177" s="46">
        <v>2</v>
      </c>
      <c r="D177" s="46">
        <v>1</v>
      </c>
    </row>
    <row r="178" spans="1:4" ht="15.75" customHeight="1">
      <c r="A178" s="7">
        <v>40503</v>
      </c>
      <c r="B178" s="8" t="s">
        <v>233</v>
      </c>
      <c r="C178" s="46">
        <v>2</v>
      </c>
      <c r="D178" s="46">
        <v>0</v>
      </c>
    </row>
    <row r="179" spans="1:4" ht="15.75" customHeight="1">
      <c r="A179" s="7">
        <v>40504</v>
      </c>
      <c r="B179" s="8" t="s">
        <v>234</v>
      </c>
      <c r="C179" s="46">
        <v>0</v>
      </c>
      <c r="D179" s="46">
        <v>0</v>
      </c>
    </row>
    <row r="180" spans="1:4" ht="15.75" customHeight="1">
      <c r="A180" s="7">
        <v>40505</v>
      </c>
      <c r="B180" s="8" t="s">
        <v>235</v>
      </c>
      <c r="C180" s="46">
        <v>0</v>
      </c>
      <c r="D180" s="46">
        <v>2</v>
      </c>
    </row>
    <row r="181" spans="1:4" ht="15.75" customHeight="1">
      <c r="A181" s="7">
        <v>40601</v>
      </c>
      <c r="B181" s="8" t="s">
        <v>236</v>
      </c>
      <c r="C181" s="46">
        <v>10</v>
      </c>
      <c r="D181" s="46">
        <v>8</v>
      </c>
    </row>
    <row r="182" spans="1:4" ht="15.75" customHeight="1">
      <c r="A182" s="7">
        <v>40602</v>
      </c>
      <c r="B182" s="8" t="s">
        <v>237</v>
      </c>
      <c r="C182" s="46">
        <v>3</v>
      </c>
      <c r="D182" s="46">
        <v>1</v>
      </c>
    </row>
    <row r="183" spans="1:4" ht="15.75" customHeight="1">
      <c r="A183" s="7">
        <v>40603</v>
      </c>
      <c r="B183" s="8" t="s">
        <v>238</v>
      </c>
      <c r="C183" s="46">
        <v>1</v>
      </c>
      <c r="D183" s="46">
        <v>1</v>
      </c>
    </row>
    <row r="184" spans="1:4" ht="15.75" customHeight="1">
      <c r="A184" s="7">
        <v>40701</v>
      </c>
      <c r="B184" s="8" t="s">
        <v>240</v>
      </c>
      <c r="C184" s="46">
        <v>10</v>
      </c>
      <c r="D184" s="46">
        <v>21</v>
      </c>
    </row>
    <row r="185" spans="1:4" ht="15.75" customHeight="1">
      <c r="A185" s="7">
        <v>40702</v>
      </c>
      <c r="B185" s="8" t="s">
        <v>241</v>
      </c>
      <c r="C185" s="46">
        <v>2</v>
      </c>
      <c r="D185" s="46">
        <v>6</v>
      </c>
    </row>
    <row r="186" spans="1:4" ht="15.75" customHeight="1">
      <c r="A186" s="7">
        <v>40801</v>
      </c>
      <c r="B186" s="8" t="s">
        <v>243</v>
      </c>
      <c r="C186" s="46">
        <v>7</v>
      </c>
      <c r="D186" s="46">
        <v>14</v>
      </c>
    </row>
    <row r="187" spans="1:4" ht="15.75" customHeight="1">
      <c r="A187" s="7">
        <v>40802</v>
      </c>
      <c r="B187" s="8" t="s">
        <v>244</v>
      </c>
      <c r="C187" s="46">
        <v>0</v>
      </c>
      <c r="D187" s="46">
        <v>1</v>
      </c>
    </row>
    <row r="188" spans="1:4" ht="15.75" customHeight="1">
      <c r="A188" s="7">
        <v>40901</v>
      </c>
      <c r="B188" s="8" t="s">
        <v>245</v>
      </c>
      <c r="C188" s="46">
        <v>4</v>
      </c>
      <c r="D188" s="46">
        <v>8</v>
      </c>
    </row>
    <row r="189" spans="1:4" ht="15.75" customHeight="1">
      <c r="A189" s="7">
        <v>40902</v>
      </c>
      <c r="B189" s="8" t="s">
        <v>246</v>
      </c>
      <c r="C189" s="46">
        <v>0</v>
      </c>
      <c r="D189" s="46">
        <v>1</v>
      </c>
    </row>
    <row r="190" spans="1:4" ht="15.75" customHeight="1">
      <c r="A190" s="7">
        <v>40903</v>
      </c>
      <c r="B190" s="8" t="s">
        <v>247</v>
      </c>
      <c r="C190" s="46">
        <v>3</v>
      </c>
      <c r="D190" s="46">
        <v>3</v>
      </c>
    </row>
    <row r="191" spans="1:4" ht="15.75" customHeight="1">
      <c r="A191" s="7">
        <v>41001</v>
      </c>
      <c r="B191" s="8" t="s">
        <v>249</v>
      </c>
      <c r="C191" s="46">
        <v>4</v>
      </c>
      <c r="D191" s="46">
        <v>9</v>
      </c>
    </row>
    <row r="192" spans="1:4" ht="15.75" customHeight="1">
      <c r="A192" s="7">
        <v>41101</v>
      </c>
      <c r="B192" s="8" t="s">
        <v>251</v>
      </c>
      <c r="C192" s="46">
        <v>6</v>
      </c>
      <c r="D192" s="46">
        <v>8</v>
      </c>
    </row>
    <row r="193" spans="1:4" ht="15.75" customHeight="1">
      <c r="A193" s="7">
        <v>41201</v>
      </c>
      <c r="B193" s="8" t="s">
        <v>253</v>
      </c>
      <c r="C193" s="46">
        <v>4</v>
      </c>
      <c r="D193" s="46">
        <v>2</v>
      </c>
    </row>
    <row r="194" spans="1:4" ht="15.75" customHeight="1">
      <c r="A194" s="7">
        <v>41202</v>
      </c>
      <c r="B194" s="8" t="s">
        <v>254</v>
      </c>
      <c r="C194" s="46">
        <v>0</v>
      </c>
      <c r="D194" s="46">
        <v>3</v>
      </c>
    </row>
    <row r="195" spans="1:4" ht="15.75" customHeight="1">
      <c r="A195" s="7">
        <v>41301</v>
      </c>
      <c r="B195" s="8" t="s">
        <v>255</v>
      </c>
      <c r="C195" s="46">
        <v>0</v>
      </c>
      <c r="D195" s="46">
        <v>7</v>
      </c>
    </row>
    <row r="196" spans="1:4" ht="15.75" customHeight="1">
      <c r="A196" s="7">
        <v>41401</v>
      </c>
      <c r="B196" s="8" t="s">
        <v>257</v>
      </c>
      <c r="C196" s="46">
        <v>10</v>
      </c>
      <c r="D196" s="46">
        <v>6</v>
      </c>
    </row>
    <row r="197" spans="1:4" ht="15.75" customHeight="1">
      <c r="A197" s="7">
        <v>41501</v>
      </c>
      <c r="B197" s="8" t="s">
        <v>259</v>
      </c>
      <c r="C197" s="46">
        <v>0</v>
      </c>
      <c r="D197" s="46">
        <v>0</v>
      </c>
    </row>
    <row r="198" spans="1:4" ht="15.75" customHeight="1">
      <c r="A198" s="7">
        <v>41502</v>
      </c>
      <c r="B198" s="8" t="s">
        <v>260</v>
      </c>
      <c r="C198" s="46">
        <v>0</v>
      </c>
      <c r="D198" s="46">
        <v>1</v>
      </c>
    </row>
    <row r="199" spans="1:4" ht="15.75" customHeight="1">
      <c r="A199" s="7">
        <v>41503</v>
      </c>
      <c r="B199" s="8" t="s">
        <v>224</v>
      </c>
      <c r="C199" s="46">
        <v>0</v>
      </c>
      <c r="D199" s="46">
        <v>0</v>
      </c>
    </row>
    <row r="200" spans="1:4" ht="15.75" customHeight="1">
      <c r="A200" s="7">
        <v>41601</v>
      </c>
      <c r="B200" s="8" t="s">
        <v>262</v>
      </c>
      <c r="C200" s="46">
        <v>5</v>
      </c>
      <c r="D200" s="46">
        <v>6</v>
      </c>
    </row>
    <row r="201" spans="1:4" ht="15.75" customHeight="1">
      <c r="A201" s="7">
        <v>50101</v>
      </c>
      <c r="B201" s="8" t="s">
        <v>263</v>
      </c>
      <c r="C201" s="46">
        <v>156</v>
      </c>
      <c r="D201" s="46">
        <v>203</v>
      </c>
    </row>
    <row r="202" spans="1:4" ht="15.75" customHeight="1">
      <c r="A202" s="7">
        <v>50102</v>
      </c>
      <c r="B202" s="8" t="s">
        <v>265</v>
      </c>
      <c r="C202" s="46">
        <v>64</v>
      </c>
      <c r="D202" s="46">
        <v>56</v>
      </c>
    </row>
    <row r="203" spans="1:4" ht="15.75" customHeight="1">
      <c r="A203" s="7">
        <v>50103</v>
      </c>
      <c r="B203" s="8" t="s">
        <v>266</v>
      </c>
      <c r="C203" s="46">
        <v>1</v>
      </c>
      <c r="D203" s="46">
        <v>12</v>
      </c>
    </row>
    <row r="204" spans="1:4" ht="15.75" customHeight="1">
      <c r="A204" s="7">
        <v>50104</v>
      </c>
      <c r="B204" s="8" t="s">
        <v>267</v>
      </c>
      <c r="C204" s="46">
        <v>1</v>
      </c>
      <c r="D204" s="46">
        <v>1</v>
      </c>
    </row>
    <row r="205" spans="1:4" ht="15.75" customHeight="1">
      <c r="A205" s="7">
        <v>50201</v>
      </c>
      <c r="B205" s="8" t="s">
        <v>269</v>
      </c>
      <c r="C205" s="46">
        <v>43</v>
      </c>
      <c r="D205" s="46">
        <v>37</v>
      </c>
    </row>
    <row r="206" spans="1:4" ht="15.75" customHeight="1">
      <c r="A206" s="7">
        <v>50202</v>
      </c>
      <c r="B206" s="8" t="s">
        <v>270</v>
      </c>
      <c r="C206" s="46">
        <v>28</v>
      </c>
      <c r="D206" s="46">
        <v>35</v>
      </c>
    </row>
    <row r="207" spans="1:4" ht="15.75" customHeight="1">
      <c r="A207" s="7">
        <v>50203</v>
      </c>
      <c r="B207" s="8" t="s">
        <v>271</v>
      </c>
      <c r="C207" s="46">
        <v>34</v>
      </c>
      <c r="D207" s="46">
        <v>43</v>
      </c>
    </row>
    <row r="208" spans="1:4" ht="15.75" customHeight="1">
      <c r="A208" s="7">
        <v>50204</v>
      </c>
      <c r="B208" s="8" t="s">
        <v>272</v>
      </c>
      <c r="C208" s="46">
        <v>15</v>
      </c>
      <c r="D208" s="46">
        <v>14</v>
      </c>
    </row>
    <row r="209" spans="1:4" ht="15.75" customHeight="1">
      <c r="A209" s="7">
        <v>50301</v>
      </c>
      <c r="B209" s="8" t="s">
        <v>274</v>
      </c>
      <c r="C209" s="46">
        <v>36</v>
      </c>
      <c r="D209" s="46">
        <v>39</v>
      </c>
    </row>
    <row r="210" spans="1:4" ht="15.75" customHeight="1">
      <c r="A210" s="7">
        <v>50302</v>
      </c>
      <c r="B210" s="8" t="s">
        <v>275</v>
      </c>
      <c r="C210" s="46">
        <v>9</v>
      </c>
      <c r="D210" s="46">
        <v>8</v>
      </c>
    </row>
    <row r="211" spans="1:4" ht="15.75" customHeight="1">
      <c r="A211" s="7">
        <v>50303</v>
      </c>
      <c r="B211" s="8" t="s">
        <v>276</v>
      </c>
      <c r="C211" s="46">
        <v>13</v>
      </c>
      <c r="D211" s="46">
        <v>7</v>
      </c>
    </row>
    <row r="212" spans="1:4" ht="15.75" customHeight="1">
      <c r="A212" s="7">
        <v>50401</v>
      </c>
      <c r="B212" s="8" t="s">
        <v>277</v>
      </c>
      <c r="C212" s="46">
        <v>99</v>
      </c>
      <c r="D212" s="46">
        <v>45</v>
      </c>
    </row>
    <row r="213" spans="1:4" ht="15.75" customHeight="1">
      <c r="A213" s="7">
        <v>50402</v>
      </c>
      <c r="B213" s="8" t="s">
        <v>278</v>
      </c>
      <c r="C213" s="46">
        <v>15</v>
      </c>
      <c r="D213" s="46">
        <v>13</v>
      </c>
    </row>
    <row r="214" spans="1:4" ht="15.75" customHeight="1">
      <c r="A214" s="7">
        <v>50403</v>
      </c>
      <c r="B214" s="8" t="s">
        <v>279</v>
      </c>
      <c r="C214" s="46">
        <v>40</v>
      </c>
      <c r="D214" s="46">
        <v>64</v>
      </c>
    </row>
    <row r="215" spans="1:4" ht="15.75" customHeight="1">
      <c r="A215" s="7">
        <v>50404</v>
      </c>
      <c r="B215" s="8" t="s">
        <v>280</v>
      </c>
      <c r="C215" s="46">
        <v>44</v>
      </c>
      <c r="D215" s="46">
        <v>15</v>
      </c>
    </row>
    <row r="216" spans="1:4" ht="15.75" customHeight="1">
      <c r="A216" s="7">
        <v>50405</v>
      </c>
      <c r="B216" s="44" t="s">
        <v>281</v>
      </c>
      <c r="C216" s="46">
        <v>99</v>
      </c>
      <c r="D216" s="46">
        <v>45</v>
      </c>
    </row>
    <row r="217" spans="1:4" ht="15.75" customHeight="1">
      <c r="A217" s="7">
        <v>50501</v>
      </c>
      <c r="B217" s="8" t="s">
        <v>283</v>
      </c>
      <c r="C217" s="46">
        <v>64</v>
      </c>
      <c r="D217" s="46">
        <v>54</v>
      </c>
    </row>
    <row r="218" spans="1:4" ht="15.75" customHeight="1">
      <c r="A218" s="7">
        <v>50502</v>
      </c>
      <c r="B218" s="8" t="s">
        <v>284</v>
      </c>
      <c r="C218" s="46">
        <v>20</v>
      </c>
      <c r="D218" s="46">
        <v>13</v>
      </c>
    </row>
    <row r="219" spans="1:4" ht="15.75" customHeight="1">
      <c r="A219" s="7">
        <v>50601</v>
      </c>
      <c r="B219" s="8" t="s">
        <v>286</v>
      </c>
      <c r="C219" s="46">
        <v>6</v>
      </c>
      <c r="D219" s="46">
        <v>11</v>
      </c>
    </row>
    <row r="220" spans="1:4" ht="15.75" customHeight="1">
      <c r="A220" s="7">
        <v>50602</v>
      </c>
      <c r="B220" s="8" t="s">
        <v>287</v>
      </c>
      <c r="C220" s="46">
        <v>4</v>
      </c>
      <c r="D220" s="46">
        <v>7</v>
      </c>
    </row>
    <row r="221" spans="1:4" ht="15.75" customHeight="1">
      <c r="A221" s="7">
        <v>50701</v>
      </c>
      <c r="B221" s="8" t="s">
        <v>289</v>
      </c>
      <c r="C221" s="46">
        <v>14</v>
      </c>
      <c r="D221" s="46">
        <v>38</v>
      </c>
    </row>
    <row r="222" spans="1:4" ht="15.75" customHeight="1">
      <c r="A222" s="7">
        <v>50702</v>
      </c>
      <c r="B222" s="8" t="s">
        <v>290</v>
      </c>
      <c r="C222" s="46">
        <v>8</v>
      </c>
      <c r="D222" s="46">
        <v>21</v>
      </c>
    </row>
    <row r="223" spans="1:4" ht="15.75" customHeight="1">
      <c r="A223" s="7">
        <v>50801</v>
      </c>
      <c r="B223" s="8" t="s">
        <v>292</v>
      </c>
      <c r="C223" s="46">
        <v>10</v>
      </c>
      <c r="D223" s="46">
        <v>24</v>
      </c>
    </row>
    <row r="224" spans="1:4" ht="15.75" customHeight="1">
      <c r="A224" s="7">
        <v>50802</v>
      </c>
      <c r="B224" s="8" t="s">
        <v>293</v>
      </c>
      <c r="C224" s="46">
        <v>1</v>
      </c>
      <c r="D224" s="46">
        <v>10</v>
      </c>
    </row>
    <row r="225" spans="1:4" ht="15.75" customHeight="1">
      <c r="A225" s="7">
        <v>50901</v>
      </c>
      <c r="B225" s="8" t="s">
        <v>295</v>
      </c>
      <c r="C225" s="46">
        <v>1</v>
      </c>
      <c r="D225" s="46">
        <v>13</v>
      </c>
    </row>
    <row r="226" spans="1:4" ht="15.75" customHeight="1">
      <c r="A226" s="7">
        <v>50902</v>
      </c>
      <c r="B226" s="8" t="s">
        <v>296</v>
      </c>
      <c r="C226" s="46">
        <v>0</v>
      </c>
      <c r="D226" s="46">
        <v>2</v>
      </c>
    </row>
    <row r="227" spans="1:4" ht="15.75" customHeight="1">
      <c r="A227" s="7">
        <v>51001</v>
      </c>
      <c r="B227" s="8" t="s">
        <v>298</v>
      </c>
      <c r="C227" s="46">
        <v>1</v>
      </c>
      <c r="D227" s="46">
        <v>5</v>
      </c>
    </row>
    <row r="228" spans="1:4" ht="15.75" customHeight="1">
      <c r="A228" s="7">
        <v>51002</v>
      </c>
      <c r="B228" s="8" t="s">
        <v>299</v>
      </c>
      <c r="C228" s="46">
        <v>0</v>
      </c>
      <c r="D228" s="46">
        <v>1</v>
      </c>
    </row>
    <row r="229" spans="1:4" ht="15.75" customHeight="1">
      <c r="A229" s="7">
        <v>51003</v>
      </c>
      <c r="B229" s="8" t="s">
        <v>300</v>
      </c>
      <c r="C229" s="46">
        <v>0</v>
      </c>
      <c r="D229" s="46">
        <v>5</v>
      </c>
    </row>
    <row r="230" spans="1:4" ht="15.75" customHeight="1">
      <c r="A230" s="7">
        <v>51101</v>
      </c>
      <c r="B230" s="8" t="s">
        <v>302</v>
      </c>
      <c r="C230" s="46">
        <v>5</v>
      </c>
      <c r="D230" s="46">
        <v>12</v>
      </c>
    </row>
    <row r="231" spans="1:4" ht="15.75" customHeight="1">
      <c r="A231" s="7">
        <v>51102</v>
      </c>
      <c r="B231" s="8" t="s">
        <v>303</v>
      </c>
      <c r="C231" s="46">
        <v>3</v>
      </c>
      <c r="D231" s="46">
        <v>14</v>
      </c>
    </row>
    <row r="232" spans="1:4" ht="15.75" customHeight="1">
      <c r="A232" s="7">
        <v>51103</v>
      </c>
      <c r="B232" s="8" t="s">
        <v>304</v>
      </c>
      <c r="C232" s="46">
        <v>10</v>
      </c>
      <c r="D232" s="46">
        <v>14</v>
      </c>
    </row>
    <row r="233" spans="1:4" ht="15.75" customHeight="1">
      <c r="A233" s="7">
        <v>51201</v>
      </c>
      <c r="B233" s="8" t="s">
        <v>306</v>
      </c>
      <c r="C233" s="46">
        <v>8</v>
      </c>
      <c r="D233" s="46">
        <v>46</v>
      </c>
    </row>
    <row r="234" spans="1:4" ht="15.75" customHeight="1">
      <c r="A234" s="7">
        <v>51202</v>
      </c>
      <c r="B234" s="8" t="s">
        <v>307</v>
      </c>
      <c r="C234" s="46">
        <v>5</v>
      </c>
      <c r="D234" s="46">
        <v>9</v>
      </c>
    </row>
    <row r="235" spans="1:4" ht="15.75" customHeight="1">
      <c r="A235" s="7">
        <v>51203</v>
      </c>
      <c r="B235" s="8" t="s">
        <v>308</v>
      </c>
      <c r="C235" s="46">
        <v>2</v>
      </c>
      <c r="D235" s="46">
        <v>15</v>
      </c>
    </row>
    <row r="236" spans="1:4" ht="15.75" customHeight="1">
      <c r="A236" s="7">
        <v>51204</v>
      </c>
      <c r="B236" s="44" t="s">
        <v>309</v>
      </c>
      <c r="C236" s="46">
        <v>5</v>
      </c>
      <c r="D236" s="46">
        <v>10</v>
      </c>
    </row>
    <row r="237" spans="1:4" ht="15.75" customHeight="1">
      <c r="A237" s="7">
        <v>51301</v>
      </c>
      <c r="B237" s="8" t="s">
        <v>311</v>
      </c>
      <c r="C237" s="46">
        <v>3</v>
      </c>
      <c r="D237" s="46">
        <v>6</v>
      </c>
    </row>
    <row r="238" spans="1:4" ht="15.75" customHeight="1">
      <c r="A238" s="7">
        <v>51302</v>
      </c>
      <c r="B238" s="8" t="s">
        <v>312</v>
      </c>
      <c r="C238" s="46">
        <v>3</v>
      </c>
      <c r="D238" s="46">
        <v>8</v>
      </c>
    </row>
    <row r="239" spans="1:4" ht="15.75" customHeight="1">
      <c r="A239" s="7">
        <v>51401</v>
      </c>
      <c r="B239" s="8" t="s">
        <v>314</v>
      </c>
      <c r="C239" s="46">
        <v>1</v>
      </c>
      <c r="D239" s="46">
        <v>8</v>
      </c>
    </row>
    <row r="240" spans="1:4" ht="15.75" customHeight="1">
      <c r="A240" s="7">
        <v>51402</v>
      </c>
      <c r="B240" s="8" t="s">
        <v>315</v>
      </c>
      <c r="C240" s="46">
        <v>0</v>
      </c>
      <c r="D240" s="46">
        <v>0</v>
      </c>
    </row>
    <row r="241" spans="1:4" ht="15.75" customHeight="1">
      <c r="A241" s="7">
        <v>51501</v>
      </c>
      <c r="B241" s="8" t="s">
        <v>317</v>
      </c>
      <c r="C241" s="46">
        <v>3</v>
      </c>
      <c r="D241" s="46">
        <v>39</v>
      </c>
    </row>
    <row r="242" spans="1:4" ht="15.75" customHeight="1">
      <c r="A242" s="7">
        <v>51601</v>
      </c>
      <c r="B242" s="8" t="s">
        <v>319</v>
      </c>
      <c r="C242" s="46">
        <v>0</v>
      </c>
      <c r="D242" s="46">
        <v>2</v>
      </c>
    </row>
    <row r="243" spans="1:4" ht="15.75" customHeight="1">
      <c r="A243" s="7">
        <v>60101</v>
      </c>
      <c r="B243" s="8" t="s">
        <v>25</v>
      </c>
      <c r="C243" s="46">
        <v>43</v>
      </c>
      <c r="D243" s="46">
        <v>78</v>
      </c>
    </row>
    <row r="244" spans="1:4" ht="15.75" customHeight="1">
      <c r="A244" s="7">
        <v>60201</v>
      </c>
      <c r="B244" s="8" t="s">
        <v>321</v>
      </c>
      <c r="C244" s="46">
        <v>6</v>
      </c>
      <c r="D244" s="46">
        <v>6</v>
      </c>
    </row>
    <row r="245" spans="1:4" ht="15.75" customHeight="1">
      <c r="A245" s="7">
        <v>60202</v>
      </c>
      <c r="B245" s="8" t="s">
        <v>322</v>
      </c>
      <c r="C245" s="46">
        <v>18</v>
      </c>
      <c r="D245" s="46">
        <v>11</v>
      </c>
    </row>
    <row r="246" spans="1:4" ht="15.75" customHeight="1">
      <c r="A246" s="7">
        <v>60301</v>
      </c>
      <c r="B246" s="8" t="s">
        <v>324</v>
      </c>
      <c r="C246" s="46">
        <v>43</v>
      </c>
      <c r="D246" s="46">
        <v>62</v>
      </c>
    </row>
    <row r="247" spans="1:4" ht="15.75" customHeight="1">
      <c r="A247" s="7">
        <v>60302</v>
      </c>
      <c r="B247" s="8" t="s">
        <v>325</v>
      </c>
      <c r="C247" s="46">
        <v>2</v>
      </c>
      <c r="D247" s="46">
        <v>7</v>
      </c>
    </row>
    <row r="248" spans="1:4" ht="15.75" customHeight="1">
      <c r="A248" s="7">
        <v>60303</v>
      </c>
      <c r="B248" s="8" t="s">
        <v>326</v>
      </c>
      <c r="C248" s="46">
        <v>24</v>
      </c>
      <c r="D248" s="46">
        <v>17</v>
      </c>
    </row>
    <row r="249" spans="1:4" ht="15.75" customHeight="1">
      <c r="A249" s="7">
        <v>60401</v>
      </c>
      <c r="B249" s="8" t="s">
        <v>328</v>
      </c>
      <c r="C249" s="46">
        <v>2</v>
      </c>
      <c r="D249" s="46">
        <v>5</v>
      </c>
    </row>
    <row r="250" spans="1:4" ht="15.75" customHeight="1">
      <c r="A250" s="7">
        <v>60402</v>
      </c>
      <c r="B250" s="8" t="s">
        <v>329</v>
      </c>
      <c r="C250" s="46">
        <v>4</v>
      </c>
      <c r="D250" s="46">
        <v>2</v>
      </c>
    </row>
    <row r="251" spans="1:4" ht="15.75" customHeight="1">
      <c r="A251" s="7">
        <v>60501</v>
      </c>
      <c r="B251" s="8" t="s">
        <v>331</v>
      </c>
      <c r="C251" s="46">
        <v>8</v>
      </c>
      <c r="D251" s="46">
        <v>8</v>
      </c>
    </row>
    <row r="252" spans="1:4" ht="15.75" customHeight="1">
      <c r="A252" s="7">
        <v>60502</v>
      </c>
      <c r="B252" s="8" t="s">
        <v>332</v>
      </c>
      <c r="C252" s="46">
        <v>4</v>
      </c>
      <c r="D252" s="46">
        <v>5</v>
      </c>
    </row>
    <row r="253" spans="1:4" ht="15.75" customHeight="1">
      <c r="A253" s="7">
        <v>60601</v>
      </c>
      <c r="B253" s="8" t="s">
        <v>205</v>
      </c>
      <c r="C253" s="46">
        <v>3</v>
      </c>
      <c r="D253" s="46">
        <v>9</v>
      </c>
    </row>
    <row r="254" spans="1:4" ht="15.75" customHeight="1">
      <c r="A254" s="7">
        <v>70101</v>
      </c>
      <c r="B254" s="8" t="s">
        <v>335</v>
      </c>
      <c r="C254" s="46">
        <v>466</v>
      </c>
      <c r="D254" s="46">
        <v>628</v>
      </c>
    </row>
    <row r="255" spans="1:4" ht="15.75" customHeight="1">
      <c r="A255" s="7">
        <v>70102</v>
      </c>
      <c r="B255" s="8" t="s">
        <v>336</v>
      </c>
      <c r="C255" s="46">
        <v>37</v>
      </c>
      <c r="D255" s="46">
        <v>62</v>
      </c>
    </row>
    <row r="256" spans="1:4" ht="15.75" customHeight="1">
      <c r="A256" s="7">
        <v>70103</v>
      </c>
      <c r="B256" s="8" t="s">
        <v>337</v>
      </c>
      <c r="C256" s="46">
        <v>2</v>
      </c>
      <c r="D256" s="46">
        <v>9</v>
      </c>
    </row>
    <row r="257" spans="1:4" ht="15.75" customHeight="1">
      <c r="A257" s="7">
        <v>70104</v>
      </c>
      <c r="B257" s="8" t="s">
        <v>338</v>
      </c>
      <c r="C257" s="46">
        <v>19</v>
      </c>
      <c r="D257" s="46">
        <v>66</v>
      </c>
    </row>
    <row r="258" spans="1:4" ht="15.75" customHeight="1">
      <c r="A258" s="7">
        <v>70105</v>
      </c>
      <c r="B258" s="8" t="s">
        <v>339</v>
      </c>
      <c r="C258" s="46">
        <v>15</v>
      </c>
      <c r="D258" s="46">
        <v>31</v>
      </c>
    </row>
    <row r="259" spans="1:4" ht="15.75" customHeight="1">
      <c r="A259" s="7">
        <v>70201</v>
      </c>
      <c r="B259" s="8" t="s">
        <v>340</v>
      </c>
      <c r="C259" s="46">
        <v>25</v>
      </c>
      <c r="D259" s="46">
        <v>94</v>
      </c>
    </row>
    <row r="260" spans="1:4" ht="15.75" customHeight="1">
      <c r="A260" s="7">
        <v>70202</v>
      </c>
      <c r="B260" s="8" t="s">
        <v>341</v>
      </c>
      <c r="C260" s="46">
        <v>5</v>
      </c>
      <c r="D260" s="46">
        <v>7</v>
      </c>
    </row>
    <row r="261" spans="1:4" ht="15.75" customHeight="1">
      <c r="A261" s="7">
        <v>70301</v>
      </c>
      <c r="B261" s="8" t="s">
        <v>343</v>
      </c>
      <c r="C261" s="46">
        <v>29</v>
      </c>
      <c r="D261" s="46">
        <v>69</v>
      </c>
    </row>
    <row r="262" spans="1:4" ht="15.75" customHeight="1">
      <c r="A262" s="7">
        <v>70302</v>
      </c>
      <c r="B262" s="8" t="s">
        <v>344</v>
      </c>
      <c r="C262" s="46">
        <v>11</v>
      </c>
      <c r="D262" s="46">
        <v>21</v>
      </c>
    </row>
    <row r="263" spans="1:4" ht="15.75" customHeight="1">
      <c r="A263" s="7">
        <v>70303</v>
      </c>
      <c r="B263" s="8" t="s">
        <v>345</v>
      </c>
      <c r="C263" s="46">
        <v>5</v>
      </c>
      <c r="D263" s="46">
        <v>9</v>
      </c>
    </row>
    <row r="264" spans="1:4" ht="15.75" customHeight="1">
      <c r="A264" s="7">
        <v>70401</v>
      </c>
      <c r="B264" s="8" t="s">
        <v>347</v>
      </c>
      <c r="C264" s="46">
        <v>4</v>
      </c>
      <c r="D264" s="46">
        <v>3</v>
      </c>
    </row>
    <row r="265" spans="1:4" ht="15.75" customHeight="1">
      <c r="A265" s="7">
        <v>70402</v>
      </c>
      <c r="B265" s="8" t="s">
        <v>348</v>
      </c>
      <c r="C265" s="46">
        <v>7</v>
      </c>
      <c r="D265" s="46">
        <v>11</v>
      </c>
    </row>
    <row r="266" spans="1:4" ht="15.75" customHeight="1">
      <c r="A266" s="7">
        <v>70403</v>
      </c>
      <c r="B266" s="8" t="s">
        <v>349</v>
      </c>
      <c r="C266" s="46">
        <v>28</v>
      </c>
      <c r="D266" s="46">
        <v>36</v>
      </c>
    </row>
    <row r="267" spans="1:4" ht="15.75" customHeight="1">
      <c r="A267" s="7">
        <v>70404</v>
      </c>
      <c r="B267" s="8" t="s">
        <v>350</v>
      </c>
      <c r="C267" s="46">
        <v>5</v>
      </c>
      <c r="D267" s="46">
        <v>3</v>
      </c>
    </row>
    <row r="268" spans="1:4" ht="15.75" customHeight="1">
      <c r="A268" s="7">
        <v>70501</v>
      </c>
      <c r="B268" s="8" t="s">
        <v>352</v>
      </c>
      <c r="C268" s="46">
        <v>9</v>
      </c>
      <c r="D268" s="46">
        <v>45</v>
      </c>
    </row>
    <row r="269" spans="1:4" ht="15.75" customHeight="1">
      <c r="A269" s="7">
        <v>70502</v>
      </c>
      <c r="B269" s="8" t="s">
        <v>353</v>
      </c>
      <c r="C269" s="46">
        <v>21</v>
      </c>
      <c r="D269" s="46">
        <v>74</v>
      </c>
    </row>
    <row r="270" spans="1:4" ht="15.75" customHeight="1">
      <c r="A270" s="7">
        <v>70503</v>
      </c>
      <c r="B270" s="8" t="s">
        <v>354</v>
      </c>
      <c r="C270" s="46">
        <v>4</v>
      </c>
      <c r="D270" s="46">
        <v>8</v>
      </c>
    </row>
    <row r="271" spans="1:4" ht="15.75" customHeight="1">
      <c r="A271" s="7">
        <v>70601</v>
      </c>
      <c r="B271" s="8" t="s">
        <v>356</v>
      </c>
      <c r="C271" s="46">
        <v>2</v>
      </c>
      <c r="D271" s="46">
        <v>8</v>
      </c>
    </row>
    <row r="272" spans="1:4" ht="15.75" customHeight="1">
      <c r="A272" s="7">
        <v>70602</v>
      </c>
      <c r="B272" s="8" t="s">
        <v>357</v>
      </c>
      <c r="C272" s="46">
        <v>7</v>
      </c>
      <c r="D272" s="46">
        <v>15</v>
      </c>
    </row>
    <row r="273" spans="1:4" ht="15.75" customHeight="1">
      <c r="A273" s="7">
        <v>70603</v>
      </c>
      <c r="B273" s="8" t="s">
        <v>358</v>
      </c>
      <c r="C273" s="46">
        <v>2</v>
      </c>
      <c r="D273" s="46">
        <v>3</v>
      </c>
    </row>
    <row r="274" spans="1:4" ht="15.75" customHeight="1">
      <c r="A274" s="7">
        <v>70701</v>
      </c>
      <c r="B274" s="8" t="s">
        <v>360</v>
      </c>
      <c r="C274" s="46">
        <v>2</v>
      </c>
      <c r="D274" s="46">
        <v>5</v>
      </c>
    </row>
    <row r="275" spans="1:4" ht="15.75" customHeight="1">
      <c r="A275" s="7">
        <v>70702</v>
      </c>
      <c r="B275" s="8" t="s">
        <v>361</v>
      </c>
      <c r="C275" s="46">
        <v>26</v>
      </c>
      <c r="D275" s="46">
        <v>70</v>
      </c>
    </row>
    <row r="276" spans="1:4" ht="15.75" customHeight="1">
      <c r="A276" s="7">
        <v>70703</v>
      </c>
      <c r="B276" s="8" t="s">
        <v>362</v>
      </c>
      <c r="C276" s="46">
        <v>9</v>
      </c>
      <c r="D276" s="46">
        <v>23</v>
      </c>
    </row>
    <row r="277" spans="1:4" ht="15.75" customHeight="1">
      <c r="A277" s="7">
        <v>70704</v>
      </c>
      <c r="B277" s="8" t="s">
        <v>363</v>
      </c>
      <c r="C277" s="46">
        <v>0</v>
      </c>
      <c r="D277" s="46">
        <v>2</v>
      </c>
    </row>
    <row r="278" spans="1:4" ht="15.75" customHeight="1">
      <c r="A278" s="7">
        <v>70705</v>
      </c>
      <c r="B278" s="8" t="s">
        <v>364</v>
      </c>
      <c r="C278" s="46">
        <v>16</v>
      </c>
      <c r="D278" s="46">
        <v>30</v>
      </c>
    </row>
    <row r="279" spans="1:4" ht="15.75" customHeight="1">
      <c r="A279" s="7">
        <v>70706</v>
      </c>
      <c r="B279" s="8" t="s">
        <v>365</v>
      </c>
      <c r="C279" s="46">
        <v>7</v>
      </c>
      <c r="D279" s="46">
        <v>15</v>
      </c>
    </row>
    <row r="280" spans="1:4" ht="15.75" customHeight="1">
      <c r="A280" s="7">
        <v>70707</v>
      </c>
      <c r="B280" s="8" t="s">
        <v>366</v>
      </c>
      <c r="C280" s="46">
        <v>0</v>
      </c>
      <c r="D280" s="46">
        <v>2</v>
      </c>
    </row>
    <row r="281" spans="1:4" ht="15.75" customHeight="1">
      <c r="A281" s="7">
        <v>70801</v>
      </c>
      <c r="B281" s="8" t="s">
        <v>367</v>
      </c>
      <c r="C281" s="46">
        <v>3</v>
      </c>
      <c r="D281" s="46">
        <v>6</v>
      </c>
    </row>
    <row r="282" spans="1:4" ht="15.75" customHeight="1">
      <c r="A282" s="7">
        <v>70802</v>
      </c>
      <c r="B282" s="8" t="s">
        <v>368</v>
      </c>
      <c r="C282" s="46">
        <v>0</v>
      </c>
      <c r="D282" s="46">
        <v>2</v>
      </c>
    </row>
    <row r="283" spans="1:4" ht="15.75" customHeight="1">
      <c r="A283" s="7">
        <v>70803</v>
      </c>
      <c r="B283" s="8" t="s">
        <v>369</v>
      </c>
      <c r="C283" s="46">
        <v>0</v>
      </c>
      <c r="D283" s="46">
        <v>0</v>
      </c>
    </row>
    <row r="284" spans="1:4" ht="15.75" customHeight="1">
      <c r="A284" s="7">
        <v>70804</v>
      </c>
      <c r="B284" s="8" t="s">
        <v>370</v>
      </c>
      <c r="C284" s="46">
        <v>0</v>
      </c>
      <c r="D284" s="46">
        <v>0</v>
      </c>
    </row>
    <row r="285" spans="1:4" ht="15.75" customHeight="1">
      <c r="A285" s="7">
        <v>70805</v>
      </c>
      <c r="B285" s="8" t="s">
        <v>371</v>
      </c>
      <c r="C285" s="46">
        <v>0</v>
      </c>
      <c r="D285" s="46">
        <v>1</v>
      </c>
    </row>
    <row r="286" spans="1:4" ht="15.75" customHeight="1">
      <c r="A286" s="7">
        <v>70901</v>
      </c>
      <c r="B286" s="8" t="s">
        <v>373</v>
      </c>
      <c r="C286" s="46">
        <v>0</v>
      </c>
      <c r="D286" s="46">
        <v>8</v>
      </c>
    </row>
    <row r="287" spans="1:4" ht="15.75" customHeight="1">
      <c r="A287" s="7">
        <v>70902</v>
      </c>
      <c r="B287" s="8" t="s">
        <v>374</v>
      </c>
      <c r="C287" s="46">
        <v>3</v>
      </c>
      <c r="D287" s="46">
        <v>5</v>
      </c>
    </row>
    <row r="288" spans="1:4" ht="15.75" customHeight="1">
      <c r="A288" s="7">
        <v>70903</v>
      </c>
      <c r="B288" s="8" t="s">
        <v>375</v>
      </c>
      <c r="C288" s="46">
        <v>5</v>
      </c>
      <c r="D288" s="46">
        <v>7</v>
      </c>
    </row>
    <row r="289" spans="1:4" ht="15.75" customHeight="1">
      <c r="A289" s="7">
        <v>70904</v>
      </c>
      <c r="B289" s="8" t="s">
        <v>376</v>
      </c>
      <c r="C289" s="46">
        <v>1</v>
      </c>
      <c r="D289" s="46">
        <v>0</v>
      </c>
    </row>
    <row r="290" spans="1:4" ht="15.75" customHeight="1">
      <c r="A290" s="7">
        <v>71001</v>
      </c>
      <c r="B290" s="8" t="s">
        <v>378</v>
      </c>
      <c r="C290" s="46">
        <v>40</v>
      </c>
      <c r="D290" s="46">
        <v>62</v>
      </c>
    </row>
    <row r="291" spans="1:4" ht="15.75" customHeight="1">
      <c r="A291" s="7">
        <v>71002</v>
      </c>
      <c r="B291" s="8" t="s">
        <v>379</v>
      </c>
      <c r="C291" s="46">
        <v>3</v>
      </c>
      <c r="D291" s="46">
        <v>14</v>
      </c>
    </row>
    <row r="292" spans="1:4" ht="15.75" customHeight="1">
      <c r="A292" s="7">
        <v>71003</v>
      </c>
      <c r="B292" s="8" t="s">
        <v>380</v>
      </c>
      <c r="C292" s="46">
        <v>12</v>
      </c>
      <c r="D292" s="46">
        <v>21</v>
      </c>
    </row>
    <row r="293" spans="1:4" ht="15.75" customHeight="1">
      <c r="A293" s="7">
        <v>71004</v>
      </c>
      <c r="B293" s="8" t="s">
        <v>381</v>
      </c>
      <c r="C293" s="46">
        <v>10</v>
      </c>
      <c r="D293" s="46">
        <v>11</v>
      </c>
    </row>
    <row r="294" spans="1:4" ht="15.75" customHeight="1">
      <c r="A294" s="7">
        <v>71005</v>
      </c>
      <c r="B294" s="8" t="s">
        <v>382</v>
      </c>
      <c r="C294" s="46">
        <v>7</v>
      </c>
      <c r="D294" s="46">
        <v>8</v>
      </c>
    </row>
    <row r="295" spans="1:4" ht="15.75" customHeight="1">
      <c r="A295" s="7">
        <v>71101</v>
      </c>
      <c r="B295" s="8" t="s">
        <v>384</v>
      </c>
      <c r="C295" s="46">
        <v>10</v>
      </c>
      <c r="D295" s="46">
        <v>33</v>
      </c>
    </row>
    <row r="296" spans="1:4" ht="15.75" customHeight="1">
      <c r="A296" s="7">
        <v>71102</v>
      </c>
      <c r="B296" s="8" t="s">
        <v>385</v>
      </c>
      <c r="C296" s="46">
        <v>15</v>
      </c>
      <c r="D296" s="46">
        <v>17</v>
      </c>
    </row>
    <row r="297" spans="1:4" ht="15.75" customHeight="1">
      <c r="A297" s="7">
        <v>71103</v>
      </c>
      <c r="B297" s="8" t="s">
        <v>386</v>
      </c>
      <c r="C297" s="46">
        <v>4</v>
      </c>
      <c r="D297" s="46">
        <v>38</v>
      </c>
    </row>
    <row r="298" spans="1:4" ht="15.75" customHeight="1">
      <c r="A298" s="7">
        <v>71104</v>
      </c>
      <c r="B298" s="8" t="s">
        <v>387</v>
      </c>
      <c r="C298" s="46">
        <v>17</v>
      </c>
      <c r="D298" s="46">
        <v>8</v>
      </c>
    </row>
    <row r="299" spans="1:4" ht="15.75" customHeight="1">
      <c r="A299" s="7">
        <v>71105</v>
      </c>
      <c r="B299" s="8" t="s">
        <v>388</v>
      </c>
      <c r="C299" s="46">
        <v>8</v>
      </c>
      <c r="D299" s="46">
        <v>5</v>
      </c>
    </row>
    <row r="300" spans="1:4" ht="15.75" customHeight="1">
      <c r="A300" s="7">
        <v>71106</v>
      </c>
      <c r="B300" s="8" t="s">
        <v>389</v>
      </c>
      <c r="C300" s="46">
        <v>12</v>
      </c>
      <c r="D300" s="46">
        <v>27</v>
      </c>
    </row>
    <row r="301" spans="1:4" ht="15.75" customHeight="1">
      <c r="A301" s="7">
        <v>71201</v>
      </c>
      <c r="B301" s="8" t="s">
        <v>391</v>
      </c>
      <c r="C301" s="46">
        <v>7</v>
      </c>
      <c r="D301" s="46">
        <v>7</v>
      </c>
    </row>
    <row r="302" spans="1:4" ht="15.75" customHeight="1">
      <c r="A302" s="7">
        <v>71301</v>
      </c>
      <c r="B302" s="8" t="s">
        <v>393</v>
      </c>
      <c r="C302" s="46">
        <v>3</v>
      </c>
      <c r="D302" s="46">
        <v>17</v>
      </c>
    </row>
    <row r="303" spans="1:4" ht="15.75" customHeight="1">
      <c r="A303" s="7">
        <v>71302</v>
      </c>
      <c r="B303" s="8" t="s">
        <v>394</v>
      </c>
      <c r="C303" s="46">
        <v>1</v>
      </c>
      <c r="D303" s="46">
        <v>2</v>
      </c>
    </row>
    <row r="304" spans="1:4" ht="15.75" customHeight="1">
      <c r="A304" s="7">
        <v>71401</v>
      </c>
      <c r="B304" s="8" t="s">
        <v>396</v>
      </c>
      <c r="C304" s="46">
        <v>7</v>
      </c>
      <c r="D304" s="46">
        <v>12</v>
      </c>
    </row>
    <row r="305" spans="1:4" ht="15.75" customHeight="1">
      <c r="A305" s="7">
        <v>71402</v>
      </c>
      <c r="B305" s="8" t="s">
        <v>397</v>
      </c>
      <c r="C305" s="46">
        <v>10</v>
      </c>
      <c r="D305" s="46">
        <v>10</v>
      </c>
    </row>
    <row r="306" spans="1:4" ht="15.75" customHeight="1">
      <c r="A306" s="7">
        <v>71403</v>
      </c>
      <c r="B306" s="8" t="s">
        <v>398</v>
      </c>
      <c r="C306" s="46">
        <v>1</v>
      </c>
      <c r="D306" s="46">
        <v>12</v>
      </c>
    </row>
    <row r="307" spans="1:4" ht="15.75" customHeight="1">
      <c r="A307" s="7">
        <v>71501</v>
      </c>
      <c r="B307" s="8" t="s">
        <v>400</v>
      </c>
      <c r="C307" s="46">
        <v>10</v>
      </c>
      <c r="D307" s="46">
        <v>30</v>
      </c>
    </row>
    <row r="308" spans="1:4" ht="15.75" customHeight="1">
      <c r="A308" s="7">
        <v>71502</v>
      </c>
      <c r="B308" s="8" t="s">
        <v>401</v>
      </c>
      <c r="C308" s="46">
        <v>3</v>
      </c>
      <c r="D308" s="46">
        <v>10</v>
      </c>
    </row>
    <row r="309" spans="1:4" ht="15.75" customHeight="1">
      <c r="A309" s="7">
        <v>71503</v>
      </c>
      <c r="B309" s="8" t="s">
        <v>332</v>
      </c>
      <c r="C309" s="46">
        <v>10</v>
      </c>
      <c r="D309" s="46">
        <v>10</v>
      </c>
    </row>
    <row r="310" spans="1:4" ht="15.75" customHeight="1">
      <c r="A310" s="7">
        <v>80101</v>
      </c>
      <c r="B310" s="8" t="s">
        <v>402</v>
      </c>
      <c r="C310" s="46">
        <v>57</v>
      </c>
      <c r="D310" s="46">
        <v>50</v>
      </c>
    </row>
    <row r="311" spans="1:4" ht="15.75" customHeight="1">
      <c r="A311" s="7">
        <v>80102</v>
      </c>
      <c r="B311" s="8" t="s">
        <v>385</v>
      </c>
      <c r="C311" s="46">
        <v>6</v>
      </c>
      <c r="D311" s="46">
        <v>8</v>
      </c>
    </row>
    <row r="312" spans="1:4" ht="15.75" customHeight="1">
      <c r="A312" s="7">
        <v>80201</v>
      </c>
      <c r="B312" s="8" t="s">
        <v>404</v>
      </c>
      <c r="C312" s="46">
        <v>80</v>
      </c>
      <c r="D312" s="46">
        <v>83</v>
      </c>
    </row>
    <row r="313" spans="1:4" ht="15.75" customHeight="1">
      <c r="A313" s="7">
        <v>80202</v>
      </c>
      <c r="B313" s="8" t="s">
        <v>405</v>
      </c>
      <c r="C313" s="46">
        <v>28</v>
      </c>
      <c r="D313" s="46">
        <v>23</v>
      </c>
    </row>
    <row r="314" spans="1:4" ht="15.75" customHeight="1">
      <c r="A314" s="7">
        <v>80301</v>
      </c>
      <c r="B314" s="8" t="s">
        <v>407</v>
      </c>
      <c r="C314" s="46">
        <v>12</v>
      </c>
      <c r="D314" s="46">
        <v>15</v>
      </c>
    </row>
    <row r="315" spans="1:4" ht="15.75" customHeight="1">
      <c r="A315" s="7">
        <v>80302</v>
      </c>
      <c r="B315" s="8" t="s">
        <v>408</v>
      </c>
      <c r="C315" s="46">
        <v>66</v>
      </c>
      <c r="D315" s="46">
        <v>57</v>
      </c>
    </row>
    <row r="316" spans="1:4" ht="15.75" customHeight="1">
      <c r="A316" s="7">
        <v>80303</v>
      </c>
      <c r="B316" s="8" t="s">
        <v>409</v>
      </c>
      <c r="C316" s="46">
        <v>6</v>
      </c>
      <c r="D316" s="46">
        <v>11</v>
      </c>
    </row>
    <row r="317" spans="1:4" ht="15.75" customHeight="1">
      <c r="A317" s="7">
        <v>80304</v>
      </c>
      <c r="B317" s="8" t="s">
        <v>410</v>
      </c>
      <c r="C317" s="46">
        <v>14</v>
      </c>
      <c r="D317" s="46">
        <v>19</v>
      </c>
    </row>
    <row r="318" spans="1:4" ht="15.75" customHeight="1">
      <c r="A318" s="7">
        <v>80401</v>
      </c>
      <c r="B318" s="8" t="s">
        <v>412</v>
      </c>
      <c r="C318" s="46">
        <v>13</v>
      </c>
      <c r="D318" s="46">
        <v>7</v>
      </c>
    </row>
    <row r="319" spans="1:4" ht="15.75" customHeight="1">
      <c r="A319" s="7">
        <v>80402</v>
      </c>
      <c r="B319" s="8" t="s">
        <v>413</v>
      </c>
      <c r="C319" s="46">
        <v>1</v>
      </c>
      <c r="D319" s="46">
        <v>2</v>
      </c>
    </row>
    <row r="320" spans="1:4" ht="15.75" customHeight="1">
      <c r="A320" s="7">
        <v>80501</v>
      </c>
      <c r="B320" s="8" t="s">
        <v>415</v>
      </c>
      <c r="C320" s="46">
        <v>14</v>
      </c>
      <c r="D320" s="46">
        <v>21</v>
      </c>
    </row>
    <row r="321" spans="1:4" ht="15.75" customHeight="1">
      <c r="A321" s="7">
        <v>80601</v>
      </c>
      <c r="B321" s="8" t="s">
        <v>417</v>
      </c>
      <c r="C321" s="46">
        <v>3</v>
      </c>
      <c r="D321" s="46">
        <v>5</v>
      </c>
    </row>
    <row r="322" spans="1:4" ht="15.75" customHeight="1">
      <c r="A322" s="7">
        <v>80602</v>
      </c>
      <c r="B322" s="8" t="s">
        <v>418</v>
      </c>
      <c r="C322" s="46">
        <v>6</v>
      </c>
      <c r="D322" s="46">
        <v>19</v>
      </c>
    </row>
    <row r="323" spans="1:4" ht="15.75" customHeight="1">
      <c r="A323" s="7">
        <v>80701</v>
      </c>
      <c r="B323" s="8" t="s">
        <v>420</v>
      </c>
      <c r="C323" s="46">
        <v>6</v>
      </c>
      <c r="D323" s="46">
        <v>4</v>
      </c>
    </row>
    <row r="324" spans="1:4" ht="15.75" customHeight="1">
      <c r="A324" s="7">
        <v>80702</v>
      </c>
      <c r="B324" s="8" t="s">
        <v>386</v>
      </c>
      <c r="C324" s="46">
        <v>3</v>
      </c>
      <c r="D324" s="46">
        <v>4</v>
      </c>
    </row>
    <row r="325" spans="1:4" ht="15.75" customHeight="1">
      <c r="A325" s="7">
        <v>80703</v>
      </c>
      <c r="B325" s="8" t="s">
        <v>421</v>
      </c>
      <c r="C325" s="46">
        <v>2</v>
      </c>
      <c r="D325" s="46">
        <v>0</v>
      </c>
    </row>
    <row r="326" spans="1:4" ht="15.75" customHeight="1">
      <c r="A326" s="7">
        <v>80801</v>
      </c>
      <c r="B326" s="8" t="s">
        <v>423</v>
      </c>
      <c r="C326" s="46">
        <v>1</v>
      </c>
      <c r="D326" s="46">
        <v>7</v>
      </c>
    </row>
    <row r="327" spans="1:4" ht="15.75" customHeight="1">
      <c r="A327" s="7">
        <v>80802</v>
      </c>
      <c r="B327" s="8" t="s">
        <v>424</v>
      </c>
      <c r="C327" s="46">
        <v>2</v>
      </c>
      <c r="D327" s="46">
        <v>7</v>
      </c>
    </row>
    <row r="328" spans="1:4" ht="15.75" customHeight="1">
      <c r="A328" s="7">
        <v>80803</v>
      </c>
      <c r="B328" s="8" t="s">
        <v>425</v>
      </c>
      <c r="C328" s="46">
        <v>2</v>
      </c>
      <c r="D328" s="46">
        <v>1</v>
      </c>
    </row>
    <row r="329" spans="1:4" ht="15.75" customHeight="1">
      <c r="A329" s="7">
        <v>80901</v>
      </c>
      <c r="B329" s="44" t="s">
        <v>426</v>
      </c>
      <c r="C329" s="46">
        <v>21</v>
      </c>
      <c r="D329" s="46">
        <v>12</v>
      </c>
    </row>
    <row r="330" spans="1:4" ht="15.75" customHeight="1">
      <c r="A330" s="7">
        <v>90101</v>
      </c>
      <c r="B330" s="8" t="s">
        <v>428</v>
      </c>
      <c r="C330" s="46">
        <v>7</v>
      </c>
      <c r="D330" s="46">
        <v>35</v>
      </c>
    </row>
    <row r="331" spans="1:4" ht="15.75" customHeight="1">
      <c r="A331" s="7">
        <v>90102</v>
      </c>
      <c r="B331" s="8" t="s">
        <v>429</v>
      </c>
      <c r="C331" s="46">
        <v>0</v>
      </c>
      <c r="D331" s="46">
        <v>1</v>
      </c>
    </row>
    <row r="332" spans="1:4" ht="15.75" customHeight="1">
      <c r="A332" s="7">
        <v>90103</v>
      </c>
      <c r="B332" s="8" t="s">
        <v>430</v>
      </c>
      <c r="C332" s="46">
        <v>0</v>
      </c>
      <c r="D332" s="46">
        <v>0</v>
      </c>
    </row>
    <row r="333" spans="1:4" ht="15.75" customHeight="1">
      <c r="A333" s="7">
        <v>90104</v>
      </c>
      <c r="B333" s="8" t="s">
        <v>431</v>
      </c>
      <c r="C333" s="46">
        <v>0</v>
      </c>
      <c r="D333" s="46">
        <v>1</v>
      </c>
    </row>
    <row r="334" spans="1:4" ht="15.75" customHeight="1">
      <c r="A334" s="7">
        <v>90201</v>
      </c>
      <c r="B334" s="8" t="s">
        <v>433</v>
      </c>
      <c r="C334" s="46">
        <v>0</v>
      </c>
      <c r="D334" s="46">
        <v>4</v>
      </c>
    </row>
    <row r="335" spans="1:4" ht="15.75" customHeight="1">
      <c r="A335" s="7">
        <v>90202</v>
      </c>
      <c r="B335" s="8" t="s">
        <v>382</v>
      </c>
      <c r="C335" s="46">
        <v>0</v>
      </c>
      <c r="D335" s="46">
        <v>0</v>
      </c>
    </row>
    <row r="336" spans="1:4" ht="15.75" customHeight="1">
      <c r="A336" s="7">
        <v>90203</v>
      </c>
      <c r="B336" s="8" t="s">
        <v>434</v>
      </c>
      <c r="C336" s="46">
        <v>0</v>
      </c>
      <c r="D336" s="46">
        <v>4</v>
      </c>
    </row>
    <row r="337" spans="1:4" ht="15.75" customHeight="1">
      <c r="A337" s="7">
        <v>90301</v>
      </c>
      <c r="B337" s="8" t="s">
        <v>436</v>
      </c>
      <c r="C337" s="46">
        <v>1</v>
      </c>
      <c r="D337" s="46">
        <v>6</v>
      </c>
    </row>
    <row r="338" spans="1:4" ht="15.75" customHeight="1">
      <c r="A338" s="7">
        <v>90302</v>
      </c>
      <c r="B338" s="8" t="s">
        <v>437</v>
      </c>
      <c r="C338" s="46">
        <v>0</v>
      </c>
      <c r="D338" s="46">
        <v>2</v>
      </c>
    </row>
    <row r="339" spans="1:4" ht="15.75" customHeight="1">
      <c r="A339" s="7">
        <v>90303</v>
      </c>
      <c r="B339" s="8" t="s">
        <v>438</v>
      </c>
      <c r="C339" s="46">
        <v>2</v>
      </c>
      <c r="D339" s="46">
        <v>11</v>
      </c>
    </row>
    <row r="340" spans="1:4" ht="15.75" customHeight="1">
      <c r="A340" s="7">
        <v>90401</v>
      </c>
      <c r="B340" s="8" t="s">
        <v>440</v>
      </c>
      <c r="C340" s="46">
        <v>0</v>
      </c>
      <c r="D340" s="46">
        <v>1</v>
      </c>
    </row>
    <row r="341" spans="1:4" ht="15.75" customHeight="1">
      <c r="A341" s="7">
        <v>90402</v>
      </c>
      <c r="B341" s="8" t="s">
        <v>102</v>
      </c>
      <c r="C341" s="46">
        <v>1</v>
      </c>
      <c r="D341" s="46">
        <v>2</v>
      </c>
    </row>
    <row r="342" spans="1:4" ht="15.75" customHeight="1">
      <c r="A342" s="7">
        <v>90501</v>
      </c>
      <c r="B342" s="8" t="s">
        <v>442</v>
      </c>
      <c r="C342" s="46">
        <v>2</v>
      </c>
      <c r="D342" s="46">
        <v>1</v>
      </c>
    </row>
    <row r="343" spans="1:4" ht="15.75" customHeight="1">
      <c r="A343" s="7">
        <v>90502</v>
      </c>
      <c r="B343" s="8" t="s">
        <v>443</v>
      </c>
      <c r="C343" s="46">
        <v>2</v>
      </c>
      <c r="D343" s="46">
        <v>4</v>
      </c>
    </row>
    <row r="344" spans="1:4" ht="15.75" customHeight="1">
      <c r="A344" s="7">
        <v>90503</v>
      </c>
      <c r="B344" s="8" t="s">
        <v>444</v>
      </c>
      <c r="C344" s="46">
        <v>0</v>
      </c>
      <c r="D344" s="46">
        <v>4</v>
      </c>
    </row>
    <row r="345" spans="1:4" ht="15.75" customHeight="1">
      <c r="A345" s="24"/>
      <c r="B345" s="25"/>
      <c r="C345" s="47">
        <v>0</v>
      </c>
      <c r="D345" s="33"/>
    </row>
    <row r="346" spans="1:4" ht="15.75" customHeight="1">
      <c r="A346" s="24"/>
      <c r="B346" s="25"/>
      <c r="D346" s="33"/>
    </row>
    <row r="347" spans="1:4" ht="15.75" customHeight="1">
      <c r="A347" s="24"/>
      <c r="B347" s="25"/>
      <c r="D347" s="33"/>
    </row>
    <row r="348" spans="1:4" ht="15.75" customHeight="1">
      <c r="A348" s="24"/>
      <c r="B348" s="25"/>
    </row>
    <row r="349" spans="1:4" ht="15.75" customHeight="1">
      <c r="A349" s="24"/>
      <c r="B349" s="25"/>
    </row>
    <row r="350" spans="1:4" ht="15.75" customHeight="1">
      <c r="A350" s="24"/>
      <c r="B350" s="25"/>
      <c r="D350" s="36"/>
    </row>
    <row r="351" spans="1:4" ht="15.75" customHeight="1">
      <c r="A351" s="24"/>
      <c r="B351" s="25"/>
      <c r="D351" s="36"/>
    </row>
    <row r="352" spans="1:4" ht="15.75" customHeight="1">
      <c r="A352" s="24"/>
      <c r="B352" s="25"/>
      <c r="D352" s="36"/>
    </row>
    <row r="353" spans="1:4" ht="15.75" customHeight="1">
      <c r="A353" s="24"/>
      <c r="B353" s="37"/>
      <c r="D353" s="36"/>
    </row>
    <row r="354" spans="1:4" ht="15.75" customHeight="1">
      <c r="A354" s="24"/>
      <c r="B354" s="37"/>
      <c r="D354" s="33"/>
    </row>
    <row r="355" spans="1:4" ht="15.75" customHeight="1">
      <c r="A355" s="24"/>
      <c r="B355" s="37"/>
    </row>
    <row r="356" spans="1:4" ht="15.75" customHeight="1">
      <c r="A356" s="24"/>
      <c r="B356" s="37"/>
    </row>
    <row r="357" spans="1:4" ht="15.75" customHeight="1">
      <c r="A357" s="24"/>
      <c r="B357" s="37"/>
    </row>
    <row r="358" spans="1:4" ht="15.75" customHeight="1">
      <c r="A358" s="24"/>
      <c r="B358" s="37"/>
    </row>
    <row r="359" spans="1:4" ht="15.75" customHeight="1">
      <c r="A359" s="24"/>
      <c r="B359" s="37"/>
    </row>
    <row r="360" spans="1:4" ht="15.75" customHeight="1">
      <c r="A360" s="24"/>
      <c r="B360" s="37"/>
    </row>
    <row r="361" spans="1:4" ht="15.75" customHeight="1">
      <c r="A361" s="24"/>
      <c r="B361" s="37"/>
    </row>
    <row r="362" spans="1:4" ht="15.75" customHeight="1">
      <c r="A362" s="24"/>
      <c r="B362" s="37"/>
    </row>
    <row r="363" spans="1:4" ht="15.75" customHeight="1">
      <c r="A363" s="24"/>
      <c r="B363" s="37"/>
    </row>
    <row r="364" spans="1:4" ht="15.75" customHeight="1">
      <c r="A364" s="24"/>
      <c r="B364" s="37"/>
    </row>
    <row r="365" spans="1:4" ht="15.75" customHeight="1">
      <c r="A365" s="24"/>
      <c r="B365" s="37"/>
    </row>
    <row r="366" spans="1:4" ht="15.75" customHeight="1">
      <c r="A366" s="24"/>
      <c r="B366" s="37"/>
    </row>
    <row r="367" spans="1:4" ht="15.75" customHeight="1">
      <c r="A367" s="24"/>
      <c r="B367" s="37"/>
    </row>
    <row r="368" spans="1:4" ht="15.75" customHeight="1">
      <c r="A368" s="24"/>
      <c r="B368" s="37"/>
    </row>
    <row r="369" spans="1:2" ht="15.75" customHeight="1">
      <c r="A369" s="24"/>
      <c r="B369" s="37"/>
    </row>
    <row r="370" spans="1:2" ht="15.75" customHeight="1">
      <c r="A370" s="24"/>
      <c r="B370" s="37"/>
    </row>
    <row r="371" spans="1:2" ht="15.75" customHeight="1">
      <c r="A371" s="24"/>
      <c r="B371" s="37"/>
    </row>
    <row r="372" spans="1:2" ht="15.75" customHeight="1">
      <c r="A372" s="24"/>
      <c r="B372" s="37"/>
    </row>
    <row r="373" spans="1:2" ht="15.75" customHeight="1">
      <c r="A373" s="24"/>
      <c r="B373" s="37"/>
    </row>
    <row r="374" spans="1:2" ht="15.75" customHeight="1">
      <c r="A374" s="24"/>
      <c r="B374" s="37"/>
    </row>
    <row r="375" spans="1:2" ht="15.75" customHeight="1">
      <c r="A375" s="24"/>
      <c r="B375" s="37"/>
    </row>
    <row r="376" spans="1:2" ht="15.75" customHeight="1">
      <c r="A376" s="24"/>
      <c r="B376" s="37"/>
    </row>
    <row r="377" spans="1:2" ht="15.75" customHeight="1">
      <c r="A377" s="24"/>
      <c r="B377" s="37"/>
    </row>
    <row r="378" spans="1:2" ht="15.75" customHeight="1">
      <c r="A378" s="24"/>
      <c r="B378" s="37"/>
    </row>
    <row r="379" spans="1:2" ht="15.75" customHeight="1">
      <c r="A379" s="24"/>
      <c r="B379" s="37"/>
    </row>
    <row r="380" spans="1:2" ht="15.75" customHeight="1">
      <c r="A380" s="24"/>
      <c r="B380" s="37"/>
    </row>
    <row r="381" spans="1:2" ht="15.75" customHeight="1">
      <c r="A381" s="24"/>
      <c r="B381" s="37"/>
    </row>
    <row r="382" spans="1:2" ht="15.75" customHeight="1">
      <c r="A382" s="24"/>
      <c r="B382" s="37"/>
    </row>
    <row r="383" spans="1:2" ht="15.75" customHeight="1">
      <c r="A383" s="24"/>
      <c r="B383" s="37"/>
    </row>
    <row r="384" spans="1:2" ht="15.75" customHeight="1">
      <c r="A384" s="24"/>
      <c r="B384" s="37"/>
    </row>
    <row r="385" spans="1:2" ht="15.75" customHeight="1">
      <c r="A385" s="24"/>
      <c r="B385" s="37"/>
    </row>
    <row r="386" spans="1:2" ht="15.75" customHeight="1">
      <c r="A386" s="24"/>
      <c r="B386" s="37"/>
    </row>
    <row r="387" spans="1:2" ht="15.75" customHeight="1">
      <c r="A387" s="24"/>
      <c r="B387" s="37"/>
    </row>
    <row r="388" spans="1:2" ht="15.75" customHeight="1">
      <c r="A388" s="24"/>
      <c r="B388" s="37"/>
    </row>
    <row r="389" spans="1:2" ht="15.75" customHeight="1">
      <c r="A389" s="24"/>
      <c r="B389" s="37"/>
    </row>
    <row r="390" spans="1:2" ht="15.75" customHeight="1">
      <c r="A390" s="24"/>
      <c r="B390" s="37"/>
    </row>
    <row r="391" spans="1:2" ht="15.75" customHeight="1">
      <c r="A391" s="24"/>
      <c r="B391" s="37"/>
    </row>
    <row r="392" spans="1:2" ht="15.75" customHeight="1">
      <c r="A392" s="24"/>
      <c r="B392" s="37"/>
    </row>
    <row r="393" spans="1:2" ht="15.75" customHeight="1">
      <c r="A393" s="24"/>
      <c r="B393" s="37"/>
    </row>
    <row r="394" spans="1:2" ht="15.75" customHeight="1">
      <c r="A394" s="24"/>
      <c r="B394" s="37"/>
    </row>
    <row r="395" spans="1:2" ht="15.75" customHeight="1">
      <c r="A395" s="24"/>
      <c r="B395" s="37"/>
    </row>
    <row r="396" spans="1:2" ht="15.75" customHeight="1">
      <c r="A396" s="24"/>
      <c r="B396" s="37"/>
    </row>
    <row r="397" spans="1:2" ht="15.75" customHeight="1">
      <c r="A397" s="24"/>
      <c r="B397" s="37"/>
    </row>
    <row r="398" spans="1:2" ht="15.75" customHeight="1">
      <c r="A398" s="24"/>
      <c r="B398" s="37"/>
    </row>
    <row r="399" spans="1:2" ht="15.75" customHeight="1">
      <c r="A399" s="24"/>
      <c r="B399" s="37"/>
    </row>
    <row r="400" spans="1:2" ht="15.75" customHeight="1">
      <c r="A400" s="24"/>
      <c r="B400" s="37"/>
    </row>
    <row r="401" spans="1:2" ht="15.75" customHeight="1">
      <c r="A401" s="24"/>
      <c r="B401" s="37"/>
    </row>
    <row r="402" spans="1:2" ht="15.75" customHeight="1">
      <c r="A402" s="24"/>
      <c r="B402" s="37"/>
    </row>
    <row r="403" spans="1:2" ht="15.75" customHeight="1">
      <c r="A403" s="24"/>
      <c r="B403" s="37"/>
    </row>
    <row r="404" spans="1:2" ht="15.75" customHeight="1">
      <c r="A404" s="24"/>
      <c r="B404" s="37"/>
    </row>
    <row r="405" spans="1:2" ht="15.75" customHeight="1">
      <c r="A405" s="24"/>
      <c r="B405" s="37"/>
    </row>
    <row r="406" spans="1:2" ht="15.75" customHeight="1">
      <c r="A406" s="24"/>
      <c r="B406" s="37"/>
    </row>
    <row r="407" spans="1:2" ht="15.75" customHeight="1">
      <c r="A407" s="24"/>
      <c r="B407" s="37"/>
    </row>
    <row r="408" spans="1:2" ht="15.75" customHeight="1">
      <c r="A408" s="24"/>
      <c r="B408" s="37"/>
    </row>
    <row r="409" spans="1:2" ht="15.75" customHeight="1">
      <c r="A409" s="24"/>
      <c r="B409" s="37"/>
    </row>
    <row r="410" spans="1:2" ht="15.75" customHeight="1">
      <c r="A410" s="24"/>
      <c r="B410" s="37"/>
    </row>
    <row r="411" spans="1:2" ht="15.75" customHeight="1">
      <c r="A411" s="24"/>
      <c r="B411" s="37"/>
    </row>
    <row r="412" spans="1:2" ht="15.75" customHeight="1">
      <c r="A412" s="24"/>
      <c r="B412" s="37"/>
    </row>
    <row r="413" spans="1:2" ht="15.75" customHeight="1">
      <c r="A413" s="24"/>
      <c r="B413" s="37"/>
    </row>
    <row r="414" spans="1:2" ht="15.75" customHeight="1">
      <c r="A414" s="24"/>
      <c r="B414" s="37"/>
    </row>
    <row r="415" spans="1:2" ht="15.75" customHeight="1">
      <c r="A415" s="24"/>
      <c r="B415" s="37"/>
    </row>
    <row r="416" spans="1:2" ht="15.75" customHeight="1">
      <c r="A416" s="24"/>
      <c r="B416" s="37"/>
    </row>
    <row r="417" spans="1:2" ht="15.75" customHeight="1">
      <c r="A417" s="24"/>
      <c r="B417" s="37"/>
    </row>
    <row r="418" spans="1:2" ht="15.75" customHeight="1">
      <c r="A418" s="24"/>
      <c r="B418" s="37"/>
    </row>
    <row r="419" spans="1:2" ht="15.75" customHeight="1">
      <c r="A419" s="24"/>
      <c r="B419" s="37"/>
    </row>
    <row r="420" spans="1:2" ht="15.75" customHeight="1">
      <c r="A420" s="24"/>
      <c r="B420" s="37"/>
    </row>
    <row r="421" spans="1:2" ht="15.75" customHeight="1">
      <c r="A421" s="24"/>
      <c r="B421" s="37"/>
    </row>
    <row r="422" spans="1:2" ht="15.75" customHeight="1">
      <c r="A422" s="24"/>
      <c r="B422" s="37"/>
    </row>
    <row r="423" spans="1:2" ht="15.75" customHeight="1">
      <c r="A423" s="24"/>
      <c r="B423" s="37"/>
    </row>
    <row r="424" spans="1:2" ht="15.75" customHeight="1">
      <c r="A424" s="24"/>
      <c r="B424" s="37"/>
    </row>
    <row r="425" spans="1:2" ht="15.75" customHeight="1">
      <c r="A425" s="24"/>
      <c r="B425" s="37"/>
    </row>
    <row r="426" spans="1:2" ht="15.75" customHeight="1">
      <c r="A426" s="24"/>
      <c r="B426" s="37"/>
    </row>
    <row r="427" spans="1:2" ht="15.75" customHeight="1">
      <c r="A427" s="24"/>
      <c r="B427" s="37"/>
    </row>
    <row r="428" spans="1:2" ht="15.75" customHeight="1">
      <c r="A428" s="24"/>
      <c r="B428" s="37"/>
    </row>
    <row r="429" spans="1:2" ht="15.75" customHeight="1">
      <c r="A429" s="24"/>
      <c r="B429" s="37"/>
    </row>
    <row r="430" spans="1:2" ht="15.75" customHeight="1">
      <c r="A430" s="24"/>
      <c r="B430" s="37"/>
    </row>
    <row r="431" spans="1:2" ht="15.75" customHeight="1">
      <c r="A431" s="24"/>
      <c r="B431" s="37"/>
    </row>
    <row r="432" spans="1:2" ht="15.75" customHeight="1">
      <c r="A432" s="24"/>
      <c r="B432" s="37"/>
    </row>
    <row r="433" spans="1:2" ht="15.75" customHeight="1">
      <c r="A433" s="24"/>
      <c r="B433" s="37"/>
    </row>
    <row r="434" spans="1:2" ht="15.75" customHeight="1">
      <c r="A434" s="24"/>
      <c r="B434" s="37"/>
    </row>
    <row r="435" spans="1:2" ht="15.75" customHeight="1">
      <c r="A435" s="24"/>
      <c r="B435" s="37"/>
    </row>
    <row r="436" spans="1:2" ht="15.75" customHeight="1">
      <c r="A436" s="24"/>
      <c r="B436" s="37"/>
    </row>
    <row r="437" spans="1:2" ht="15.75" customHeight="1">
      <c r="A437" s="24"/>
      <c r="B437" s="37"/>
    </row>
    <row r="438" spans="1:2" ht="15.75" customHeight="1">
      <c r="A438" s="24"/>
      <c r="B438" s="37"/>
    </row>
    <row r="439" spans="1:2" ht="15.75" customHeight="1">
      <c r="A439" s="24"/>
      <c r="B439" s="37"/>
    </row>
    <row r="440" spans="1:2" ht="15.75" customHeight="1">
      <c r="A440" s="24"/>
      <c r="B440" s="37"/>
    </row>
    <row r="441" spans="1:2" ht="15.75" customHeight="1">
      <c r="A441" s="24"/>
      <c r="B441" s="37"/>
    </row>
    <row r="442" spans="1:2" ht="15.75" customHeight="1">
      <c r="A442" s="24"/>
      <c r="B442" s="37"/>
    </row>
    <row r="443" spans="1:2" ht="15.75" customHeight="1">
      <c r="A443" s="24"/>
      <c r="B443" s="37"/>
    </row>
    <row r="444" spans="1:2" ht="15.75" customHeight="1">
      <c r="A444" s="24"/>
      <c r="B444" s="37"/>
    </row>
    <row r="445" spans="1:2" ht="15.75" customHeight="1">
      <c r="A445" s="24"/>
      <c r="B445" s="37"/>
    </row>
    <row r="446" spans="1:2" ht="15.75" customHeight="1">
      <c r="A446" s="24"/>
      <c r="B446" s="37"/>
    </row>
    <row r="447" spans="1:2" ht="15.75" customHeight="1">
      <c r="A447" s="24"/>
      <c r="B447" s="37"/>
    </row>
    <row r="448" spans="1:2" ht="15.75" customHeight="1">
      <c r="A448" s="24"/>
      <c r="B448" s="37"/>
    </row>
    <row r="449" spans="1:2" ht="15.75" customHeight="1">
      <c r="A449" s="24"/>
      <c r="B449" s="37"/>
    </row>
    <row r="450" spans="1:2" ht="15.75" customHeight="1">
      <c r="A450" s="24"/>
      <c r="B450" s="37"/>
    </row>
    <row r="451" spans="1:2" ht="15.75" customHeight="1">
      <c r="A451" s="24"/>
      <c r="B451" s="37"/>
    </row>
    <row r="452" spans="1:2" ht="15.75" customHeight="1">
      <c r="A452" s="24"/>
      <c r="B452" s="37"/>
    </row>
    <row r="453" spans="1:2" ht="15.75" customHeight="1">
      <c r="A453" s="24"/>
      <c r="B453" s="37"/>
    </row>
    <row r="454" spans="1:2" ht="15.75" customHeight="1">
      <c r="A454" s="24"/>
      <c r="B454" s="37"/>
    </row>
    <row r="455" spans="1:2" ht="15.75" customHeight="1">
      <c r="A455" s="24"/>
      <c r="B455" s="37"/>
    </row>
    <row r="456" spans="1:2" ht="15.75" customHeight="1">
      <c r="A456" s="24"/>
      <c r="B456" s="37"/>
    </row>
    <row r="457" spans="1:2" ht="15.75" customHeight="1">
      <c r="A457" s="24"/>
      <c r="B457" s="37"/>
    </row>
    <row r="458" spans="1:2" ht="15.75" customHeight="1">
      <c r="A458" s="24"/>
      <c r="B458" s="37"/>
    </row>
    <row r="459" spans="1:2" ht="15.75" customHeight="1">
      <c r="A459" s="24"/>
      <c r="B459" s="37"/>
    </row>
    <row r="460" spans="1:2" ht="15.75" customHeight="1">
      <c r="A460" s="24"/>
      <c r="B460" s="37"/>
    </row>
    <row r="461" spans="1:2" ht="15.75" customHeight="1">
      <c r="A461" s="24"/>
      <c r="B461" s="37"/>
    </row>
    <row r="462" spans="1:2" ht="15.75" customHeight="1">
      <c r="A462" s="24"/>
      <c r="B462" s="37"/>
    </row>
    <row r="463" spans="1:2" ht="15.75" customHeight="1">
      <c r="A463" s="24"/>
      <c r="B463" s="37"/>
    </row>
    <row r="464" spans="1:2" ht="15.75" customHeight="1">
      <c r="A464" s="24"/>
      <c r="B464" s="37"/>
    </row>
    <row r="465" spans="1:2" ht="15.75" customHeight="1">
      <c r="A465" s="24"/>
      <c r="B465" s="37"/>
    </row>
    <row r="466" spans="1:2" ht="15.75" customHeight="1">
      <c r="A466" s="24"/>
      <c r="B466" s="37"/>
    </row>
    <row r="467" spans="1:2" ht="15.75" customHeight="1">
      <c r="A467" s="24"/>
      <c r="B467" s="37"/>
    </row>
    <row r="468" spans="1:2" ht="15.75" customHeight="1">
      <c r="A468" s="24"/>
      <c r="B468" s="37"/>
    </row>
    <row r="469" spans="1:2" ht="15.75" customHeight="1">
      <c r="A469" s="24"/>
      <c r="B469" s="37"/>
    </row>
    <row r="470" spans="1:2" ht="15.75" customHeight="1">
      <c r="A470" s="24"/>
      <c r="B470" s="37"/>
    </row>
    <row r="471" spans="1:2" ht="15.75" customHeight="1">
      <c r="A471" s="24"/>
      <c r="B471" s="37"/>
    </row>
    <row r="472" spans="1:2" ht="15.75" customHeight="1">
      <c r="A472" s="24"/>
      <c r="B472" s="37"/>
    </row>
    <row r="473" spans="1:2" ht="15.75" customHeight="1">
      <c r="A473" s="24"/>
      <c r="B473" s="37"/>
    </row>
    <row r="474" spans="1:2" ht="15.75" customHeight="1">
      <c r="A474" s="24"/>
      <c r="B474" s="37"/>
    </row>
    <row r="475" spans="1:2" ht="15.75" customHeight="1">
      <c r="A475" s="24"/>
      <c r="B475" s="37"/>
    </row>
    <row r="476" spans="1:2" ht="15.75" customHeight="1">
      <c r="A476" s="24"/>
      <c r="B476" s="37"/>
    </row>
    <row r="477" spans="1:2" ht="15.75" customHeight="1">
      <c r="A477" s="24"/>
      <c r="B477" s="37"/>
    </row>
    <row r="478" spans="1:2" ht="15.75" customHeight="1">
      <c r="A478" s="24"/>
      <c r="B478" s="37"/>
    </row>
    <row r="479" spans="1:2" ht="15.75" customHeight="1">
      <c r="A479" s="24"/>
      <c r="B479" s="37"/>
    </row>
    <row r="480" spans="1:2" ht="15.75" customHeight="1">
      <c r="A480" s="24"/>
      <c r="B480" s="37"/>
    </row>
    <row r="481" spans="1:2" ht="15.75" customHeight="1">
      <c r="A481" s="24"/>
      <c r="B481" s="37"/>
    </row>
    <row r="482" spans="1:2" ht="15.75" customHeight="1">
      <c r="A482" s="24"/>
      <c r="B482" s="37"/>
    </row>
    <row r="483" spans="1:2" ht="15.75" customHeight="1">
      <c r="A483" s="24"/>
      <c r="B483" s="37"/>
    </row>
    <row r="484" spans="1:2" ht="15.75" customHeight="1">
      <c r="A484" s="24"/>
      <c r="B484" s="37"/>
    </row>
    <row r="485" spans="1:2" ht="15.75" customHeight="1">
      <c r="A485" s="24"/>
      <c r="B485" s="37"/>
    </row>
    <row r="486" spans="1:2" ht="15.75" customHeight="1">
      <c r="A486" s="24"/>
      <c r="B486" s="37"/>
    </row>
    <row r="487" spans="1:2" ht="15.75" customHeight="1">
      <c r="A487" s="24"/>
      <c r="B487" s="37"/>
    </row>
    <row r="488" spans="1:2" ht="15.75" customHeight="1">
      <c r="A488" s="24"/>
      <c r="B488" s="37"/>
    </row>
    <row r="489" spans="1:2" ht="15.75" customHeight="1">
      <c r="A489" s="24"/>
      <c r="B489" s="37"/>
    </row>
    <row r="490" spans="1:2" ht="15.75" customHeight="1">
      <c r="A490" s="24"/>
      <c r="B490" s="37"/>
    </row>
    <row r="491" spans="1:2" ht="15.75" customHeight="1">
      <c r="A491" s="24"/>
      <c r="B491" s="37"/>
    </row>
    <row r="492" spans="1:2" ht="15.75" customHeight="1">
      <c r="A492" s="24"/>
      <c r="B492" s="37"/>
    </row>
    <row r="493" spans="1:2" ht="15.75" customHeight="1">
      <c r="A493" s="24"/>
      <c r="B493" s="37"/>
    </row>
    <row r="494" spans="1:2" ht="15.75" customHeight="1">
      <c r="A494" s="24"/>
      <c r="B494" s="37"/>
    </row>
    <row r="495" spans="1:2" ht="15.75" customHeight="1">
      <c r="A495" s="24"/>
      <c r="B495" s="37"/>
    </row>
    <row r="496" spans="1:2" ht="15.75" customHeight="1">
      <c r="A496" s="24"/>
      <c r="B496" s="37"/>
    </row>
    <row r="497" spans="1:2" ht="15.75" customHeight="1">
      <c r="A497" s="24"/>
      <c r="B497" s="37"/>
    </row>
    <row r="498" spans="1:2" ht="15.75" customHeight="1">
      <c r="A498" s="24"/>
      <c r="B498" s="37"/>
    </row>
    <row r="499" spans="1:2" ht="15.75" customHeight="1">
      <c r="A499" s="24"/>
      <c r="B499" s="37"/>
    </row>
    <row r="500" spans="1:2" ht="15.75" customHeight="1">
      <c r="A500" s="24"/>
      <c r="B500" s="37"/>
    </row>
    <row r="501" spans="1:2" ht="15.75" customHeight="1">
      <c r="A501" s="24"/>
      <c r="B501" s="37"/>
    </row>
    <row r="502" spans="1:2" ht="15.75" customHeight="1">
      <c r="A502" s="24"/>
      <c r="B502" s="37"/>
    </row>
    <row r="503" spans="1:2" ht="15.75" customHeight="1">
      <c r="A503" s="24"/>
      <c r="B503" s="37"/>
    </row>
    <row r="504" spans="1:2" ht="15.75" customHeight="1">
      <c r="A504" s="24"/>
      <c r="B504" s="37"/>
    </row>
    <row r="505" spans="1:2" ht="15.75" customHeight="1">
      <c r="A505" s="24"/>
      <c r="B505" s="37"/>
    </row>
    <row r="506" spans="1:2" ht="15.75" customHeight="1">
      <c r="A506" s="24"/>
      <c r="B506" s="37"/>
    </row>
    <row r="507" spans="1:2" ht="15.75" customHeight="1">
      <c r="A507" s="24"/>
      <c r="B507" s="37"/>
    </row>
    <row r="508" spans="1:2" ht="15.75" customHeight="1">
      <c r="A508" s="24"/>
      <c r="B508" s="37"/>
    </row>
    <row r="509" spans="1:2" ht="15.75" customHeight="1">
      <c r="A509" s="24"/>
      <c r="B509" s="37"/>
    </row>
    <row r="510" spans="1:2" ht="15.75" customHeight="1">
      <c r="A510" s="24"/>
      <c r="B510" s="37"/>
    </row>
    <row r="511" spans="1:2" ht="15.75" customHeight="1">
      <c r="A511" s="24"/>
      <c r="B511" s="37"/>
    </row>
    <row r="512" spans="1:2" ht="15.75" customHeight="1">
      <c r="A512" s="24"/>
      <c r="B512" s="37"/>
    </row>
    <row r="513" spans="1:2" ht="15.75" customHeight="1">
      <c r="A513" s="24"/>
      <c r="B513" s="37"/>
    </row>
    <row r="514" spans="1:2" ht="15.75" customHeight="1">
      <c r="A514" s="24"/>
      <c r="B514" s="37"/>
    </row>
    <row r="515" spans="1:2" ht="15.75" customHeight="1">
      <c r="A515" s="24"/>
      <c r="B515" s="37"/>
    </row>
    <row r="516" spans="1:2" ht="15.75" customHeight="1">
      <c r="A516" s="24"/>
      <c r="B516" s="37"/>
    </row>
    <row r="517" spans="1:2" ht="15.75" customHeight="1">
      <c r="A517" s="24"/>
      <c r="B517" s="37"/>
    </row>
    <row r="518" spans="1:2" ht="15.75" customHeight="1">
      <c r="A518" s="24"/>
      <c r="B518" s="37"/>
    </row>
    <row r="519" spans="1:2" ht="15.75" customHeight="1">
      <c r="A519" s="24"/>
      <c r="B519" s="37"/>
    </row>
    <row r="520" spans="1:2" ht="15.75" customHeight="1">
      <c r="A520" s="24"/>
      <c r="B520" s="37"/>
    </row>
    <row r="521" spans="1:2" ht="15.75" customHeight="1">
      <c r="A521" s="24"/>
      <c r="B521" s="37"/>
    </row>
    <row r="522" spans="1:2" ht="15.75" customHeight="1">
      <c r="A522" s="24"/>
      <c r="B522" s="37"/>
    </row>
    <row r="523" spans="1:2" ht="15.75" customHeight="1">
      <c r="A523" s="24"/>
      <c r="B523" s="37"/>
    </row>
    <row r="524" spans="1:2" ht="15.75" customHeight="1">
      <c r="A524" s="24"/>
      <c r="B524" s="37"/>
    </row>
    <row r="525" spans="1:2" ht="15.75" customHeight="1">
      <c r="A525" s="24"/>
      <c r="B525" s="37"/>
    </row>
    <row r="526" spans="1:2" ht="15.75" customHeight="1">
      <c r="A526" s="24"/>
      <c r="B526" s="37"/>
    </row>
    <row r="527" spans="1:2" ht="15.75" customHeight="1">
      <c r="A527" s="24"/>
      <c r="B527" s="37"/>
    </row>
    <row r="528" spans="1:2" ht="15.75" customHeight="1">
      <c r="A528" s="24"/>
      <c r="B528" s="37"/>
    </row>
    <row r="529" spans="1:2" ht="15.75" customHeight="1">
      <c r="A529" s="24"/>
      <c r="B529" s="37"/>
    </row>
    <row r="530" spans="1:2" ht="15.75" customHeight="1">
      <c r="A530" s="24"/>
      <c r="B530" s="37"/>
    </row>
    <row r="531" spans="1:2" ht="15.75" customHeight="1">
      <c r="A531" s="24"/>
      <c r="B531" s="37"/>
    </row>
    <row r="532" spans="1:2" ht="15.75" customHeight="1">
      <c r="A532" s="24"/>
      <c r="B532" s="37"/>
    </row>
    <row r="533" spans="1:2" ht="15.75" customHeight="1">
      <c r="A533" s="24"/>
      <c r="B533" s="37"/>
    </row>
    <row r="534" spans="1:2" ht="15.75" customHeight="1">
      <c r="A534" s="24"/>
      <c r="B534" s="37"/>
    </row>
    <row r="535" spans="1:2" ht="15.75" customHeight="1">
      <c r="A535" s="24"/>
      <c r="B535" s="37"/>
    </row>
    <row r="536" spans="1:2" ht="15.75" customHeight="1">
      <c r="A536" s="24"/>
      <c r="B536" s="37"/>
    </row>
    <row r="537" spans="1:2" ht="15.75" customHeight="1">
      <c r="A537" s="24"/>
      <c r="B537" s="37"/>
    </row>
    <row r="538" spans="1:2" ht="15.75" customHeight="1">
      <c r="A538" s="24"/>
      <c r="B538" s="37"/>
    </row>
    <row r="539" spans="1:2" ht="15.75" customHeight="1">
      <c r="A539" s="24"/>
      <c r="B539" s="37"/>
    </row>
    <row r="540" spans="1:2" ht="15.75" customHeight="1">
      <c r="A540" s="24"/>
      <c r="B540" s="37"/>
    </row>
    <row r="541" spans="1:2" ht="15.75" customHeight="1">
      <c r="A541" s="24"/>
      <c r="B541" s="37"/>
    </row>
    <row r="542" spans="1:2" ht="15.75" customHeight="1">
      <c r="A542" s="24"/>
      <c r="B542" s="37"/>
    </row>
    <row r="543" spans="1:2" ht="15.75" customHeight="1">
      <c r="A543" s="24"/>
      <c r="B543" s="37"/>
    </row>
    <row r="544" spans="1:2" ht="15.75" customHeight="1">
      <c r="A544" s="24"/>
      <c r="B544" s="37"/>
    </row>
    <row r="545" spans="1:2" ht="15.75" customHeight="1">
      <c r="A545" s="24"/>
      <c r="B545" s="37"/>
    </row>
    <row r="546" spans="1:2" ht="15.75" customHeight="1">
      <c r="A546" s="24"/>
    </row>
    <row r="547" spans="1:2" ht="15.75" customHeight="1">
      <c r="A547" s="24"/>
    </row>
    <row r="548" spans="1:2" ht="15.75" customHeight="1">
      <c r="A548" s="24"/>
    </row>
    <row r="549" spans="1:2" ht="15.75" customHeight="1">
      <c r="A549" s="24"/>
    </row>
    <row r="550" spans="1:2" ht="15.75" customHeight="1">
      <c r="A550" s="24"/>
    </row>
    <row r="551" spans="1:2" ht="15.75" customHeight="1">
      <c r="A551" s="24"/>
    </row>
    <row r="552" spans="1:2" ht="15.75" customHeight="1">
      <c r="A552" s="24"/>
    </row>
    <row r="553" spans="1:2" ht="15.75" customHeight="1">
      <c r="A553" s="24"/>
    </row>
    <row r="554" spans="1:2" ht="15.75" customHeight="1">
      <c r="A554" s="24"/>
    </row>
    <row r="555" spans="1:2" ht="15.75" customHeight="1">
      <c r="A555" s="24"/>
    </row>
    <row r="556" spans="1:2" ht="15.75" customHeight="1">
      <c r="A556" s="24"/>
    </row>
    <row r="557" spans="1:2" ht="15.75" customHeight="1">
      <c r="A557" s="24"/>
    </row>
    <row r="558" spans="1:2" ht="15.75" customHeight="1">
      <c r="A558" s="24"/>
    </row>
    <row r="559" spans="1:2" ht="15.75" customHeight="1">
      <c r="A559" s="24"/>
    </row>
    <row r="560" spans="1:2" ht="15.75" customHeight="1">
      <c r="A560" s="24"/>
    </row>
    <row r="561" spans="1:1" ht="15.75" customHeight="1">
      <c r="A561" s="24"/>
    </row>
    <row r="562" spans="1:1" ht="15.75" customHeight="1">
      <c r="A562" s="24"/>
    </row>
    <row r="563" spans="1:1" ht="15.75" customHeight="1">
      <c r="A563" s="24"/>
    </row>
    <row r="564" spans="1:1" ht="15.75" customHeight="1">
      <c r="A564" s="24"/>
    </row>
    <row r="565" spans="1:1" ht="15.75" customHeight="1">
      <c r="A565" s="24"/>
    </row>
    <row r="566" spans="1:1" ht="15.75" customHeight="1">
      <c r="A566" s="24"/>
    </row>
    <row r="567" spans="1:1" ht="15.75" customHeight="1">
      <c r="A567" s="24"/>
    </row>
    <row r="568" spans="1:1" ht="15.75" customHeight="1">
      <c r="A568" s="24"/>
    </row>
    <row r="569" spans="1:1" ht="15.75" customHeight="1">
      <c r="A569" s="24"/>
    </row>
    <row r="570" spans="1:1" ht="15.75" customHeight="1">
      <c r="A570" s="24"/>
    </row>
    <row r="571" spans="1:1" ht="15.75" customHeight="1">
      <c r="A571" s="24"/>
    </row>
    <row r="572" spans="1:1" ht="15.75" customHeight="1">
      <c r="A572" s="24"/>
    </row>
    <row r="573" spans="1:1" ht="15.75" customHeight="1">
      <c r="A573" s="24"/>
    </row>
    <row r="574" spans="1:1" ht="15.75" customHeight="1">
      <c r="A574" s="24"/>
    </row>
    <row r="575" spans="1:1" ht="15.75" customHeight="1">
      <c r="A575" s="24"/>
    </row>
    <row r="576" spans="1:1" ht="15.75" customHeight="1">
      <c r="A576" s="24"/>
    </row>
    <row r="577" spans="1:1" ht="15.75" customHeight="1">
      <c r="A577" s="24"/>
    </row>
    <row r="578" spans="1:1" ht="15.75" customHeight="1">
      <c r="A578" s="24"/>
    </row>
    <row r="579" spans="1:1" ht="15.75" customHeight="1">
      <c r="A579" s="24"/>
    </row>
    <row r="580" spans="1:1" ht="15.75" customHeight="1">
      <c r="A580" s="24"/>
    </row>
    <row r="581" spans="1:1" ht="15.75" customHeight="1">
      <c r="A581" s="24"/>
    </row>
    <row r="582" spans="1:1" ht="15.75" customHeight="1">
      <c r="A582" s="24"/>
    </row>
    <row r="583" spans="1:1" ht="15.75" customHeight="1">
      <c r="A583" s="24"/>
    </row>
    <row r="584" spans="1:1" ht="15.75" customHeight="1">
      <c r="A584" s="24"/>
    </row>
    <row r="585" spans="1:1" ht="15.75" customHeight="1">
      <c r="A585" s="24"/>
    </row>
    <row r="586" spans="1:1" ht="15.75" customHeight="1">
      <c r="A586" s="24"/>
    </row>
    <row r="587" spans="1:1" ht="15.75" customHeight="1">
      <c r="A587" s="24"/>
    </row>
    <row r="588" spans="1:1" ht="15.75" customHeight="1">
      <c r="A588" s="24"/>
    </row>
    <row r="589" spans="1:1" ht="15.75" customHeight="1">
      <c r="A589" s="24"/>
    </row>
    <row r="590" spans="1:1" ht="15.75" customHeight="1">
      <c r="A590" s="24"/>
    </row>
    <row r="591" spans="1:1" ht="15.75" customHeight="1">
      <c r="A591" s="24"/>
    </row>
    <row r="592" spans="1:1" ht="15.75" customHeight="1">
      <c r="A592" s="24"/>
    </row>
    <row r="593" spans="1:1" ht="15.75" customHeight="1">
      <c r="A593" s="24"/>
    </row>
    <row r="594" spans="1:1" ht="15.75" customHeight="1">
      <c r="A594" s="24"/>
    </row>
    <row r="595" spans="1:1" ht="15.75" customHeight="1">
      <c r="A595" s="24"/>
    </row>
    <row r="596" spans="1:1" ht="15.75" customHeight="1">
      <c r="A596" s="24"/>
    </row>
    <row r="597" spans="1:1" ht="15.75" customHeight="1">
      <c r="A597" s="24"/>
    </row>
    <row r="598" spans="1:1" ht="15.75" customHeight="1">
      <c r="A598" s="24"/>
    </row>
    <row r="599" spans="1:1" ht="15.75" customHeight="1">
      <c r="A599" s="24"/>
    </row>
    <row r="600" spans="1:1" ht="15.75" customHeight="1">
      <c r="A600" s="24"/>
    </row>
    <row r="601" spans="1:1" ht="15.75" customHeight="1">
      <c r="A601" s="24"/>
    </row>
    <row r="602" spans="1:1" ht="15.75" customHeight="1">
      <c r="A602" s="24"/>
    </row>
    <row r="603" spans="1:1" ht="15.75" customHeight="1">
      <c r="A603" s="24"/>
    </row>
    <row r="604" spans="1:1" ht="15.75" customHeight="1">
      <c r="A604" s="24"/>
    </row>
    <row r="605" spans="1:1" ht="15.75" customHeight="1">
      <c r="A605" s="24"/>
    </row>
    <row r="606" spans="1:1" ht="15.75" customHeight="1">
      <c r="A606" s="24"/>
    </row>
    <row r="607" spans="1:1" ht="15.75" customHeight="1">
      <c r="A607" s="24"/>
    </row>
    <row r="608" spans="1:1" ht="15.75" customHeight="1">
      <c r="A608" s="24"/>
    </row>
    <row r="609" spans="1:1" ht="15.75" customHeight="1">
      <c r="A609" s="24"/>
    </row>
    <row r="610" spans="1:1" ht="15.75" customHeight="1">
      <c r="A610" s="24"/>
    </row>
    <row r="611" spans="1:1" ht="15.75" customHeight="1">
      <c r="A611" s="24"/>
    </row>
    <row r="612" spans="1:1" ht="15.75" customHeight="1">
      <c r="A612" s="24"/>
    </row>
    <row r="613" spans="1:1" ht="15.75" customHeight="1">
      <c r="A613" s="24"/>
    </row>
    <row r="614" spans="1:1" ht="15.75" customHeight="1">
      <c r="A614" s="24"/>
    </row>
    <row r="615" spans="1:1" ht="15.75" customHeight="1">
      <c r="A615" s="24"/>
    </row>
    <row r="616" spans="1:1" ht="15.75" customHeight="1">
      <c r="A616" s="24"/>
    </row>
    <row r="617" spans="1:1" ht="15.75" customHeight="1">
      <c r="A617" s="24"/>
    </row>
    <row r="618" spans="1:1" ht="15.75" customHeight="1">
      <c r="A618" s="24"/>
    </row>
    <row r="619" spans="1:1" ht="15.75" customHeight="1">
      <c r="A619" s="24"/>
    </row>
    <row r="620" spans="1:1" ht="15.75" customHeight="1">
      <c r="A620" s="24"/>
    </row>
    <row r="621" spans="1:1" ht="15.75" customHeight="1">
      <c r="A621" s="24"/>
    </row>
    <row r="622" spans="1:1" ht="15.75" customHeight="1">
      <c r="A622" s="24"/>
    </row>
    <row r="623" spans="1:1" ht="15.75" customHeight="1">
      <c r="A623" s="24"/>
    </row>
    <row r="624" spans="1:1" ht="15.75" customHeight="1">
      <c r="A624" s="24"/>
    </row>
    <row r="625" spans="1:1" ht="15.75" customHeight="1">
      <c r="A625" s="24"/>
    </row>
    <row r="626" spans="1:1" ht="15.75" customHeight="1">
      <c r="A626" s="24"/>
    </row>
    <row r="627" spans="1:1" ht="15.75" customHeight="1">
      <c r="A627" s="24"/>
    </row>
    <row r="628" spans="1:1" ht="15.75" customHeight="1">
      <c r="A628" s="24"/>
    </row>
    <row r="629" spans="1:1" ht="15.75" customHeight="1">
      <c r="A629" s="24"/>
    </row>
    <row r="630" spans="1:1" ht="15.75" customHeight="1">
      <c r="A630" s="24"/>
    </row>
    <row r="631" spans="1:1" ht="15.75" customHeight="1">
      <c r="A631" s="24"/>
    </row>
    <row r="632" spans="1:1" ht="15.75" customHeight="1">
      <c r="A632" s="24"/>
    </row>
    <row r="633" spans="1:1" ht="15.75" customHeight="1">
      <c r="A633" s="24"/>
    </row>
    <row r="634" spans="1:1" ht="15.75" customHeight="1">
      <c r="A634" s="24"/>
    </row>
    <row r="635" spans="1:1" ht="15.75" customHeight="1">
      <c r="A635" s="24"/>
    </row>
    <row r="636" spans="1:1" ht="15.75" customHeight="1">
      <c r="A636" s="24"/>
    </row>
    <row r="637" spans="1:1" ht="15.75" customHeight="1">
      <c r="A637" s="24"/>
    </row>
    <row r="638" spans="1:1" ht="15.75" customHeight="1">
      <c r="A638" s="24"/>
    </row>
    <row r="639" spans="1:1" ht="15.75" customHeight="1">
      <c r="A639" s="24"/>
    </row>
    <row r="640" spans="1:1" ht="15.75" customHeight="1">
      <c r="A640" s="24"/>
    </row>
    <row r="641" spans="1:1" ht="15.75" customHeight="1">
      <c r="A641" s="24"/>
    </row>
    <row r="642" spans="1:1" ht="15.75" customHeight="1">
      <c r="A642" s="24"/>
    </row>
    <row r="643" spans="1:1" ht="15.75" customHeight="1">
      <c r="A643" s="24"/>
    </row>
    <row r="644" spans="1:1" ht="15.75" customHeight="1">
      <c r="A644" s="24"/>
    </row>
    <row r="645" spans="1:1" ht="15.75" customHeight="1">
      <c r="A645" s="24"/>
    </row>
    <row r="646" spans="1:1" ht="15.75" customHeight="1">
      <c r="A646" s="24"/>
    </row>
    <row r="647" spans="1:1" ht="15.75" customHeight="1">
      <c r="A647" s="24"/>
    </row>
    <row r="648" spans="1:1" ht="15.75" customHeight="1">
      <c r="A648" s="24"/>
    </row>
    <row r="649" spans="1:1" ht="15.75" customHeight="1">
      <c r="A649" s="24"/>
    </row>
    <row r="650" spans="1:1" ht="15.75" customHeight="1">
      <c r="A650" s="24"/>
    </row>
    <row r="651" spans="1:1" ht="15.75" customHeight="1">
      <c r="A651" s="24"/>
    </row>
    <row r="652" spans="1:1" ht="15.75" customHeight="1">
      <c r="A652" s="24"/>
    </row>
    <row r="653" spans="1:1" ht="15.75" customHeight="1">
      <c r="A653" s="24"/>
    </row>
    <row r="654" spans="1:1" ht="15.75" customHeight="1">
      <c r="A654" s="24"/>
    </row>
    <row r="655" spans="1:1" ht="15.75" customHeight="1">
      <c r="A655" s="24"/>
    </row>
    <row r="656" spans="1:1" ht="15.75" customHeight="1">
      <c r="A656" s="24"/>
    </row>
    <row r="657" spans="1:1" ht="15.75" customHeight="1">
      <c r="A657" s="24"/>
    </row>
    <row r="658" spans="1:1" ht="15.75" customHeight="1">
      <c r="A658" s="24"/>
    </row>
    <row r="659" spans="1:1" ht="15.75" customHeight="1">
      <c r="A659" s="24"/>
    </row>
    <row r="660" spans="1:1" ht="15.75" customHeight="1">
      <c r="A660" s="24"/>
    </row>
    <row r="661" spans="1:1" ht="15.75" customHeight="1">
      <c r="A661" s="24"/>
    </row>
    <row r="662" spans="1:1" ht="15.75" customHeight="1">
      <c r="A662" s="24"/>
    </row>
    <row r="663" spans="1:1" ht="15.75" customHeight="1">
      <c r="A663" s="24"/>
    </row>
    <row r="664" spans="1:1" ht="15.75" customHeight="1">
      <c r="A664" s="24"/>
    </row>
    <row r="665" spans="1:1" ht="15.75" customHeight="1">
      <c r="A665" s="24"/>
    </row>
    <row r="666" spans="1:1" ht="15.75" customHeight="1">
      <c r="A666" s="24"/>
    </row>
    <row r="667" spans="1:1" ht="15.75" customHeight="1">
      <c r="A667" s="24"/>
    </row>
    <row r="668" spans="1:1" ht="15.75" customHeight="1">
      <c r="A668" s="24"/>
    </row>
    <row r="669" spans="1:1" ht="15.75" customHeight="1">
      <c r="A669" s="24"/>
    </row>
    <row r="670" spans="1:1" ht="15.75" customHeight="1">
      <c r="A670" s="24"/>
    </row>
    <row r="671" spans="1:1" ht="15.75" customHeight="1">
      <c r="A671" s="24"/>
    </row>
    <row r="672" spans="1:1" ht="15.75" customHeight="1">
      <c r="A672" s="24"/>
    </row>
    <row r="673" spans="1:1" ht="15.75" customHeight="1">
      <c r="A673" s="24"/>
    </row>
    <row r="674" spans="1:1" ht="15.75" customHeight="1">
      <c r="A674" s="24"/>
    </row>
    <row r="675" spans="1:1" ht="15.75" customHeight="1">
      <c r="A675" s="24"/>
    </row>
    <row r="676" spans="1:1" ht="15.75" customHeight="1">
      <c r="A676" s="24"/>
    </row>
    <row r="677" spans="1:1" ht="15.75" customHeight="1">
      <c r="A677" s="24"/>
    </row>
    <row r="678" spans="1:1" ht="15.75" customHeight="1">
      <c r="A678" s="24"/>
    </row>
    <row r="679" spans="1:1" ht="15.75" customHeight="1">
      <c r="A679" s="24"/>
    </row>
    <row r="680" spans="1:1" ht="15.75" customHeight="1">
      <c r="A680" s="24"/>
    </row>
    <row r="681" spans="1:1" ht="15.75" customHeight="1">
      <c r="A681" s="24"/>
    </row>
    <row r="682" spans="1:1" ht="15.75" customHeight="1">
      <c r="A682" s="24"/>
    </row>
    <row r="683" spans="1:1" ht="15.75" customHeight="1">
      <c r="A683" s="24"/>
    </row>
    <row r="684" spans="1:1" ht="15.75" customHeight="1">
      <c r="A684" s="24"/>
    </row>
    <row r="685" spans="1:1" ht="15.75" customHeight="1">
      <c r="A685" s="24"/>
    </row>
    <row r="686" spans="1:1" ht="15.75" customHeight="1">
      <c r="A686" s="24"/>
    </row>
    <row r="687" spans="1:1" ht="15.75" customHeight="1">
      <c r="A687" s="24"/>
    </row>
    <row r="688" spans="1:1" ht="15.75" customHeight="1">
      <c r="A688" s="24"/>
    </row>
    <row r="689" spans="1:1" ht="15.75" customHeight="1">
      <c r="A689" s="24"/>
    </row>
    <row r="690" spans="1:1" ht="15.75" customHeight="1">
      <c r="A690" s="24"/>
    </row>
    <row r="691" spans="1:1" ht="15.75" customHeight="1">
      <c r="A691" s="24"/>
    </row>
    <row r="692" spans="1:1" ht="15.75" customHeight="1">
      <c r="A692" s="24"/>
    </row>
    <row r="693" spans="1:1" ht="15.75" customHeight="1">
      <c r="A693" s="24"/>
    </row>
    <row r="694" spans="1:1" ht="15.75" customHeight="1">
      <c r="A694" s="24"/>
    </row>
    <row r="695" spans="1:1" ht="15.75" customHeight="1">
      <c r="A695" s="24"/>
    </row>
    <row r="696" spans="1:1" ht="15.75" customHeight="1">
      <c r="A696" s="24"/>
    </row>
    <row r="697" spans="1:1" ht="15.75" customHeight="1">
      <c r="A697" s="24"/>
    </row>
    <row r="698" spans="1:1" ht="15.75" customHeight="1">
      <c r="A698" s="24"/>
    </row>
    <row r="699" spans="1:1" ht="15.75" customHeight="1">
      <c r="A699" s="24"/>
    </row>
    <row r="700" spans="1:1" ht="15.75" customHeight="1">
      <c r="A700" s="24"/>
    </row>
    <row r="701" spans="1:1" ht="15.75" customHeight="1">
      <c r="A701" s="24"/>
    </row>
    <row r="702" spans="1:1" ht="15.75" customHeight="1">
      <c r="A702" s="24"/>
    </row>
    <row r="703" spans="1:1" ht="15.75" customHeight="1">
      <c r="A703" s="24"/>
    </row>
    <row r="704" spans="1:1" ht="15.75" customHeight="1">
      <c r="A704" s="24"/>
    </row>
    <row r="705" spans="1:1" ht="15.75" customHeight="1">
      <c r="A705" s="24"/>
    </row>
    <row r="706" spans="1:1" ht="15.75" customHeight="1">
      <c r="A706" s="24"/>
    </row>
    <row r="707" spans="1:1" ht="15.75" customHeight="1">
      <c r="A707" s="24"/>
    </row>
    <row r="708" spans="1:1" ht="15.75" customHeight="1">
      <c r="A708" s="24"/>
    </row>
    <row r="709" spans="1:1" ht="15.75" customHeight="1">
      <c r="A709" s="24"/>
    </row>
    <row r="710" spans="1:1" ht="15.75" customHeight="1">
      <c r="A710" s="24"/>
    </row>
    <row r="711" spans="1:1" ht="15.75" customHeight="1">
      <c r="A711" s="24"/>
    </row>
    <row r="712" spans="1:1" ht="15.75" customHeight="1">
      <c r="A712" s="24"/>
    </row>
    <row r="713" spans="1:1" ht="15.75" customHeight="1">
      <c r="A713" s="24"/>
    </row>
    <row r="714" spans="1:1" ht="15.75" customHeight="1">
      <c r="A714" s="24"/>
    </row>
    <row r="715" spans="1:1" ht="15.75" customHeight="1">
      <c r="A715" s="24"/>
    </row>
    <row r="716" spans="1:1" ht="15.75" customHeight="1">
      <c r="A716" s="24"/>
    </row>
    <row r="717" spans="1:1" ht="15.75" customHeight="1">
      <c r="A717" s="24"/>
    </row>
    <row r="718" spans="1:1" ht="15.75" customHeight="1">
      <c r="A718" s="24"/>
    </row>
    <row r="719" spans="1:1" ht="15.75" customHeight="1">
      <c r="A719" s="24"/>
    </row>
    <row r="720" spans="1:1" ht="15.75" customHeight="1">
      <c r="A720" s="24"/>
    </row>
    <row r="721" spans="1:1" ht="15.75" customHeight="1">
      <c r="A721" s="24"/>
    </row>
    <row r="722" spans="1:1" ht="15.75" customHeight="1">
      <c r="A722" s="24"/>
    </row>
    <row r="723" spans="1:1" ht="15.75" customHeight="1">
      <c r="A723" s="24"/>
    </row>
    <row r="724" spans="1:1" ht="15.75" customHeight="1">
      <c r="A724" s="24"/>
    </row>
    <row r="725" spans="1:1" ht="15.75" customHeight="1">
      <c r="A725" s="24"/>
    </row>
    <row r="726" spans="1:1" ht="15.75" customHeight="1">
      <c r="A726" s="24"/>
    </row>
    <row r="727" spans="1:1" ht="15.75" customHeight="1">
      <c r="A727" s="24"/>
    </row>
    <row r="728" spans="1:1" ht="15.75" customHeight="1">
      <c r="A728" s="24"/>
    </row>
    <row r="729" spans="1:1" ht="15.75" customHeight="1">
      <c r="A729" s="24"/>
    </row>
    <row r="730" spans="1:1" ht="15.75" customHeight="1">
      <c r="A730" s="24"/>
    </row>
    <row r="731" spans="1:1" ht="15.75" customHeight="1">
      <c r="A731" s="24"/>
    </row>
    <row r="732" spans="1:1" ht="15.75" customHeight="1">
      <c r="A732" s="24"/>
    </row>
    <row r="733" spans="1:1" ht="15.75" customHeight="1">
      <c r="A733" s="24"/>
    </row>
    <row r="734" spans="1:1" ht="15.75" customHeight="1">
      <c r="A734" s="24"/>
    </row>
    <row r="735" spans="1:1" ht="15.75" customHeight="1">
      <c r="A735" s="24"/>
    </row>
    <row r="736" spans="1:1" ht="15.75" customHeight="1">
      <c r="A736" s="24"/>
    </row>
    <row r="737" spans="1:1" ht="15.75" customHeight="1">
      <c r="A737" s="24"/>
    </row>
    <row r="738" spans="1:1" ht="15.75" customHeight="1">
      <c r="A738" s="24"/>
    </row>
    <row r="739" spans="1:1" ht="15.75" customHeight="1">
      <c r="A739" s="24"/>
    </row>
    <row r="740" spans="1:1" ht="15.75" customHeight="1">
      <c r="A740" s="24"/>
    </row>
    <row r="741" spans="1:1" ht="15.75" customHeight="1">
      <c r="A741" s="24"/>
    </row>
    <row r="742" spans="1:1" ht="15.75" customHeight="1">
      <c r="A742" s="24"/>
    </row>
    <row r="743" spans="1:1" ht="15.75" customHeight="1">
      <c r="A743" s="24"/>
    </row>
    <row r="744" spans="1:1" ht="15.75" customHeight="1">
      <c r="A744" s="24"/>
    </row>
    <row r="745" spans="1:1" ht="15.75" customHeight="1">
      <c r="A745" s="24"/>
    </row>
    <row r="746" spans="1:1" ht="15.75" customHeight="1">
      <c r="A746" s="24"/>
    </row>
    <row r="747" spans="1:1" ht="15.75" customHeight="1">
      <c r="A747" s="24"/>
    </row>
    <row r="748" spans="1:1" ht="15.75" customHeight="1">
      <c r="A748" s="24"/>
    </row>
    <row r="749" spans="1:1" ht="15.75" customHeight="1">
      <c r="A749" s="24"/>
    </row>
    <row r="750" spans="1:1" ht="15.75" customHeight="1">
      <c r="A750" s="24"/>
    </row>
    <row r="751" spans="1:1" ht="15.75" customHeight="1">
      <c r="A751" s="24"/>
    </row>
    <row r="752" spans="1:1" ht="15.75" customHeight="1">
      <c r="A752" s="24"/>
    </row>
    <row r="753" spans="1:1" ht="15.75" customHeight="1">
      <c r="A753" s="24"/>
    </row>
    <row r="754" spans="1:1" ht="15.75" customHeight="1">
      <c r="A754" s="24"/>
    </row>
    <row r="755" spans="1:1" ht="15.75" customHeight="1">
      <c r="A755" s="24"/>
    </row>
    <row r="756" spans="1:1" ht="15.75" customHeight="1">
      <c r="A756" s="24"/>
    </row>
    <row r="757" spans="1:1" ht="15.75" customHeight="1">
      <c r="A757" s="24"/>
    </row>
    <row r="758" spans="1:1" ht="15.75" customHeight="1">
      <c r="A758" s="24"/>
    </row>
    <row r="759" spans="1:1" ht="15.75" customHeight="1">
      <c r="A759" s="24"/>
    </row>
    <row r="760" spans="1:1" ht="15.75" customHeight="1">
      <c r="A760" s="24"/>
    </row>
    <row r="761" spans="1:1" ht="15.75" customHeight="1">
      <c r="A761" s="24"/>
    </row>
    <row r="762" spans="1:1" ht="15.75" customHeight="1">
      <c r="A762" s="24"/>
    </row>
    <row r="763" spans="1:1" ht="15.75" customHeight="1">
      <c r="A763" s="24"/>
    </row>
    <row r="764" spans="1:1" ht="15.75" customHeight="1">
      <c r="A764" s="24"/>
    </row>
    <row r="765" spans="1:1" ht="15.75" customHeight="1">
      <c r="A765" s="24"/>
    </row>
    <row r="766" spans="1:1" ht="15.75" customHeight="1">
      <c r="A766" s="24"/>
    </row>
    <row r="767" spans="1:1" ht="15.75" customHeight="1">
      <c r="A767" s="24"/>
    </row>
    <row r="768" spans="1:1" ht="15.75" customHeight="1">
      <c r="A768" s="24"/>
    </row>
    <row r="769" spans="1:1" ht="15.75" customHeight="1">
      <c r="A769" s="24"/>
    </row>
    <row r="770" spans="1:1" ht="15.75" customHeight="1">
      <c r="A770" s="24"/>
    </row>
    <row r="771" spans="1:1" ht="15.75" customHeight="1">
      <c r="A771" s="24"/>
    </row>
    <row r="772" spans="1:1" ht="15.75" customHeight="1">
      <c r="A772" s="24"/>
    </row>
    <row r="773" spans="1:1" ht="15.75" customHeight="1">
      <c r="A773" s="24"/>
    </row>
    <row r="774" spans="1:1" ht="15.75" customHeight="1">
      <c r="A774" s="24"/>
    </row>
    <row r="775" spans="1:1" ht="15.75" customHeight="1">
      <c r="A775" s="24"/>
    </row>
    <row r="776" spans="1:1" ht="15.75" customHeight="1">
      <c r="A776" s="24"/>
    </row>
    <row r="777" spans="1:1" ht="15.75" customHeight="1">
      <c r="A777" s="24"/>
    </row>
    <row r="778" spans="1:1" ht="15.75" customHeight="1">
      <c r="A778" s="24"/>
    </row>
    <row r="779" spans="1:1" ht="15.75" customHeight="1">
      <c r="A779" s="24"/>
    </row>
    <row r="780" spans="1:1" ht="15.75" customHeight="1">
      <c r="A780" s="24"/>
    </row>
    <row r="781" spans="1:1" ht="15.75" customHeight="1">
      <c r="A781" s="24"/>
    </row>
    <row r="782" spans="1:1" ht="15.75" customHeight="1">
      <c r="A782" s="24"/>
    </row>
    <row r="783" spans="1:1" ht="15.75" customHeight="1">
      <c r="A783" s="24"/>
    </row>
    <row r="784" spans="1:1" ht="15.75" customHeight="1">
      <c r="A784" s="24"/>
    </row>
    <row r="785" spans="1:1" ht="15.75" customHeight="1">
      <c r="A785" s="24"/>
    </row>
    <row r="786" spans="1:1" ht="15.75" customHeight="1">
      <c r="A786" s="24"/>
    </row>
    <row r="787" spans="1:1" ht="15.75" customHeight="1">
      <c r="A787" s="24"/>
    </row>
    <row r="788" spans="1:1" ht="15.75" customHeight="1">
      <c r="A788" s="24"/>
    </row>
    <row r="789" spans="1:1" ht="15.75" customHeight="1">
      <c r="A789" s="24"/>
    </row>
    <row r="790" spans="1:1" ht="15.75" customHeight="1">
      <c r="A790" s="24"/>
    </row>
    <row r="791" spans="1:1" ht="15.75" customHeight="1">
      <c r="A791" s="24"/>
    </row>
    <row r="792" spans="1:1" ht="15.75" customHeight="1">
      <c r="A792" s="24"/>
    </row>
    <row r="793" spans="1:1" ht="15.75" customHeight="1">
      <c r="A793" s="24"/>
    </row>
    <row r="794" spans="1:1" ht="15.75" customHeight="1">
      <c r="A794" s="24"/>
    </row>
    <row r="795" spans="1:1" ht="15.75" customHeight="1">
      <c r="A795" s="24"/>
    </row>
    <row r="796" spans="1:1" ht="15.75" customHeight="1">
      <c r="A796" s="24"/>
    </row>
    <row r="797" spans="1:1" ht="15.75" customHeight="1">
      <c r="A797" s="24"/>
    </row>
    <row r="798" spans="1:1" ht="15.75" customHeight="1">
      <c r="A798" s="24"/>
    </row>
    <row r="799" spans="1:1" ht="15.75" customHeight="1">
      <c r="A799" s="24"/>
    </row>
    <row r="800" spans="1:1" ht="15.75" customHeight="1">
      <c r="A800" s="24"/>
    </row>
    <row r="801" spans="1:1" ht="15.75" customHeight="1">
      <c r="A801" s="24"/>
    </row>
    <row r="802" spans="1:1" ht="15.75" customHeight="1">
      <c r="A802" s="24"/>
    </row>
    <row r="803" spans="1:1" ht="15.75" customHeight="1">
      <c r="A803" s="24"/>
    </row>
    <row r="804" spans="1:1" ht="15.75" customHeight="1">
      <c r="A804" s="24"/>
    </row>
    <row r="805" spans="1:1" ht="15.75" customHeight="1">
      <c r="A805" s="24"/>
    </row>
    <row r="806" spans="1:1" ht="15.75" customHeight="1">
      <c r="A806" s="24"/>
    </row>
    <row r="807" spans="1:1" ht="15.75" customHeight="1">
      <c r="A807" s="24"/>
    </row>
    <row r="808" spans="1:1" ht="15.75" customHeight="1">
      <c r="A808" s="24"/>
    </row>
    <row r="809" spans="1:1" ht="15.75" customHeight="1">
      <c r="A809" s="24"/>
    </row>
    <row r="810" spans="1:1" ht="15.75" customHeight="1">
      <c r="A810" s="24"/>
    </row>
    <row r="811" spans="1:1" ht="15.75" customHeight="1">
      <c r="A811" s="24"/>
    </row>
    <row r="812" spans="1:1" ht="15.75" customHeight="1">
      <c r="A812" s="24"/>
    </row>
    <row r="813" spans="1:1" ht="15.75" customHeight="1">
      <c r="A813" s="24"/>
    </row>
    <row r="814" spans="1:1" ht="15.75" customHeight="1">
      <c r="A814" s="24"/>
    </row>
    <row r="815" spans="1:1" ht="15.75" customHeight="1">
      <c r="A815" s="24"/>
    </row>
    <row r="816" spans="1:1" ht="15.75" customHeight="1">
      <c r="A816" s="24"/>
    </row>
    <row r="817" spans="1:1" ht="15.75" customHeight="1">
      <c r="A817" s="24"/>
    </row>
    <row r="818" spans="1:1" ht="15.75" customHeight="1">
      <c r="A818" s="24"/>
    </row>
    <row r="819" spans="1:1" ht="15.75" customHeight="1">
      <c r="A819" s="24"/>
    </row>
    <row r="820" spans="1:1" ht="15.75" customHeight="1">
      <c r="A820" s="24"/>
    </row>
    <row r="821" spans="1:1" ht="15.75" customHeight="1">
      <c r="A821" s="24"/>
    </row>
    <row r="822" spans="1:1" ht="15.75" customHeight="1">
      <c r="A822" s="24"/>
    </row>
    <row r="823" spans="1:1" ht="15.75" customHeight="1">
      <c r="A823" s="24"/>
    </row>
    <row r="824" spans="1:1" ht="15.75" customHeight="1">
      <c r="A824" s="24"/>
    </row>
    <row r="825" spans="1:1" ht="15.75" customHeight="1">
      <c r="A825" s="24"/>
    </row>
    <row r="826" spans="1:1" ht="15.75" customHeight="1">
      <c r="A826" s="24"/>
    </row>
    <row r="827" spans="1:1" ht="15.75" customHeight="1">
      <c r="A827" s="24"/>
    </row>
    <row r="828" spans="1:1" ht="15.75" customHeight="1">
      <c r="A828" s="24"/>
    </row>
    <row r="829" spans="1:1" ht="15.75" customHeight="1">
      <c r="A829" s="24"/>
    </row>
    <row r="830" spans="1:1" ht="15.75" customHeight="1">
      <c r="A830" s="24"/>
    </row>
    <row r="831" spans="1:1" ht="15.75" customHeight="1">
      <c r="A831" s="24"/>
    </row>
    <row r="832" spans="1:1" ht="15.75" customHeight="1">
      <c r="A832" s="24"/>
    </row>
    <row r="833" spans="1:1" ht="15.75" customHeight="1">
      <c r="A833" s="24"/>
    </row>
    <row r="834" spans="1:1" ht="15.75" customHeight="1">
      <c r="A834" s="24"/>
    </row>
    <row r="835" spans="1:1" ht="15.75" customHeight="1">
      <c r="A835" s="24"/>
    </row>
    <row r="836" spans="1:1" ht="15.75" customHeight="1">
      <c r="A836" s="24"/>
    </row>
    <row r="837" spans="1:1" ht="15.75" customHeight="1">
      <c r="A837" s="24"/>
    </row>
    <row r="838" spans="1:1" ht="15.75" customHeight="1">
      <c r="A838" s="24"/>
    </row>
    <row r="839" spans="1:1" ht="15.75" customHeight="1">
      <c r="A839" s="24"/>
    </row>
    <row r="840" spans="1:1" ht="15.75" customHeight="1">
      <c r="A840" s="24"/>
    </row>
    <row r="841" spans="1:1" ht="15.75" customHeight="1">
      <c r="A841" s="24"/>
    </row>
    <row r="842" spans="1:1" ht="15.75" customHeight="1">
      <c r="A842" s="24"/>
    </row>
    <row r="843" spans="1:1" ht="15.75" customHeight="1">
      <c r="A843" s="24"/>
    </row>
    <row r="844" spans="1:1" ht="15.75" customHeight="1">
      <c r="A844" s="24"/>
    </row>
    <row r="845" spans="1:1" ht="15.75" customHeight="1">
      <c r="A845" s="24"/>
    </row>
    <row r="846" spans="1:1" ht="15.75" customHeight="1">
      <c r="A846" s="24"/>
    </row>
    <row r="847" spans="1:1" ht="15.75" customHeight="1">
      <c r="A847" s="24"/>
    </row>
    <row r="848" spans="1:1" ht="15.75" customHeight="1">
      <c r="A848" s="24"/>
    </row>
    <row r="849" spans="1:1" ht="15.75" customHeight="1">
      <c r="A849" s="24"/>
    </row>
    <row r="850" spans="1:1" ht="15.75" customHeight="1">
      <c r="A850" s="24"/>
    </row>
    <row r="851" spans="1:1" ht="15.75" customHeight="1">
      <c r="A851" s="24"/>
    </row>
    <row r="852" spans="1:1" ht="15.75" customHeight="1">
      <c r="A852" s="24"/>
    </row>
    <row r="853" spans="1:1" ht="15.75" customHeight="1">
      <c r="A853" s="24"/>
    </row>
    <row r="854" spans="1:1" ht="15.75" customHeight="1">
      <c r="A854" s="24"/>
    </row>
    <row r="855" spans="1:1" ht="15.75" customHeight="1">
      <c r="A855" s="24"/>
    </row>
    <row r="856" spans="1:1" ht="15.75" customHeight="1">
      <c r="A856" s="24"/>
    </row>
    <row r="857" spans="1:1" ht="15.75" customHeight="1">
      <c r="A857" s="24"/>
    </row>
    <row r="858" spans="1:1" ht="15.75" customHeight="1">
      <c r="A858" s="24"/>
    </row>
    <row r="859" spans="1:1" ht="15.75" customHeight="1">
      <c r="A859" s="24"/>
    </row>
    <row r="860" spans="1:1" ht="15.75" customHeight="1">
      <c r="A860" s="24"/>
    </row>
    <row r="861" spans="1:1" ht="15.75" customHeight="1">
      <c r="A861" s="24"/>
    </row>
    <row r="862" spans="1:1" ht="15.75" customHeight="1">
      <c r="A862" s="24"/>
    </row>
    <row r="863" spans="1:1" ht="15.75" customHeight="1">
      <c r="A863" s="24"/>
    </row>
    <row r="864" spans="1:1" ht="15.75" customHeight="1">
      <c r="A864" s="24"/>
    </row>
    <row r="865" spans="1:1" ht="15.75" customHeight="1">
      <c r="A865" s="24"/>
    </row>
    <row r="866" spans="1:1" ht="15.75" customHeight="1">
      <c r="A866" s="24"/>
    </row>
    <row r="867" spans="1:1" ht="15.75" customHeight="1">
      <c r="A867" s="24"/>
    </row>
    <row r="868" spans="1:1" ht="15.75" customHeight="1">
      <c r="A868" s="24"/>
    </row>
    <row r="869" spans="1:1" ht="15.75" customHeight="1">
      <c r="A869" s="24"/>
    </row>
    <row r="870" spans="1:1" ht="15.75" customHeight="1">
      <c r="A870" s="24"/>
    </row>
    <row r="871" spans="1:1" ht="15.75" customHeight="1">
      <c r="A871" s="24"/>
    </row>
    <row r="872" spans="1:1" ht="15.75" customHeight="1">
      <c r="A872" s="24"/>
    </row>
    <row r="873" spans="1:1" ht="15.75" customHeight="1">
      <c r="A873" s="24"/>
    </row>
    <row r="874" spans="1:1" ht="15.75" customHeight="1">
      <c r="A874" s="24"/>
    </row>
    <row r="875" spans="1:1" ht="15.75" customHeight="1">
      <c r="A875" s="24"/>
    </row>
    <row r="876" spans="1:1" ht="15.75" customHeight="1">
      <c r="A876" s="24"/>
    </row>
    <row r="877" spans="1:1" ht="15.75" customHeight="1">
      <c r="A877" s="24"/>
    </row>
    <row r="878" spans="1:1" ht="15.75" customHeight="1">
      <c r="A878" s="24"/>
    </row>
    <row r="879" spans="1:1" ht="15.75" customHeight="1">
      <c r="A879" s="24"/>
    </row>
    <row r="880" spans="1:1" ht="15.75" customHeight="1">
      <c r="A880" s="24"/>
    </row>
    <row r="881" spans="1:1" ht="15.75" customHeight="1">
      <c r="A881" s="24"/>
    </row>
    <row r="882" spans="1:1" ht="15.75" customHeight="1">
      <c r="A882" s="24"/>
    </row>
    <row r="883" spans="1:1" ht="15.75" customHeight="1">
      <c r="A883" s="24"/>
    </row>
    <row r="884" spans="1:1" ht="15.75" customHeight="1">
      <c r="A884" s="24"/>
    </row>
    <row r="885" spans="1:1" ht="15.75" customHeight="1">
      <c r="A885" s="24"/>
    </row>
    <row r="886" spans="1:1" ht="15.75" customHeight="1">
      <c r="A886" s="24"/>
    </row>
    <row r="887" spans="1:1" ht="15.75" customHeight="1">
      <c r="A887" s="24"/>
    </row>
    <row r="888" spans="1:1" ht="15.75" customHeight="1">
      <c r="A888" s="24"/>
    </row>
    <row r="889" spans="1:1" ht="15.75" customHeight="1">
      <c r="A889" s="24"/>
    </row>
    <row r="890" spans="1:1" ht="15.75" customHeight="1">
      <c r="A890" s="24"/>
    </row>
    <row r="891" spans="1:1" ht="15.75" customHeight="1">
      <c r="A891" s="24"/>
    </row>
    <row r="892" spans="1:1" ht="15.75" customHeight="1">
      <c r="A892" s="24"/>
    </row>
    <row r="893" spans="1:1" ht="15.75" customHeight="1">
      <c r="A893" s="24"/>
    </row>
    <row r="894" spans="1:1" ht="15.75" customHeight="1">
      <c r="A894" s="24"/>
    </row>
    <row r="895" spans="1:1" ht="15.75" customHeight="1">
      <c r="A895" s="24"/>
    </row>
    <row r="896" spans="1:1" ht="15.75" customHeight="1">
      <c r="A896" s="24"/>
    </row>
    <row r="897" spans="1:1" ht="15.75" customHeight="1">
      <c r="A897" s="24"/>
    </row>
    <row r="898" spans="1:1" ht="15.75" customHeight="1">
      <c r="A898" s="24"/>
    </row>
    <row r="899" spans="1:1" ht="15.75" customHeight="1">
      <c r="A899" s="24"/>
    </row>
    <row r="900" spans="1:1" ht="15.75" customHeight="1">
      <c r="A900" s="24"/>
    </row>
    <row r="901" spans="1:1" ht="15.75" customHeight="1">
      <c r="A901" s="24"/>
    </row>
    <row r="902" spans="1:1" ht="15.75" customHeight="1">
      <c r="A902" s="24"/>
    </row>
    <row r="903" spans="1:1" ht="15.75" customHeight="1">
      <c r="A903" s="24"/>
    </row>
    <row r="904" spans="1:1" ht="15.75" customHeight="1">
      <c r="A904" s="24"/>
    </row>
    <row r="905" spans="1:1" ht="15.75" customHeight="1">
      <c r="A905" s="24"/>
    </row>
    <row r="906" spans="1:1" ht="15.75" customHeight="1">
      <c r="A906" s="24"/>
    </row>
    <row r="907" spans="1:1" ht="15.75" customHeight="1">
      <c r="A907" s="24"/>
    </row>
    <row r="908" spans="1:1" ht="15.75" customHeight="1">
      <c r="A908" s="24"/>
    </row>
    <row r="909" spans="1:1" ht="15.75" customHeight="1">
      <c r="A909" s="24"/>
    </row>
    <row r="910" spans="1:1" ht="15.75" customHeight="1">
      <c r="A910" s="24"/>
    </row>
    <row r="911" spans="1:1" ht="15.75" customHeight="1">
      <c r="A911" s="24"/>
    </row>
    <row r="912" spans="1:1" ht="15.75" customHeight="1">
      <c r="A912" s="24"/>
    </row>
    <row r="913" spans="1:1" ht="15.75" customHeight="1">
      <c r="A913" s="24"/>
    </row>
    <row r="914" spans="1:1" ht="15.75" customHeight="1">
      <c r="A914" s="24"/>
    </row>
    <row r="915" spans="1:1" ht="15.75" customHeight="1">
      <c r="A915" s="24"/>
    </row>
    <row r="916" spans="1:1" ht="15.75" customHeight="1">
      <c r="A916" s="24"/>
    </row>
    <row r="917" spans="1:1" ht="15.75" customHeight="1">
      <c r="A917" s="24"/>
    </row>
    <row r="918" spans="1:1" ht="15.75" customHeight="1">
      <c r="A918" s="24"/>
    </row>
    <row r="919" spans="1:1" ht="15.75" customHeight="1">
      <c r="A919" s="24"/>
    </row>
    <row r="920" spans="1:1" ht="15.75" customHeight="1">
      <c r="A920" s="24"/>
    </row>
    <row r="921" spans="1:1" ht="15.75" customHeight="1">
      <c r="A921" s="24"/>
    </row>
    <row r="922" spans="1:1" ht="15.75" customHeight="1">
      <c r="A922" s="24"/>
    </row>
    <row r="923" spans="1:1" ht="15.75" customHeight="1">
      <c r="A923" s="24"/>
    </row>
    <row r="924" spans="1:1" ht="15.75" customHeight="1">
      <c r="A924" s="24"/>
    </row>
    <row r="925" spans="1:1" ht="15.75" customHeight="1">
      <c r="A925" s="24"/>
    </row>
    <row r="926" spans="1:1" ht="15.75" customHeight="1">
      <c r="A926" s="24"/>
    </row>
    <row r="927" spans="1:1" ht="15.75" customHeight="1">
      <c r="A927" s="24"/>
    </row>
    <row r="928" spans="1:1" ht="15.75" customHeight="1">
      <c r="A928" s="24"/>
    </row>
    <row r="929" spans="1:1" ht="15.75" customHeight="1">
      <c r="A929" s="24"/>
    </row>
    <row r="930" spans="1:1" ht="15.75" customHeight="1">
      <c r="A930" s="24"/>
    </row>
    <row r="931" spans="1:1" ht="15.75" customHeight="1">
      <c r="A931" s="24"/>
    </row>
    <row r="932" spans="1:1" ht="15.75" customHeight="1">
      <c r="A932" s="24"/>
    </row>
    <row r="933" spans="1:1" ht="15.75" customHeight="1">
      <c r="A933" s="24"/>
    </row>
    <row r="934" spans="1:1" ht="15.75" customHeight="1">
      <c r="A934" s="24"/>
    </row>
    <row r="935" spans="1:1" ht="15.75" customHeight="1">
      <c r="A935" s="24"/>
    </row>
    <row r="936" spans="1:1" ht="15.75" customHeight="1">
      <c r="A936" s="24"/>
    </row>
    <row r="937" spans="1:1" ht="15.75" customHeight="1">
      <c r="A937" s="24"/>
    </row>
    <row r="938" spans="1:1" ht="15.75" customHeight="1">
      <c r="A938" s="24"/>
    </row>
    <row r="939" spans="1:1" ht="15.75" customHeight="1">
      <c r="A939" s="24"/>
    </row>
    <row r="940" spans="1:1" ht="15.75" customHeight="1">
      <c r="A940" s="24"/>
    </row>
    <row r="941" spans="1:1" ht="15.75" customHeight="1">
      <c r="A941" s="24"/>
    </row>
    <row r="942" spans="1:1" ht="15.75" customHeight="1">
      <c r="A942" s="24"/>
    </row>
    <row r="943" spans="1:1" ht="15.75" customHeight="1">
      <c r="A943" s="24"/>
    </row>
    <row r="944" spans="1:1" ht="15.75" customHeight="1">
      <c r="A944" s="24"/>
    </row>
    <row r="945" spans="1:1" ht="15.75" customHeight="1">
      <c r="A945" s="24"/>
    </row>
    <row r="946" spans="1:1" ht="15.75" customHeight="1">
      <c r="A946" s="24"/>
    </row>
    <row r="947" spans="1:1" ht="15.75" customHeight="1">
      <c r="A947" s="24"/>
    </row>
    <row r="948" spans="1:1" ht="15.75" customHeight="1">
      <c r="A948" s="24"/>
    </row>
    <row r="949" spans="1:1" ht="15.75" customHeight="1">
      <c r="A949" s="24"/>
    </row>
    <row r="950" spans="1:1" ht="15.75" customHeight="1">
      <c r="A950" s="24"/>
    </row>
    <row r="951" spans="1:1" ht="15.75" customHeight="1">
      <c r="A951" s="24"/>
    </row>
    <row r="952" spans="1:1" ht="15.75" customHeight="1">
      <c r="A952" s="24"/>
    </row>
    <row r="953" spans="1:1" ht="15.75" customHeight="1">
      <c r="A953" s="24"/>
    </row>
    <row r="954" spans="1:1" ht="15.75" customHeight="1">
      <c r="A954" s="24"/>
    </row>
    <row r="955" spans="1:1" ht="15.75" customHeight="1">
      <c r="A955" s="24"/>
    </row>
    <row r="956" spans="1:1" ht="15.75" customHeight="1">
      <c r="A956" s="24"/>
    </row>
    <row r="957" spans="1:1" ht="15.75" customHeight="1">
      <c r="A957" s="24"/>
    </row>
    <row r="958" spans="1:1" ht="15.75" customHeight="1">
      <c r="A958" s="24"/>
    </row>
    <row r="959" spans="1:1" ht="15.75" customHeight="1">
      <c r="A959" s="24"/>
    </row>
    <row r="960" spans="1:1" ht="15.75" customHeight="1">
      <c r="A960" s="24"/>
    </row>
    <row r="961" spans="1:1" ht="15.75" customHeight="1">
      <c r="A961" s="24"/>
    </row>
    <row r="962" spans="1:1" ht="15.75" customHeight="1">
      <c r="A962" s="24"/>
    </row>
    <row r="963" spans="1:1" ht="15.75" customHeight="1">
      <c r="A963" s="24"/>
    </row>
    <row r="964" spans="1:1" ht="15.75" customHeight="1">
      <c r="A964" s="24"/>
    </row>
    <row r="965" spans="1:1" ht="15.75" customHeight="1">
      <c r="A965" s="24"/>
    </row>
    <row r="966" spans="1:1" ht="15.75" customHeight="1">
      <c r="A966" s="24"/>
    </row>
    <row r="967" spans="1:1" ht="15.75" customHeight="1">
      <c r="A967" s="24"/>
    </row>
    <row r="968" spans="1:1" ht="15.75" customHeight="1">
      <c r="A968" s="24"/>
    </row>
    <row r="969" spans="1:1" ht="15.75" customHeight="1">
      <c r="A969" s="24"/>
    </row>
    <row r="970" spans="1:1" ht="15.75" customHeight="1">
      <c r="A970" s="24"/>
    </row>
    <row r="971" spans="1:1" ht="15.75" customHeight="1">
      <c r="A971" s="24"/>
    </row>
    <row r="972" spans="1:1" ht="15.75" customHeight="1">
      <c r="A972" s="24"/>
    </row>
    <row r="973" spans="1:1" ht="15.75" customHeight="1">
      <c r="A973" s="24"/>
    </row>
    <row r="974" spans="1:1" ht="15.75" customHeight="1">
      <c r="A974" s="24"/>
    </row>
    <row r="975" spans="1:1" ht="15.75" customHeight="1">
      <c r="A975" s="24"/>
    </row>
    <row r="976" spans="1:1" ht="15.75" customHeight="1">
      <c r="A976" s="24"/>
    </row>
    <row r="977" spans="1:1" ht="15.75" customHeight="1">
      <c r="A977" s="24"/>
    </row>
    <row r="978" spans="1:1" ht="15.75" customHeight="1">
      <c r="A978" s="24"/>
    </row>
    <row r="979" spans="1:1" ht="15.75" customHeight="1">
      <c r="A979" s="24"/>
    </row>
    <row r="980" spans="1:1" ht="15.75" customHeight="1">
      <c r="A980" s="24"/>
    </row>
    <row r="981" spans="1:1" ht="15.75" customHeight="1">
      <c r="A981" s="24"/>
    </row>
    <row r="982" spans="1:1" ht="15.75" customHeight="1">
      <c r="A982" s="24"/>
    </row>
    <row r="983" spans="1:1" ht="15.75" customHeight="1">
      <c r="A983" s="24"/>
    </row>
    <row r="984" spans="1:1" ht="15.75" customHeight="1">
      <c r="A984" s="24"/>
    </row>
    <row r="985" spans="1:1" ht="15.75" customHeight="1">
      <c r="A985" s="24"/>
    </row>
    <row r="986" spans="1:1" ht="15.75" customHeight="1">
      <c r="A986" s="24"/>
    </row>
    <row r="987" spans="1:1" ht="15.75" customHeight="1">
      <c r="A987" s="24"/>
    </row>
    <row r="988" spans="1:1" ht="15.75" customHeight="1">
      <c r="A988" s="24"/>
    </row>
    <row r="989" spans="1:1" ht="15.75" customHeight="1">
      <c r="A989" s="24"/>
    </row>
    <row r="990" spans="1:1" ht="15.75" customHeight="1">
      <c r="A990" s="24"/>
    </row>
    <row r="991" spans="1:1" ht="15.75" customHeight="1">
      <c r="A991" s="24"/>
    </row>
    <row r="992" spans="1:1" ht="15.75" customHeight="1">
      <c r="A992" s="24"/>
    </row>
    <row r="993" spans="1:1" ht="15.75" customHeight="1">
      <c r="A993" s="24"/>
    </row>
    <row r="994" spans="1:1" ht="15.75" customHeight="1">
      <c r="A994" s="24"/>
    </row>
    <row r="995" spans="1:1" ht="15.75" customHeight="1">
      <c r="A995" s="24"/>
    </row>
    <row r="996" spans="1:1" ht="15.75" customHeight="1">
      <c r="A996" s="24"/>
    </row>
    <row r="997" spans="1:1" ht="15.75" customHeight="1">
      <c r="A997" s="24"/>
    </row>
    <row r="998" spans="1:1" ht="15.75" customHeight="1">
      <c r="A998" s="24"/>
    </row>
    <row r="999" spans="1:1" ht="15.75" customHeight="1">
      <c r="A999" s="24"/>
    </row>
    <row r="1000" spans="1:1" ht="15.75" customHeight="1">
      <c r="A1000" s="24"/>
    </row>
  </sheetData>
  <autoFilter ref="A1:D1" xr:uid="{00000000-0009-0000-0000-000003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D1000"/>
  <sheetViews>
    <sheetView workbookViewId="0"/>
  </sheetViews>
  <sheetFormatPr baseColWidth="10" defaultColWidth="12.59765625" defaultRowHeight="15" customHeight="1"/>
  <cols>
    <col min="1" max="1" width="12.59765625" customWidth="1"/>
    <col min="2" max="2" width="11.69921875" customWidth="1"/>
    <col min="3" max="3" width="18.19921875" customWidth="1"/>
    <col min="4" max="4" width="22.59765625" customWidth="1"/>
    <col min="5" max="6" width="9.3984375" customWidth="1"/>
  </cols>
  <sheetData>
    <row r="1" spans="1:4" ht="51.75" customHeight="1">
      <c r="A1" s="1" t="s">
        <v>0</v>
      </c>
      <c r="B1" s="2" t="s">
        <v>3</v>
      </c>
      <c r="C1" s="45" t="s">
        <v>460</v>
      </c>
      <c r="D1" s="45" t="s">
        <v>461</v>
      </c>
    </row>
    <row r="2" spans="1:4" ht="14.4">
      <c r="A2" s="7">
        <v>10101</v>
      </c>
      <c r="B2" s="8" t="s">
        <v>13</v>
      </c>
      <c r="C2" s="46">
        <v>222</v>
      </c>
      <c r="D2" s="46">
        <v>233</v>
      </c>
    </row>
    <row r="3" spans="1:4" ht="14.4">
      <c r="A3" s="7">
        <v>10102</v>
      </c>
      <c r="B3" s="8" t="s">
        <v>14</v>
      </c>
      <c r="C3" s="46">
        <v>10</v>
      </c>
      <c r="D3" s="46">
        <v>7</v>
      </c>
    </row>
    <row r="4" spans="1:4" ht="14.4">
      <c r="A4" s="7">
        <v>10103</v>
      </c>
      <c r="B4" s="8" t="s">
        <v>16</v>
      </c>
      <c r="C4" s="46">
        <v>36</v>
      </c>
      <c r="D4" s="46">
        <v>16</v>
      </c>
    </row>
    <row r="5" spans="1:4" ht="14.4">
      <c r="A5" s="7">
        <v>10201</v>
      </c>
      <c r="B5" s="8" t="s">
        <v>19</v>
      </c>
      <c r="C5" s="46">
        <v>12</v>
      </c>
      <c r="D5" s="46">
        <v>3</v>
      </c>
    </row>
    <row r="6" spans="1:4" ht="14.4">
      <c r="A6" s="7">
        <v>10202</v>
      </c>
      <c r="B6" s="8" t="s">
        <v>21</v>
      </c>
      <c r="C6" s="46">
        <v>24</v>
      </c>
      <c r="D6" s="46">
        <v>16</v>
      </c>
    </row>
    <row r="7" spans="1:4" ht="14.4">
      <c r="A7" s="7">
        <v>10301</v>
      </c>
      <c r="B7" s="8" t="s">
        <v>24</v>
      </c>
      <c r="C7" s="46">
        <v>13</v>
      </c>
      <c r="D7" s="46">
        <v>4</v>
      </c>
    </row>
    <row r="8" spans="1:4" ht="14.4">
      <c r="A8" s="7">
        <v>10302</v>
      </c>
      <c r="B8" s="8" t="s">
        <v>26</v>
      </c>
      <c r="C8" s="46">
        <v>34</v>
      </c>
      <c r="D8" s="46">
        <v>10</v>
      </c>
    </row>
    <row r="9" spans="1:4" ht="14.4">
      <c r="A9" s="7">
        <v>10303</v>
      </c>
      <c r="B9" s="8" t="s">
        <v>28</v>
      </c>
      <c r="C9" s="46">
        <v>13</v>
      </c>
      <c r="D9" s="46">
        <v>3</v>
      </c>
    </row>
    <row r="10" spans="1:4" ht="14.4">
      <c r="A10" s="7">
        <v>10304</v>
      </c>
      <c r="B10" s="8" t="s">
        <v>30</v>
      </c>
      <c r="C10" s="46">
        <v>4</v>
      </c>
      <c r="D10" s="46">
        <v>3</v>
      </c>
    </row>
    <row r="11" spans="1:4" ht="14.4">
      <c r="A11" s="7">
        <v>10401</v>
      </c>
      <c r="B11" s="8" t="s">
        <v>33</v>
      </c>
      <c r="C11" s="46">
        <v>8</v>
      </c>
      <c r="D11" s="46">
        <v>11</v>
      </c>
    </row>
    <row r="12" spans="1:4" ht="14.4">
      <c r="A12" s="7">
        <v>10402</v>
      </c>
      <c r="B12" s="8" t="s">
        <v>32</v>
      </c>
      <c r="C12" s="46">
        <v>10</v>
      </c>
      <c r="D12" s="46">
        <v>13</v>
      </c>
    </row>
    <row r="13" spans="1:4" ht="14.4">
      <c r="A13" s="7">
        <v>10403</v>
      </c>
      <c r="B13" s="8" t="s">
        <v>35</v>
      </c>
      <c r="C13" s="46">
        <v>2</v>
      </c>
      <c r="D13" s="46">
        <v>5</v>
      </c>
    </row>
    <row r="14" spans="1:4" ht="14.4">
      <c r="A14" s="7">
        <v>10404</v>
      </c>
      <c r="B14" s="8" t="s">
        <v>36</v>
      </c>
      <c r="C14" s="46">
        <v>1</v>
      </c>
      <c r="D14" s="46">
        <v>8</v>
      </c>
    </row>
    <row r="15" spans="1:4" ht="14.4">
      <c r="A15" s="7">
        <v>10405</v>
      </c>
      <c r="B15" s="8" t="s">
        <v>37</v>
      </c>
      <c r="C15" s="46">
        <v>7</v>
      </c>
      <c r="D15" s="46">
        <v>0</v>
      </c>
    </row>
    <row r="16" spans="1:4" ht="14.4">
      <c r="A16" s="7">
        <v>10501</v>
      </c>
      <c r="B16" s="8" t="s">
        <v>39</v>
      </c>
      <c r="C16" s="46">
        <v>21</v>
      </c>
      <c r="D16" s="46">
        <v>4</v>
      </c>
    </row>
    <row r="17" spans="1:4" ht="14.4">
      <c r="A17" s="7">
        <v>10502</v>
      </c>
      <c r="B17" s="8" t="s">
        <v>40</v>
      </c>
      <c r="C17" s="46">
        <v>4</v>
      </c>
      <c r="D17" s="46">
        <v>7</v>
      </c>
    </row>
    <row r="18" spans="1:4" ht="14.4">
      <c r="A18" s="7">
        <v>10601</v>
      </c>
      <c r="B18" s="8" t="s">
        <v>42</v>
      </c>
      <c r="C18" s="46">
        <v>23</v>
      </c>
      <c r="D18" s="46">
        <v>12</v>
      </c>
    </row>
    <row r="19" spans="1:4" ht="14.4">
      <c r="A19" s="7">
        <v>10602</v>
      </c>
      <c r="B19" s="8" t="s">
        <v>41</v>
      </c>
      <c r="C19" s="46">
        <v>6</v>
      </c>
      <c r="D19" s="46">
        <v>15</v>
      </c>
    </row>
    <row r="20" spans="1:4" ht="14.4">
      <c r="A20" s="7">
        <v>10701</v>
      </c>
      <c r="B20" s="8" t="s">
        <v>44</v>
      </c>
      <c r="C20" s="46">
        <v>10</v>
      </c>
      <c r="D20" s="46">
        <v>22</v>
      </c>
    </row>
    <row r="21" spans="1:4" ht="15.75" customHeight="1">
      <c r="A21" s="7">
        <v>10702</v>
      </c>
      <c r="B21" s="8" t="s">
        <v>45</v>
      </c>
      <c r="C21" s="46">
        <v>42</v>
      </c>
      <c r="D21" s="46">
        <v>37</v>
      </c>
    </row>
    <row r="22" spans="1:4" ht="15.75" customHeight="1">
      <c r="A22" s="7">
        <v>10703</v>
      </c>
      <c r="B22" s="8" t="s">
        <v>46</v>
      </c>
      <c r="C22" s="46">
        <v>15</v>
      </c>
      <c r="D22" s="46">
        <v>11</v>
      </c>
    </row>
    <row r="23" spans="1:4" ht="15.75" customHeight="1">
      <c r="A23" s="7">
        <v>10704</v>
      </c>
      <c r="B23" s="8" t="s">
        <v>47</v>
      </c>
      <c r="C23" s="46">
        <v>24</v>
      </c>
      <c r="D23" s="46">
        <v>16</v>
      </c>
    </row>
    <row r="24" spans="1:4" ht="15.75" customHeight="1">
      <c r="A24" s="7">
        <v>10801</v>
      </c>
      <c r="B24" s="8" t="s">
        <v>49</v>
      </c>
      <c r="C24" s="46">
        <v>6</v>
      </c>
      <c r="D24" s="46">
        <v>11</v>
      </c>
    </row>
    <row r="25" spans="1:4" ht="15.75" customHeight="1">
      <c r="A25" s="7">
        <v>10901</v>
      </c>
      <c r="B25" s="8" t="s">
        <v>51</v>
      </c>
      <c r="C25" s="46">
        <v>1</v>
      </c>
      <c r="D25" s="46">
        <v>2</v>
      </c>
    </row>
    <row r="26" spans="1:4" ht="15.75" customHeight="1">
      <c r="A26" s="7">
        <v>10902</v>
      </c>
      <c r="B26" s="8" t="s">
        <v>52</v>
      </c>
      <c r="C26" s="46">
        <v>11</v>
      </c>
      <c r="D26" s="46">
        <v>24</v>
      </c>
    </row>
    <row r="27" spans="1:4" ht="15.75" customHeight="1">
      <c r="A27" s="7">
        <v>10903</v>
      </c>
      <c r="B27" s="8" t="s">
        <v>53</v>
      </c>
      <c r="C27" s="46">
        <v>1</v>
      </c>
      <c r="D27" s="46">
        <v>8</v>
      </c>
    </row>
    <row r="28" spans="1:4" ht="15.75" customHeight="1">
      <c r="A28" s="7">
        <v>11001</v>
      </c>
      <c r="B28" s="8" t="s">
        <v>55</v>
      </c>
      <c r="C28" s="46">
        <v>7</v>
      </c>
      <c r="D28" s="46">
        <v>12</v>
      </c>
    </row>
    <row r="29" spans="1:4" ht="15.75" customHeight="1">
      <c r="A29" s="7">
        <v>11002</v>
      </c>
      <c r="B29" s="8" t="s">
        <v>56</v>
      </c>
      <c r="C29" s="46">
        <v>1</v>
      </c>
      <c r="D29" s="46">
        <v>0</v>
      </c>
    </row>
    <row r="30" spans="1:4" ht="15.75" customHeight="1">
      <c r="A30" s="7">
        <v>11003</v>
      </c>
      <c r="B30" s="8" t="s">
        <v>57</v>
      </c>
      <c r="C30" s="46">
        <v>2</v>
      </c>
      <c r="D30" s="46">
        <v>2</v>
      </c>
    </row>
    <row r="31" spans="1:4" ht="15.75" customHeight="1">
      <c r="A31" s="7">
        <v>20101</v>
      </c>
      <c r="B31" s="8" t="s">
        <v>59</v>
      </c>
      <c r="C31" s="46">
        <v>598</v>
      </c>
      <c r="D31" s="46">
        <v>459</v>
      </c>
    </row>
    <row r="32" spans="1:4" ht="15.75" customHeight="1">
      <c r="A32" s="7">
        <v>20102</v>
      </c>
      <c r="B32" s="8" t="s">
        <v>60</v>
      </c>
      <c r="C32" s="46">
        <v>46</v>
      </c>
      <c r="D32" s="46">
        <v>34</v>
      </c>
    </row>
    <row r="33" spans="1:4" ht="15.75" customHeight="1">
      <c r="A33" s="7">
        <v>20103</v>
      </c>
      <c r="B33" s="8" t="s">
        <v>61</v>
      </c>
      <c r="C33" s="46">
        <v>25</v>
      </c>
      <c r="D33" s="46">
        <v>25</v>
      </c>
    </row>
    <row r="34" spans="1:4" ht="15.75" customHeight="1">
      <c r="A34" s="7">
        <v>20104</v>
      </c>
      <c r="B34" s="8" t="s">
        <v>62</v>
      </c>
      <c r="C34" s="46">
        <v>61</v>
      </c>
      <c r="D34" s="46">
        <v>70</v>
      </c>
    </row>
    <row r="35" spans="1:4" ht="15.75" customHeight="1">
      <c r="A35" s="7">
        <v>20105</v>
      </c>
      <c r="B35" s="8" t="s">
        <v>63</v>
      </c>
      <c r="C35" s="46">
        <v>1168</v>
      </c>
      <c r="D35" s="46">
        <v>946</v>
      </c>
    </row>
    <row r="36" spans="1:4" ht="15.75" customHeight="1">
      <c r="A36" s="7">
        <v>20201</v>
      </c>
      <c r="B36" s="8" t="s">
        <v>65</v>
      </c>
      <c r="C36" s="46">
        <v>73</v>
      </c>
      <c r="D36" s="46">
        <v>62</v>
      </c>
    </row>
    <row r="37" spans="1:4" ht="15.75" customHeight="1">
      <c r="A37" s="7">
        <v>20202</v>
      </c>
      <c r="B37" s="8" t="s">
        <v>66</v>
      </c>
      <c r="C37" s="46">
        <v>41</v>
      </c>
      <c r="D37" s="46">
        <v>29</v>
      </c>
    </row>
    <row r="38" spans="1:4" ht="15.75" customHeight="1">
      <c r="A38" s="7">
        <v>20203</v>
      </c>
      <c r="B38" s="8" t="s">
        <v>67</v>
      </c>
      <c r="C38" s="46">
        <v>6</v>
      </c>
      <c r="D38" s="46">
        <v>6</v>
      </c>
    </row>
    <row r="39" spans="1:4" ht="15.75" customHeight="1">
      <c r="A39" s="7">
        <v>20204</v>
      </c>
      <c r="B39" s="8" t="s">
        <v>68</v>
      </c>
      <c r="C39" s="46">
        <v>13</v>
      </c>
      <c r="D39" s="46">
        <v>15</v>
      </c>
    </row>
    <row r="40" spans="1:4" ht="15.75" customHeight="1">
      <c r="A40" s="7">
        <v>20205</v>
      </c>
      <c r="B40" s="8" t="s">
        <v>69</v>
      </c>
      <c r="C40" s="46">
        <v>8</v>
      </c>
      <c r="D40" s="46">
        <v>17</v>
      </c>
    </row>
    <row r="41" spans="1:4" ht="15.75" customHeight="1">
      <c r="A41" s="7">
        <v>20206</v>
      </c>
      <c r="B41" s="8" t="s">
        <v>70</v>
      </c>
      <c r="C41" s="46">
        <v>14</v>
      </c>
      <c r="D41" s="46">
        <v>0</v>
      </c>
    </row>
    <row r="42" spans="1:4" ht="15.75" customHeight="1">
      <c r="A42" s="7">
        <v>20301</v>
      </c>
      <c r="B42" s="8" t="s">
        <v>72</v>
      </c>
      <c r="C42" s="46">
        <v>10</v>
      </c>
      <c r="D42" s="46">
        <v>34</v>
      </c>
    </row>
    <row r="43" spans="1:4" ht="15.75" customHeight="1">
      <c r="A43" s="7">
        <v>20302</v>
      </c>
      <c r="B43" s="8" t="s">
        <v>73</v>
      </c>
      <c r="C43" s="46">
        <v>13</v>
      </c>
      <c r="D43" s="46">
        <v>18</v>
      </c>
    </row>
    <row r="44" spans="1:4" ht="15.75" customHeight="1">
      <c r="A44" s="7">
        <v>20303</v>
      </c>
      <c r="B44" s="8" t="s">
        <v>74</v>
      </c>
      <c r="C44" s="46">
        <v>8</v>
      </c>
      <c r="D44" s="46">
        <v>21</v>
      </c>
    </row>
    <row r="45" spans="1:4" ht="15.75" customHeight="1">
      <c r="A45" s="7">
        <v>20304</v>
      </c>
      <c r="B45" s="8" t="s">
        <v>75</v>
      </c>
      <c r="C45" s="46">
        <v>3</v>
      </c>
      <c r="D45" s="46">
        <v>0</v>
      </c>
    </row>
    <row r="46" spans="1:4" ht="15.75" customHeight="1">
      <c r="A46" s="7">
        <v>20305</v>
      </c>
      <c r="B46" s="8" t="s">
        <v>76</v>
      </c>
      <c r="C46" s="46">
        <v>4</v>
      </c>
      <c r="D46" s="46">
        <v>11</v>
      </c>
    </row>
    <row r="47" spans="1:4" ht="15.75" customHeight="1">
      <c r="A47" s="7">
        <v>20306</v>
      </c>
      <c r="B47" s="8" t="s">
        <v>77</v>
      </c>
      <c r="C47" s="46">
        <v>7</v>
      </c>
      <c r="D47" s="46">
        <v>0</v>
      </c>
    </row>
    <row r="48" spans="1:4" ht="15.75" customHeight="1">
      <c r="A48" s="7">
        <v>20307</v>
      </c>
      <c r="B48" s="8" t="s">
        <v>78</v>
      </c>
      <c r="C48" s="46">
        <v>0</v>
      </c>
      <c r="D48" s="46">
        <v>1</v>
      </c>
    </row>
    <row r="49" spans="1:4" ht="15.75" customHeight="1">
      <c r="A49" s="7">
        <v>20308</v>
      </c>
      <c r="B49" s="8" t="s">
        <v>79</v>
      </c>
      <c r="C49" s="46">
        <v>8</v>
      </c>
      <c r="D49" s="46">
        <v>15</v>
      </c>
    </row>
    <row r="50" spans="1:4" ht="15.75" customHeight="1">
      <c r="A50" s="7">
        <v>20401</v>
      </c>
      <c r="B50" s="8" t="s">
        <v>81</v>
      </c>
      <c r="C50" s="46">
        <v>16</v>
      </c>
      <c r="D50" s="46">
        <v>12</v>
      </c>
    </row>
    <row r="51" spans="1:4" ht="15.75" customHeight="1">
      <c r="A51" s="7">
        <v>20402</v>
      </c>
      <c r="B51" s="8" t="s">
        <v>82</v>
      </c>
      <c r="C51" s="46">
        <v>34</v>
      </c>
      <c r="D51" s="46">
        <v>17</v>
      </c>
    </row>
    <row r="52" spans="1:4" ht="15.75" customHeight="1">
      <c r="A52" s="7">
        <v>20403</v>
      </c>
      <c r="B52" s="8" t="s">
        <v>83</v>
      </c>
      <c r="C52" s="46">
        <v>29</v>
      </c>
      <c r="D52" s="46">
        <v>25</v>
      </c>
    </row>
    <row r="53" spans="1:4" ht="15.75" customHeight="1">
      <c r="A53" s="7">
        <v>20404</v>
      </c>
      <c r="B53" s="8" t="s">
        <v>84</v>
      </c>
      <c r="C53" s="46">
        <v>20</v>
      </c>
      <c r="D53" s="46">
        <v>3</v>
      </c>
    </row>
    <row r="54" spans="1:4" ht="15.75" customHeight="1">
      <c r="A54" s="7">
        <v>20405</v>
      </c>
      <c r="B54" s="8" t="s">
        <v>85</v>
      </c>
      <c r="C54" s="46">
        <v>23</v>
      </c>
      <c r="D54" s="46">
        <v>16</v>
      </c>
    </row>
    <row r="55" spans="1:4" ht="15.75" customHeight="1">
      <c r="A55" s="7">
        <v>20501</v>
      </c>
      <c r="B55" s="8" t="s">
        <v>87</v>
      </c>
      <c r="C55" s="46">
        <v>33</v>
      </c>
      <c r="D55" s="46">
        <v>17</v>
      </c>
    </row>
    <row r="56" spans="1:4" ht="15.75" customHeight="1">
      <c r="A56" s="7">
        <v>20502</v>
      </c>
      <c r="B56" s="8" t="s">
        <v>88</v>
      </c>
      <c r="C56" s="46">
        <v>22</v>
      </c>
      <c r="D56" s="46">
        <v>12</v>
      </c>
    </row>
    <row r="57" spans="1:4" ht="15.75" customHeight="1">
      <c r="A57" s="7">
        <v>20503</v>
      </c>
      <c r="B57" s="8" t="s">
        <v>89</v>
      </c>
      <c r="C57" s="46">
        <v>13</v>
      </c>
      <c r="D57" s="46">
        <v>2</v>
      </c>
    </row>
    <row r="58" spans="1:4" ht="15.75" customHeight="1">
      <c r="A58" s="7">
        <v>20601</v>
      </c>
      <c r="B58" s="8" t="s">
        <v>91</v>
      </c>
      <c r="C58" s="46">
        <v>37</v>
      </c>
      <c r="D58" s="46">
        <v>27</v>
      </c>
    </row>
    <row r="59" spans="1:4" ht="15.75" customHeight="1">
      <c r="A59" s="7">
        <v>20602</v>
      </c>
      <c r="B59" s="8" t="s">
        <v>92</v>
      </c>
      <c r="C59" s="46">
        <v>38</v>
      </c>
      <c r="D59" s="46">
        <v>31</v>
      </c>
    </row>
    <row r="60" spans="1:4" ht="15.75" customHeight="1">
      <c r="A60" s="7">
        <v>20603</v>
      </c>
      <c r="B60" s="8" t="s">
        <v>93</v>
      </c>
      <c r="C60" s="46">
        <v>14</v>
      </c>
      <c r="D60" s="46">
        <v>5</v>
      </c>
    </row>
    <row r="61" spans="1:4" ht="15.75" customHeight="1">
      <c r="A61" s="7">
        <v>20604</v>
      </c>
      <c r="B61" s="8" t="s">
        <v>94</v>
      </c>
      <c r="C61" s="46">
        <v>15</v>
      </c>
      <c r="D61" s="46">
        <v>4</v>
      </c>
    </row>
    <row r="62" spans="1:4" ht="15.75" customHeight="1">
      <c r="A62" s="7">
        <v>20605</v>
      </c>
      <c r="B62" s="8" t="s">
        <v>95</v>
      </c>
      <c r="C62" s="46">
        <v>5</v>
      </c>
      <c r="D62" s="46">
        <v>0</v>
      </c>
    </row>
    <row r="63" spans="1:4" ht="15.75" customHeight="1">
      <c r="A63" s="7">
        <v>20606</v>
      </c>
      <c r="B63" s="8" t="s">
        <v>96</v>
      </c>
      <c r="C63" s="46">
        <v>25</v>
      </c>
      <c r="D63" s="46">
        <v>18</v>
      </c>
    </row>
    <row r="64" spans="1:4" ht="15.75" customHeight="1">
      <c r="A64" s="7">
        <v>20607</v>
      </c>
      <c r="B64" s="8" t="s">
        <v>97</v>
      </c>
      <c r="C64" s="46">
        <v>27</v>
      </c>
      <c r="D64" s="46">
        <v>43</v>
      </c>
    </row>
    <row r="65" spans="1:4" ht="15.75" customHeight="1">
      <c r="A65" s="7">
        <v>20608</v>
      </c>
      <c r="B65" s="8" t="s">
        <v>98</v>
      </c>
      <c r="C65" s="46">
        <v>21</v>
      </c>
      <c r="D65" s="46">
        <v>31</v>
      </c>
    </row>
    <row r="66" spans="1:4" ht="15.75" customHeight="1">
      <c r="A66" s="7">
        <v>20701</v>
      </c>
      <c r="B66" s="8" t="s">
        <v>100</v>
      </c>
      <c r="C66" s="46">
        <v>47</v>
      </c>
      <c r="D66" s="46">
        <v>31</v>
      </c>
    </row>
    <row r="67" spans="1:4" ht="15.75" customHeight="1">
      <c r="A67" s="7">
        <v>20702</v>
      </c>
      <c r="B67" s="8" t="s">
        <v>101</v>
      </c>
      <c r="C67" s="46">
        <v>13</v>
      </c>
      <c r="D67" s="46">
        <v>13</v>
      </c>
    </row>
    <row r="68" spans="1:4" ht="15.75" customHeight="1">
      <c r="A68" s="7">
        <v>20801</v>
      </c>
      <c r="B68" s="8" t="s">
        <v>103</v>
      </c>
      <c r="C68" s="46">
        <v>135</v>
      </c>
      <c r="D68" s="46">
        <v>146</v>
      </c>
    </row>
    <row r="69" spans="1:4" ht="15.75" customHeight="1">
      <c r="A69" s="7">
        <v>20802</v>
      </c>
      <c r="B69" s="8" t="s">
        <v>104</v>
      </c>
      <c r="C69" s="46">
        <v>10</v>
      </c>
      <c r="D69" s="46">
        <v>14</v>
      </c>
    </row>
    <row r="70" spans="1:4" ht="15.75" customHeight="1">
      <c r="A70" s="7">
        <v>20803</v>
      </c>
      <c r="B70" s="8" t="s">
        <v>105</v>
      </c>
      <c r="C70" s="46">
        <v>20</v>
      </c>
      <c r="D70" s="46">
        <v>18</v>
      </c>
    </row>
    <row r="71" spans="1:4" ht="15.75" customHeight="1">
      <c r="A71" s="7">
        <v>20804</v>
      </c>
      <c r="B71" s="8" t="s">
        <v>106</v>
      </c>
      <c r="C71" s="46">
        <v>8</v>
      </c>
      <c r="D71" s="46">
        <v>17</v>
      </c>
    </row>
    <row r="72" spans="1:4" ht="15.75" customHeight="1">
      <c r="A72" s="7">
        <v>20805</v>
      </c>
      <c r="B72" s="8" t="s">
        <v>107</v>
      </c>
      <c r="C72" s="46">
        <v>4</v>
      </c>
      <c r="D72" s="46">
        <v>1</v>
      </c>
    </row>
    <row r="73" spans="1:4" ht="15.75" customHeight="1">
      <c r="A73" s="7">
        <v>20806</v>
      </c>
      <c r="B73" s="8" t="s">
        <v>108</v>
      </c>
      <c r="C73" s="46">
        <v>17</v>
      </c>
      <c r="D73" s="46">
        <v>16</v>
      </c>
    </row>
    <row r="74" spans="1:4" ht="15.75" customHeight="1">
      <c r="A74" s="7">
        <v>20807</v>
      </c>
      <c r="B74" s="8" t="s">
        <v>109</v>
      </c>
      <c r="C74" s="46">
        <v>6</v>
      </c>
      <c r="D74" s="46">
        <v>7</v>
      </c>
    </row>
    <row r="75" spans="1:4" ht="15.75" customHeight="1">
      <c r="A75" s="7">
        <v>20901</v>
      </c>
      <c r="B75" s="8" t="s">
        <v>111</v>
      </c>
      <c r="C75" s="46">
        <v>21</v>
      </c>
      <c r="D75" s="46">
        <v>10</v>
      </c>
    </row>
    <row r="76" spans="1:4" ht="15.75" customHeight="1">
      <c r="A76" s="7">
        <v>20902</v>
      </c>
      <c r="B76" s="8" t="s">
        <v>112</v>
      </c>
      <c r="C76" s="46">
        <v>19</v>
      </c>
      <c r="D76" s="46">
        <v>19</v>
      </c>
    </row>
    <row r="77" spans="1:4" ht="15.75" customHeight="1">
      <c r="A77" s="7">
        <v>20903</v>
      </c>
      <c r="B77" s="8" t="s">
        <v>113</v>
      </c>
      <c r="C77" s="46">
        <v>13</v>
      </c>
      <c r="D77" s="46">
        <v>16</v>
      </c>
    </row>
    <row r="78" spans="1:4" ht="15.75" customHeight="1">
      <c r="A78" s="7">
        <v>20904</v>
      </c>
      <c r="B78" s="8" t="s">
        <v>114</v>
      </c>
      <c r="C78" s="46">
        <v>8</v>
      </c>
      <c r="D78" s="46">
        <v>5</v>
      </c>
    </row>
    <row r="79" spans="1:4" ht="15.75" customHeight="1">
      <c r="A79" s="7">
        <v>20905</v>
      </c>
      <c r="B79" s="8" t="s">
        <v>115</v>
      </c>
      <c r="C79" s="46">
        <v>26</v>
      </c>
      <c r="D79" s="46">
        <v>30</v>
      </c>
    </row>
    <row r="80" spans="1:4" ht="15.75" customHeight="1">
      <c r="A80" s="7">
        <v>21001</v>
      </c>
      <c r="B80" s="8" t="s">
        <v>116</v>
      </c>
      <c r="C80" s="46">
        <v>22</v>
      </c>
      <c r="D80" s="46">
        <v>44</v>
      </c>
    </row>
    <row r="81" spans="1:4" ht="15.75" customHeight="1">
      <c r="A81" s="7">
        <v>21002</v>
      </c>
      <c r="B81" s="8" t="s">
        <v>117</v>
      </c>
      <c r="C81" s="46">
        <v>20</v>
      </c>
      <c r="D81" s="46">
        <v>15</v>
      </c>
    </row>
    <row r="82" spans="1:4" ht="15.75" customHeight="1">
      <c r="A82" s="7">
        <v>21003</v>
      </c>
      <c r="B82" s="8" t="s">
        <v>118</v>
      </c>
      <c r="C82" s="46">
        <v>22</v>
      </c>
      <c r="D82" s="46">
        <v>22</v>
      </c>
    </row>
    <row r="83" spans="1:4" ht="15.75" customHeight="1">
      <c r="A83" s="7">
        <v>21004</v>
      </c>
      <c r="B83" s="8" t="s">
        <v>119</v>
      </c>
      <c r="C83" s="46">
        <v>43</v>
      </c>
      <c r="D83" s="46">
        <v>30</v>
      </c>
    </row>
    <row r="84" spans="1:4" ht="15.75" customHeight="1">
      <c r="A84" s="7">
        <v>21005</v>
      </c>
      <c r="B84" s="8" t="s">
        <v>120</v>
      </c>
      <c r="C84" s="46">
        <v>10</v>
      </c>
      <c r="D84" s="46">
        <v>14</v>
      </c>
    </row>
    <row r="85" spans="1:4" ht="15.75" customHeight="1">
      <c r="A85" s="7">
        <v>21006</v>
      </c>
      <c r="B85" s="8" t="s">
        <v>121</v>
      </c>
      <c r="C85" s="46">
        <v>2</v>
      </c>
      <c r="D85" s="46">
        <v>3</v>
      </c>
    </row>
    <row r="86" spans="1:4" ht="15.75" customHeight="1">
      <c r="A86" s="7">
        <v>21101</v>
      </c>
      <c r="B86" s="8" t="s">
        <v>123</v>
      </c>
      <c r="C86" s="46">
        <v>23</v>
      </c>
      <c r="D86" s="46">
        <v>31</v>
      </c>
    </row>
    <row r="87" spans="1:4" ht="15.75" customHeight="1">
      <c r="A87" s="7">
        <v>21102</v>
      </c>
      <c r="B87" s="8" t="s">
        <v>124</v>
      </c>
      <c r="C87" s="46">
        <v>20</v>
      </c>
      <c r="D87" s="46">
        <v>38</v>
      </c>
    </row>
    <row r="88" spans="1:4" ht="15.75" customHeight="1">
      <c r="A88" s="7">
        <v>21103</v>
      </c>
      <c r="B88" s="8" t="s">
        <v>125</v>
      </c>
      <c r="C88" s="46">
        <v>9</v>
      </c>
      <c r="D88" s="46">
        <v>2</v>
      </c>
    </row>
    <row r="89" spans="1:4" ht="15.75" customHeight="1">
      <c r="A89" s="7">
        <v>21104</v>
      </c>
      <c r="B89" s="8" t="s">
        <v>126</v>
      </c>
      <c r="C89" s="46">
        <v>63</v>
      </c>
      <c r="D89" s="46">
        <v>78</v>
      </c>
    </row>
    <row r="90" spans="1:4" ht="15.75" customHeight="1">
      <c r="A90" s="7">
        <v>21105</v>
      </c>
      <c r="B90" s="8" t="s">
        <v>127</v>
      </c>
      <c r="C90" s="46">
        <v>84</v>
      </c>
      <c r="D90" s="46">
        <v>115</v>
      </c>
    </row>
    <row r="91" spans="1:4" ht="15.75" customHeight="1">
      <c r="A91" s="7">
        <v>21201</v>
      </c>
      <c r="B91" s="8" t="s">
        <v>129</v>
      </c>
      <c r="C91" s="46">
        <v>77</v>
      </c>
      <c r="D91" s="46">
        <v>98</v>
      </c>
    </row>
    <row r="92" spans="1:4" ht="15.75" customHeight="1">
      <c r="A92" s="7">
        <v>21202</v>
      </c>
      <c r="B92" s="8" t="s">
        <v>130</v>
      </c>
      <c r="C92" s="46">
        <v>40</v>
      </c>
      <c r="D92" s="46">
        <v>52</v>
      </c>
    </row>
    <row r="93" spans="1:4" ht="15.75" customHeight="1">
      <c r="A93" s="7">
        <v>21203</v>
      </c>
      <c r="B93" s="8" t="s">
        <v>131</v>
      </c>
      <c r="C93" s="46">
        <v>14</v>
      </c>
      <c r="D93" s="46">
        <v>22</v>
      </c>
    </row>
    <row r="94" spans="1:4" ht="15.75" customHeight="1">
      <c r="A94" s="7">
        <v>21204</v>
      </c>
      <c r="B94" s="8" t="s">
        <v>132</v>
      </c>
      <c r="C94" s="46">
        <v>16</v>
      </c>
      <c r="D94" s="46">
        <v>3</v>
      </c>
    </row>
    <row r="95" spans="1:4" ht="15.75" customHeight="1">
      <c r="A95" s="7">
        <v>21301</v>
      </c>
      <c r="B95" s="8" t="s">
        <v>134</v>
      </c>
      <c r="C95" s="46">
        <v>46</v>
      </c>
      <c r="D95" s="46">
        <v>35</v>
      </c>
    </row>
    <row r="96" spans="1:4" ht="15.75" customHeight="1">
      <c r="A96" s="7">
        <v>21302</v>
      </c>
      <c r="B96" s="8" t="s">
        <v>135</v>
      </c>
      <c r="C96" s="46">
        <v>15</v>
      </c>
      <c r="D96" s="46">
        <v>24</v>
      </c>
    </row>
    <row r="97" spans="1:4" ht="15.75" customHeight="1">
      <c r="A97" s="7">
        <v>21303</v>
      </c>
      <c r="B97" s="8" t="s">
        <v>136</v>
      </c>
      <c r="C97" s="46">
        <v>9</v>
      </c>
      <c r="D97" s="46">
        <v>26</v>
      </c>
    </row>
    <row r="98" spans="1:4" ht="15.75" customHeight="1">
      <c r="A98" s="7">
        <v>21304</v>
      </c>
      <c r="B98" s="8" t="s">
        <v>137</v>
      </c>
      <c r="C98" s="46">
        <v>19</v>
      </c>
      <c r="D98" s="46">
        <v>47</v>
      </c>
    </row>
    <row r="99" spans="1:4" ht="15.75" customHeight="1">
      <c r="A99" s="7">
        <v>21305</v>
      </c>
      <c r="B99" s="8" t="s">
        <v>138</v>
      </c>
      <c r="C99" s="46">
        <v>25</v>
      </c>
      <c r="D99" s="46">
        <v>42</v>
      </c>
    </row>
    <row r="100" spans="1:4" ht="15.75" customHeight="1">
      <c r="A100" s="7">
        <v>21306</v>
      </c>
      <c r="B100" s="8" t="s">
        <v>139</v>
      </c>
      <c r="C100" s="46">
        <v>13</v>
      </c>
      <c r="D100" s="46">
        <v>12</v>
      </c>
    </row>
    <row r="101" spans="1:4" ht="15.75" customHeight="1">
      <c r="A101" s="7">
        <v>21307</v>
      </c>
      <c r="B101" s="8" t="s">
        <v>140</v>
      </c>
      <c r="C101" s="46">
        <v>2</v>
      </c>
      <c r="D101" s="46">
        <v>8</v>
      </c>
    </row>
    <row r="102" spans="1:4" ht="15.75" customHeight="1">
      <c r="A102" s="7">
        <v>21401</v>
      </c>
      <c r="B102" s="8" t="s">
        <v>142</v>
      </c>
      <c r="C102" s="46">
        <v>24</v>
      </c>
      <c r="D102" s="46">
        <v>54</v>
      </c>
    </row>
    <row r="103" spans="1:4" ht="15.75" customHeight="1">
      <c r="A103" s="7">
        <v>21402</v>
      </c>
      <c r="B103" s="8" t="s">
        <v>143</v>
      </c>
      <c r="C103" s="46">
        <v>18</v>
      </c>
      <c r="D103" s="46">
        <v>23</v>
      </c>
    </row>
    <row r="104" spans="1:4" ht="15.75" customHeight="1">
      <c r="A104" s="7">
        <v>21501</v>
      </c>
      <c r="B104" s="8" t="s">
        <v>145</v>
      </c>
      <c r="C104" s="46">
        <v>11</v>
      </c>
      <c r="D104" s="46">
        <v>32</v>
      </c>
    </row>
    <row r="105" spans="1:4" ht="15.75" customHeight="1">
      <c r="A105" s="7">
        <v>21502</v>
      </c>
      <c r="B105" s="8" t="s">
        <v>146</v>
      </c>
      <c r="C105" s="46">
        <v>17</v>
      </c>
      <c r="D105" s="46">
        <v>33</v>
      </c>
    </row>
    <row r="106" spans="1:4" ht="15.75" customHeight="1">
      <c r="A106" s="7">
        <v>21601</v>
      </c>
      <c r="B106" s="8" t="s">
        <v>148</v>
      </c>
      <c r="C106" s="46">
        <v>15</v>
      </c>
      <c r="D106" s="46">
        <v>12</v>
      </c>
    </row>
    <row r="107" spans="1:4" ht="15.75" customHeight="1">
      <c r="A107" s="7">
        <v>21602</v>
      </c>
      <c r="B107" s="8" t="s">
        <v>149</v>
      </c>
      <c r="C107" s="46">
        <v>4</v>
      </c>
      <c r="D107" s="46">
        <v>7</v>
      </c>
    </row>
    <row r="108" spans="1:4" ht="15.75" customHeight="1">
      <c r="A108" s="7">
        <v>21701</v>
      </c>
      <c r="B108" s="8" t="s">
        <v>151</v>
      </c>
      <c r="C108" s="46">
        <v>18</v>
      </c>
      <c r="D108" s="46">
        <v>20</v>
      </c>
    </row>
    <row r="109" spans="1:4" ht="15.75" customHeight="1">
      <c r="A109" s="7">
        <v>21702</v>
      </c>
      <c r="B109" s="8" t="s">
        <v>152</v>
      </c>
      <c r="C109" s="46">
        <v>3</v>
      </c>
      <c r="D109" s="46">
        <v>8</v>
      </c>
    </row>
    <row r="110" spans="1:4" ht="15.75" customHeight="1">
      <c r="A110" s="7">
        <v>21703</v>
      </c>
      <c r="B110" s="8" t="s">
        <v>153</v>
      </c>
      <c r="C110" s="46">
        <v>6</v>
      </c>
      <c r="D110" s="46">
        <v>8</v>
      </c>
    </row>
    <row r="111" spans="1:4" ht="15.75" customHeight="1">
      <c r="A111" s="7">
        <v>21801</v>
      </c>
      <c r="B111" s="8" t="s">
        <v>155</v>
      </c>
      <c r="C111" s="46">
        <v>9</v>
      </c>
      <c r="D111" s="46">
        <v>15</v>
      </c>
    </row>
    <row r="112" spans="1:4" ht="15.75" customHeight="1">
      <c r="A112" s="7">
        <v>21802</v>
      </c>
      <c r="B112" s="8" t="s">
        <v>157</v>
      </c>
      <c r="C112" s="46">
        <v>4</v>
      </c>
      <c r="D112" s="46">
        <v>13</v>
      </c>
    </row>
    <row r="113" spans="1:4" ht="15.75" customHeight="1">
      <c r="A113" s="7">
        <v>21803</v>
      </c>
      <c r="B113" s="8" t="s">
        <v>158</v>
      </c>
      <c r="C113" s="46">
        <v>5</v>
      </c>
      <c r="D113" s="46">
        <v>4</v>
      </c>
    </row>
    <row r="114" spans="1:4" ht="15.75" customHeight="1">
      <c r="A114" s="7">
        <v>21901</v>
      </c>
      <c r="B114" s="8" t="s">
        <v>160</v>
      </c>
      <c r="C114" s="46">
        <v>3</v>
      </c>
      <c r="D114" s="46">
        <v>7</v>
      </c>
    </row>
    <row r="115" spans="1:4" ht="15.75" customHeight="1">
      <c r="A115" s="7">
        <v>21902</v>
      </c>
      <c r="B115" s="8" t="s">
        <v>161</v>
      </c>
      <c r="C115" s="46">
        <v>0</v>
      </c>
      <c r="D115" s="46">
        <v>0</v>
      </c>
    </row>
    <row r="116" spans="1:4" ht="15.75" customHeight="1">
      <c r="A116" s="7">
        <v>22001</v>
      </c>
      <c r="B116" s="8" t="s">
        <v>162</v>
      </c>
      <c r="C116" s="46">
        <v>88</v>
      </c>
      <c r="D116" s="46">
        <v>59</v>
      </c>
    </row>
    <row r="117" spans="1:4" ht="15.75" customHeight="1">
      <c r="A117" s="7">
        <v>22002</v>
      </c>
      <c r="B117" s="8" t="s">
        <v>163</v>
      </c>
      <c r="C117" s="46">
        <v>26</v>
      </c>
      <c r="D117" s="46">
        <v>25</v>
      </c>
    </row>
    <row r="118" spans="1:4" ht="15.75" customHeight="1">
      <c r="A118" s="7">
        <v>30101</v>
      </c>
      <c r="B118" s="8" t="s">
        <v>17</v>
      </c>
      <c r="C118" s="46">
        <v>617</v>
      </c>
      <c r="D118" s="46">
        <v>404</v>
      </c>
    </row>
    <row r="119" spans="1:4" ht="15.75" customHeight="1">
      <c r="A119" s="7">
        <v>30201</v>
      </c>
      <c r="B119" s="8" t="s">
        <v>166</v>
      </c>
      <c r="C119" s="46">
        <v>34</v>
      </c>
      <c r="D119" s="46">
        <v>27</v>
      </c>
    </row>
    <row r="120" spans="1:4" ht="15.75" customHeight="1">
      <c r="A120" s="7">
        <v>30202</v>
      </c>
      <c r="B120" s="8" t="s">
        <v>167</v>
      </c>
      <c r="C120" s="46">
        <v>1</v>
      </c>
      <c r="D120" s="46">
        <v>3</v>
      </c>
    </row>
    <row r="121" spans="1:4" ht="15.75" customHeight="1">
      <c r="A121" s="7">
        <v>30203</v>
      </c>
      <c r="B121" s="8" t="s">
        <v>168</v>
      </c>
      <c r="C121" s="46">
        <v>6</v>
      </c>
      <c r="D121" s="46">
        <v>9</v>
      </c>
    </row>
    <row r="122" spans="1:4" ht="15.75" customHeight="1">
      <c r="A122" s="7">
        <v>30301</v>
      </c>
      <c r="B122" s="8" t="s">
        <v>170</v>
      </c>
      <c r="C122" s="46">
        <v>56</v>
      </c>
      <c r="D122" s="46">
        <v>60</v>
      </c>
    </row>
    <row r="123" spans="1:4" ht="15.75" customHeight="1">
      <c r="A123" s="7">
        <v>30302</v>
      </c>
      <c r="B123" s="8" t="s">
        <v>171</v>
      </c>
      <c r="C123" s="46">
        <v>42</v>
      </c>
      <c r="D123" s="46">
        <v>24</v>
      </c>
    </row>
    <row r="124" spans="1:4" ht="15.75" customHeight="1">
      <c r="A124" s="7">
        <v>30303</v>
      </c>
      <c r="B124" s="8" t="s">
        <v>172</v>
      </c>
      <c r="C124" s="46">
        <v>52</v>
      </c>
      <c r="D124" s="46">
        <v>41</v>
      </c>
    </row>
    <row r="125" spans="1:4" ht="15.75" customHeight="1">
      <c r="A125" s="7">
        <v>30401</v>
      </c>
      <c r="B125" s="8" t="s">
        <v>174</v>
      </c>
      <c r="C125" s="46">
        <v>16</v>
      </c>
      <c r="D125" s="46">
        <v>12</v>
      </c>
    </row>
    <row r="126" spans="1:4" ht="15.75" customHeight="1">
      <c r="A126" s="7">
        <v>30402</v>
      </c>
      <c r="B126" s="8" t="s">
        <v>175</v>
      </c>
      <c r="C126" s="46">
        <v>16</v>
      </c>
      <c r="D126" s="46">
        <v>19</v>
      </c>
    </row>
    <row r="127" spans="1:4" ht="15.75" customHeight="1">
      <c r="A127" s="7">
        <v>30403</v>
      </c>
      <c r="B127" s="8" t="s">
        <v>176</v>
      </c>
      <c r="C127" s="46">
        <v>36</v>
      </c>
      <c r="D127" s="46">
        <v>26</v>
      </c>
    </row>
    <row r="128" spans="1:4" ht="15.75" customHeight="1">
      <c r="A128" s="7">
        <v>30404</v>
      </c>
      <c r="B128" s="8" t="s">
        <v>177</v>
      </c>
      <c r="C128" s="46">
        <v>9</v>
      </c>
      <c r="D128" s="46">
        <v>4</v>
      </c>
    </row>
    <row r="129" spans="1:4" ht="15.75" customHeight="1">
      <c r="A129" s="7">
        <v>30501</v>
      </c>
      <c r="B129" s="8" t="s">
        <v>178</v>
      </c>
      <c r="C129" s="46">
        <v>17</v>
      </c>
      <c r="D129" s="46">
        <v>7</v>
      </c>
    </row>
    <row r="130" spans="1:4" ht="15.75" customHeight="1">
      <c r="A130" s="7">
        <v>30502</v>
      </c>
      <c r="B130" s="8" t="s">
        <v>179</v>
      </c>
      <c r="C130" s="46">
        <v>17</v>
      </c>
      <c r="D130" s="46">
        <v>15</v>
      </c>
    </row>
    <row r="131" spans="1:4" ht="15.75" customHeight="1">
      <c r="A131" s="7">
        <v>30601</v>
      </c>
      <c r="B131" s="8" t="s">
        <v>180</v>
      </c>
      <c r="C131" s="46">
        <v>29</v>
      </c>
      <c r="D131" s="46">
        <v>14</v>
      </c>
    </row>
    <row r="132" spans="1:4" ht="15.75" customHeight="1">
      <c r="A132" s="7">
        <v>30602</v>
      </c>
      <c r="B132" s="8" t="s">
        <v>181</v>
      </c>
      <c r="C132" s="46">
        <v>16</v>
      </c>
      <c r="D132" s="46">
        <v>27</v>
      </c>
    </row>
    <row r="133" spans="1:4" ht="15.75" customHeight="1">
      <c r="A133" s="7">
        <v>30701</v>
      </c>
      <c r="B133" s="8" t="s">
        <v>182</v>
      </c>
      <c r="C133" s="46">
        <v>32</v>
      </c>
      <c r="D133" s="46">
        <v>16</v>
      </c>
    </row>
    <row r="134" spans="1:4" ht="15.75" customHeight="1">
      <c r="A134" s="7">
        <v>30702</v>
      </c>
      <c r="B134" s="8" t="s">
        <v>183</v>
      </c>
      <c r="C134" s="46">
        <v>9</v>
      </c>
      <c r="D134" s="46">
        <v>7</v>
      </c>
    </row>
    <row r="135" spans="1:4" ht="15.75" customHeight="1">
      <c r="A135" s="7">
        <v>30703</v>
      </c>
      <c r="B135" s="8" t="s">
        <v>184</v>
      </c>
      <c r="C135" s="46">
        <v>12</v>
      </c>
      <c r="D135" s="46">
        <v>5</v>
      </c>
    </row>
    <row r="136" spans="1:4" ht="15.75" customHeight="1">
      <c r="A136" s="7">
        <v>30801</v>
      </c>
      <c r="B136" s="8" t="s">
        <v>186</v>
      </c>
      <c r="C136" s="46">
        <v>19</v>
      </c>
      <c r="D136" s="46">
        <v>28</v>
      </c>
    </row>
    <row r="137" spans="1:4" ht="15.75" customHeight="1">
      <c r="A137" s="7">
        <v>30802</v>
      </c>
      <c r="B137" s="8" t="s">
        <v>187</v>
      </c>
      <c r="C137" s="46">
        <v>17</v>
      </c>
      <c r="D137" s="46">
        <v>3</v>
      </c>
    </row>
    <row r="138" spans="1:4" ht="15.75" customHeight="1">
      <c r="A138" s="7">
        <v>30803</v>
      </c>
      <c r="B138" s="8" t="s">
        <v>188</v>
      </c>
      <c r="C138" s="46">
        <v>9</v>
      </c>
      <c r="D138" s="46">
        <v>1</v>
      </c>
    </row>
    <row r="139" spans="1:4" ht="15.75" customHeight="1">
      <c r="A139" s="7">
        <v>30901</v>
      </c>
      <c r="B139" s="8" t="s">
        <v>189</v>
      </c>
      <c r="C139" s="46">
        <v>91</v>
      </c>
      <c r="D139" s="46">
        <v>128</v>
      </c>
    </row>
    <row r="140" spans="1:4" ht="15.75" customHeight="1">
      <c r="A140" s="7">
        <v>30902</v>
      </c>
      <c r="B140" s="8" t="s">
        <v>190</v>
      </c>
      <c r="C140" s="46">
        <v>73</v>
      </c>
      <c r="D140" s="46">
        <v>53</v>
      </c>
    </row>
    <row r="141" spans="1:4" ht="15.75" customHeight="1">
      <c r="A141" s="7">
        <v>30903</v>
      </c>
      <c r="B141" s="8" t="s">
        <v>191</v>
      </c>
      <c r="C141" s="46">
        <v>36</v>
      </c>
      <c r="D141" s="46">
        <v>36</v>
      </c>
    </row>
    <row r="142" spans="1:4" ht="15.75" customHeight="1">
      <c r="A142" s="7">
        <v>30904</v>
      </c>
      <c r="B142" s="8" t="s">
        <v>192</v>
      </c>
      <c r="C142" s="46">
        <v>56</v>
      </c>
      <c r="D142" s="46">
        <v>47</v>
      </c>
    </row>
    <row r="143" spans="1:4" ht="15.75" customHeight="1">
      <c r="A143" s="7">
        <v>30905</v>
      </c>
      <c r="B143" s="8" t="s">
        <v>193</v>
      </c>
      <c r="C143" s="46">
        <v>24</v>
      </c>
      <c r="D143" s="46">
        <v>34</v>
      </c>
    </row>
    <row r="144" spans="1:4" ht="15.75" customHeight="1">
      <c r="A144" s="7">
        <v>31001</v>
      </c>
      <c r="B144" s="8" t="s">
        <v>195</v>
      </c>
      <c r="C144" s="46">
        <v>195</v>
      </c>
      <c r="D144" s="46">
        <v>185</v>
      </c>
    </row>
    <row r="145" spans="1:4" ht="15.75" customHeight="1">
      <c r="A145" s="7">
        <v>31002</v>
      </c>
      <c r="B145" s="8" t="s">
        <v>196</v>
      </c>
      <c r="C145" s="46">
        <v>43</v>
      </c>
      <c r="D145" s="46">
        <v>44</v>
      </c>
    </row>
    <row r="146" spans="1:4" ht="15.75" customHeight="1">
      <c r="A146" s="7">
        <v>31003</v>
      </c>
      <c r="B146" s="8" t="s">
        <v>197</v>
      </c>
      <c r="C146" s="46">
        <v>202</v>
      </c>
      <c r="D146" s="46">
        <v>187</v>
      </c>
    </row>
    <row r="147" spans="1:4" ht="15.75" customHeight="1">
      <c r="A147" s="7">
        <v>31101</v>
      </c>
      <c r="B147" s="8" t="s">
        <v>198</v>
      </c>
      <c r="C147" s="46">
        <v>53</v>
      </c>
      <c r="D147" s="46">
        <v>35</v>
      </c>
    </row>
    <row r="148" spans="1:4" ht="15.75" customHeight="1">
      <c r="A148" s="7">
        <v>31201</v>
      </c>
      <c r="B148" s="8" t="s">
        <v>200</v>
      </c>
      <c r="C148" s="46">
        <v>34</v>
      </c>
      <c r="D148" s="46">
        <v>20</v>
      </c>
    </row>
    <row r="149" spans="1:4" ht="15.75" customHeight="1">
      <c r="A149" s="7">
        <v>31202</v>
      </c>
      <c r="B149" s="8" t="s">
        <v>201</v>
      </c>
      <c r="C149" s="46">
        <v>16</v>
      </c>
      <c r="D149" s="46">
        <v>17</v>
      </c>
    </row>
    <row r="150" spans="1:4" ht="15.75" customHeight="1">
      <c r="A150" s="7">
        <v>31203</v>
      </c>
      <c r="B150" s="8" t="s">
        <v>202</v>
      </c>
      <c r="C150" s="46">
        <v>17</v>
      </c>
      <c r="D150" s="46">
        <v>15</v>
      </c>
    </row>
    <row r="151" spans="1:4" ht="15.75" customHeight="1">
      <c r="A151" s="7">
        <v>31204</v>
      </c>
      <c r="B151" s="8" t="s">
        <v>203</v>
      </c>
      <c r="C151" s="46">
        <v>43</v>
      </c>
      <c r="D151" s="46">
        <v>54</v>
      </c>
    </row>
    <row r="152" spans="1:4" ht="15.75" customHeight="1">
      <c r="A152" s="7">
        <v>31205</v>
      </c>
      <c r="B152" s="8" t="s">
        <v>204</v>
      </c>
      <c r="C152" s="46">
        <v>104</v>
      </c>
      <c r="D152" s="46">
        <v>72</v>
      </c>
    </row>
    <row r="153" spans="1:4" ht="15.75" customHeight="1">
      <c r="A153" s="7">
        <v>31206</v>
      </c>
      <c r="B153" s="8" t="s">
        <v>205</v>
      </c>
      <c r="C153" s="46">
        <v>80</v>
      </c>
      <c r="D153" s="46">
        <v>65</v>
      </c>
    </row>
    <row r="154" spans="1:4" ht="15.75" customHeight="1">
      <c r="A154" s="7">
        <v>31301</v>
      </c>
      <c r="B154" s="8" t="s">
        <v>206</v>
      </c>
      <c r="C154" s="46">
        <v>34</v>
      </c>
      <c r="D154" s="46">
        <v>18</v>
      </c>
    </row>
    <row r="155" spans="1:4" ht="15.75" customHeight="1">
      <c r="A155" s="7">
        <v>31302</v>
      </c>
      <c r="B155" s="8" t="s">
        <v>207</v>
      </c>
      <c r="C155" s="46">
        <v>10</v>
      </c>
      <c r="D155" s="46">
        <v>9</v>
      </c>
    </row>
    <row r="156" spans="1:4" ht="15.75" customHeight="1">
      <c r="A156" s="7">
        <v>31303</v>
      </c>
      <c r="B156" s="8" t="s">
        <v>208</v>
      </c>
      <c r="C156" s="46">
        <v>3</v>
      </c>
      <c r="D156" s="46">
        <v>9</v>
      </c>
    </row>
    <row r="157" spans="1:4" ht="15.75" customHeight="1">
      <c r="A157" s="19">
        <v>31304</v>
      </c>
      <c r="B157" s="8" t="s">
        <v>209</v>
      </c>
      <c r="C157" s="46">
        <v>34</v>
      </c>
      <c r="D157" s="46">
        <v>13</v>
      </c>
    </row>
    <row r="158" spans="1:4" ht="15.75" customHeight="1">
      <c r="A158" s="7">
        <v>31401</v>
      </c>
      <c r="B158" s="8" t="s">
        <v>210</v>
      </c>
      <c r="C158" s="46">
        <v>23</v>
      </c>
      <c r="D158" s="46">
        <v>23</v>
      </c>
    </row>
    <row r="159" spans="1:4" ht="15.75" customHeight="1">
      <c r="A159" s="7">
        <v>31402</v>
      </c>
      <c r="B159" s="8" t="s">
        <v>211</v>
      </c>
      <c r="C159" s="46">
        <v>7</v>
      </c>
      <c r="D159" s="46">
        <v>10</v>
      </c>
    </row>
    <row r="160" spans="1:4" ht="15.75" customHeight="1">
      <c r="A160" s="7">
        <v>31403</v>
      </c>
      <c r="B160" s="8" t="s">
        <v>212</v>
      </c>
      <c r="C160" s="46">
        <v>25</v>
      </c>
      <c r="D160" s="46">
        <v>20</v>
      </c>
    </row>
    <row r="161" spans="1:4" ht="15.75" customHeight="1">
      <c r="A161" s="7">
        <v>31404</v>
      </c>
      <c r="B161" s="8" t="s">
        <v>213</v>
      </c>
      <c r="C161" s="46">
        <v>2</v>
      </c>
      <c r="D161" s="46">
        <v>2</v>
      </c>
    </row>
    <row r="162" spans="1:4" ht="15.75" customHeight="1">
      <c r="A162" s="7">
        <v>31405</v>
      </c>
      <c r="B162" s="8" t="s">
        <v>214</v>
      </c>
      <c r="C162" s="46">
        <v>2</v>
      </c>
      <c r="D162" s="46">
        <v>0</v>
      </c>
    </row>
    <row r="163" spans="1:4" ht="15.75" customHeight="1">
      <c r="A163" s="7">
        <v>31501</v>
      </c>
      <c r="B163" s="8" t="s">
        <v>215</v>
      </c>
      <c r="C163" s="46">
        <v>31</v>
      </c>
      <c r="D163" s="46">
        <v>14</v>
      </c>
    </row>
    <row r="164" spans="1:4" ht="15.75" customHeight="1">
      <c r="A164" s="7">
        <v>31601</v>
      </c>
      <c r="B164" s="8" t="s">
        <v>216</v>
      </c>
      <c r="C164" s="46">
        <v>41</v>
      </c>
      <c r="D164" s="46">
        <v>33</v>
      </c>
    </row>
    <row r="165" spans="1:4" ht="15.75" customHeight="1">
      <c r="A165" s="7">
        <v>31602</v>
      </c>
      <c r="B165" s="8" t="s">
        <v>217</v>
      </c>
      <c r="C165" s="46">
        <v>29</v>
      </c>
      <c r="D165" s="46">
        <v>24</v>
      </c>
    </row>
    <row r="166" spans="1:4" ht="15.75" customHeight="1">
      <c r="A166" s="7">
        <v>40101</v>
      </c>
      <c r="B166" s="8" t="s">
        <v>20</v>
      </c>
      <c r="C166" s="46">
        <v>187</v>
      </c>
      <c r="D166" s="46">
        <v>312</v>
      </c>
    </row>
    <row r="167" spans="1:4" ht="15.75" customHeight="1">
      <c r="A167" s="7">
        <v>40102</v>
      </c>
      <c r="B167" s="8" t="s">
        <v>218</v>
      </c>
      <c r="C167" s="46">
        <v>38</v>
      </c>
      <c r="D167" s="46">
        <v>36</v>
      </c>
    </row>
    <row r="168" spans="1:4" ht="15.75" customHeight="1">
      <c r="A168" s="7">
        <v>40103</v>
      </c>
      <c r="B168" s="8" t="s">
        <v>219</v>
      </c>
      <c r="C168" s="46">
        <v>10</v>
      </c>
      <c r="D168" s="46">
        <v>3</v>
      </c>
    </row>
    <row r="169" spans="1:4" ht="15.75" customHeight="1">
      <c r="A169" s="7">
        <v>40104</v>
      </c>
      <c r="B169" s="8" t="s">
        <v>220</v>
      </c>
      <c r="C169" s="46">
        <v>25</v>
      </c>
      <c r="D169" s="46">
        <v>32</v>
      </c>
    </row>
    <row r="170" spans="1:4" ht="15.75" customHeight="1">
      <c r="A170" s="7">
        <v>40201</v>
      </c>
      <c r="B170" s="8" t="s">
        <v>222</v>
      </c>
      <c r="C170" s="46">
        <v>78</v>
      </c>
      <c r="D170" s="46">
        <v>39</v>
      </c>
    </row>
    <row r="171" spans="1:4" ht="15.75" customHeight="1">
      <c r="A171" s="7">
        <v>40202</v>
      </c>
      <c r="B171" s="8" t="s">
        <v>223</v>
      </c>
      <c r="C171" s="46">
        <v>11</v>
      </c>
      <c r="D171" s="46">
        <v>15</v>
      </c>
    </row>
    <row r="172" spans="1:4" ht="15.75" customHeight="1">
      <c r="A172" s="7">
        <v>40301</v>
      </c>
      <c r="B172" s="8" t="s">
        <v>225</v>
      </c>
      <c r="C172" s="46">
        <v>4</v>
      </c>
      <c r="D172" s="46">
        <v>14</v>
      </c>
    </row>
    <row r="173" spans="1:4" ht="15.75" customHeight="1">
      <c r="A173" s="7">
        <v>40302</v>
      </c>
      <c r="B173" s="8" t="s">
        <v>226</v>
      </c>
      <c r="C173" s="46">
        <v>3</v>
      </c>
      <c r="D173" s="46">
        <v>2</v>
      </c>
    </row>
    <row r="174" spans="1:4" ht="15.75" customHeight="1">
      <c r="A174" s="7">
        <v>40401</v>
      </c>
      <c r="B174" s="8" t="s">
        <v>228</v>
      </c>
      <c r="C174" s="46">
        <v>10</v>
      </c>
      <c r="D174" s="46">
        <v>14</v>
      </c>
    </row>
    <row r="175" spans="1:4" ht="15.75" customHeight="1">
      <c r="A175" s="7">
        <v>40402</v>
      </c>
      <c r="B175" s="8" t="s">
        <v>229</v>
      </c>
      <c r="C175" s="46">
        <v>8</v>
      </c>
      <c r="D175" s="46">
        <v>1</v>
      </c>
    </row>
    <row r="176" spans="1:4" ht="15.75" customHeight="1">
      <c r="A176" s="7">
        <v>40501</v>
      </c>
      <c r="B176" s="8" t="s">
        <v>231</v>
      </c>
      <c r="C176" s="46">
        <v>1</v>
      </c>
      <c r="D176" s="46">
        <v>1</v>
      </c>
    </row>
    <row r="177" spans="1:4" ht="15.75" customHeight="1">
      <c r="A177" s="7">
        <v>40502</v>
      </c>
      <c r="B177" s="8" t="s">
        <v>232</v>
      </c>
      <c r="C177" s="46">
        <v>5</v>
      </c>
      <c r="D177" s="46">
        <v>1</v>
      </c>
    </row>
    <row r="178" spans="1:4" ht="15.75" customHeight="1">
      <c r="A178" s="7">
        <v>40503</v>
      </c>
      <c r="B178" s="8" t="s">
        <v>233</v>
      </c>
      <c r="C178" s="46">
        <v>2</v>
      </c>
      <c r="D178" s="46">
        <v>1</v>
      </c>
    </row>
    <row r="179" spans="1:4" ht="15.75" customHeight="1">
      <c r="A179" s="7">
        <v>40504</v>
      </c>
      <c r="B179" s="8" t="s">
        <v>234</v>
      </c>
      <c r="C179" s="46">
        <v>0</v>
      </c>
      <c r="D179" s="46">
        <v>0</v>
      </c>
    </row>
    <row r="180" spans="1:4" ht="15.75" customHeight="1">
      <c r="A180" s="7">
        <v>40505</v>
      </c>
      <c r="B180" s="8" t="s">
        <v>235</v>
      </c>
      <c r="C180" s="46">
        <v>3</v>
      </c>
      <c r="D180" s="46">
        <v>3</v>
      </c>
    </row>
    <row r="181" spans="1:4" ht="15.75" customHeight="1">
      <c r="A181" s="7">
        <v>40601</v>
      </c>
      <c r="B181" s="8" t="s">
        <v>236</v>
      </c>
      <c r="C181" s="46">
        <v>17</v>
      </c>
      <c r="D181" s="46">
        <v>9</v>
      </c>
    </row>
    <row r="182" spans="1:4" ht="15.75" customHeight="1">
      <c r="A182" s="7">
        <v>40602</v>
      </c>
      <c r="B182" s="8" t="s">
        <v>237</v>
      </c>
      <c r="C182" s="46">
        <v>6</v>
      </c>
      <c r="D182" s="46">
        <v>3</v>
      </c>
    </row>
    <row r="183" spans="1:4" ht="15.75" customHeight="1">
      <c r="A183" s="7">
        <v>40603</v>
      </c>
      <c r="B183" s="8" t="s">
        <v>238</v>
      </c>
      <c r="C183" s="46">
        <v>1</v>
      </c>
      <c r="D183" s="46">
        <v>2</v>
      </c>
    </row>
    <row r="184" spans="1:4" ht="15.75" customHeight="1">
      <c r="A184" s="7">
        <v>40701</v>
      </c>
      <c r="B184" s="8" t="s">
        <v>240</v>
      </c>
      <c r="C184" s="46">
        <v>38</v>
      </c>
      <c r="D184" s="46">
        <v>37</v>
      </c>
    </row>
    <row r="185" spans="1:4" ht="15.75" customHeight="1">
      <c r="A185" s="7">
        <v>40702</v>
      </c>
      <c r="B185" s="8" t="s">
        <v>241</v>
      </c>
      <c r="C185" s="46">
        <v>4</v>
      </c>
      <c r="D185" s="46">
        <v>6</v>
      </c>
    </row>
    <row r="186" spans="1:4" ht="15.75" customHeight="1">
      <c r="A186" s="7">
        <v>40801</v>
      </c>
      <c r="B186" s="8" t="s">
        <v>243</v>
      </c>
      <c r="C186" s="46">
        <v>16</v>
      </c>
      <c r="D186" s="46">
        <v>9</v>
      </c>
    </row>
    <row r="187" spans="1:4" ht="15.75" customHeight="1">
      <c r="A187" s="7">
        <v>40802</v>
      </c>
      <c r="B187" s="8" t="s">
        <v>244</v>
      </c>
      <c r="C187" s="46">
        <v>3</v>
      </c>
      <c r="D187" s="46">
        <v>3</v>
      </c>
    </row>
    <row r="188" spans="1:4" ht="15.75" customHeight="1">
      <c r="A188" s="7">
        <v>40901</v>
      </c>
      <c r="B188" s="8" t="s">
        <v>245</v>
      </c>
      <c r="C188" s="46">
        <v>6</v>
      </c>
      <c r="D188" s="46">
        <v>9</v>
      </c>
    </row>
    <row r="189" spans="1:4" ht="15.75" customHeight="1">
      <c r="A189" s="7">
        <v>40902</v>
      </c>
      <c r="B189" s="8" t="s">
        <v>246</v>
      </c>
      <c r="C189" s="46">
        <v>0</v>
      </c>
      <c r="D189" s="46">
        <v>0</v>
      </c>
    </row>
    <row r="190" spans="1:4" ht="15.75" customHeight="1">
      <c r="A190" s="7">
        <v>40903</v>
      </c>
      <c r="B190" s="8" t="s">
        <v>247</v>
      </c>
      <c r="C190" s="46">
        <v>4</v>
      </c>
      <c r="D190" s="46">
        <v>1</v>
      </c>
    </row>
    <row r="191" spans="1:4" ht="15.75" customHeight="1">
      <c r="A191" s="7">
        <v>41001</v>
      </c>
      <c r="B191" s="8" t="s">
        <v>249</v>
      </c>
      <c r="C191" s="46">
        <v>9</v>
      </c>
      <c r="D191" s="46">
        <v>8</v>
      </c>
    </row>
    <row r="192" spans="1:4" ht="15.75" customHeight="1">
      <c r="A192" s="7">
        <v>41101</v>
      </c>
      <c r="B192" s="8" t="s">
        <v>251</v>
      </c>
      <c r="C192" s="46">
        <v>13</v>
      </c>
      <c r="D192" s="46">
        <v>13</v>
      </c>
    </row>
    <row r="193" spans="1:4" ht="15.75" customHeight="1">
      <c r="A193" s="7">
        <v>41201</v>
      </c>
      <c r="B193" s="8" t="s">
        <v>253</v>
      </c>
      <c r="C193" s="46">
        <v>5</v>
      </c>
      <c r="D193" s="46">
        <v>4</v>
      </c>
    </row>
    <row r="194" spans="1:4" ht="15.75" customHeight="1">
      <c r="A194" s="7">
        <v>41202</v>
      </c>
      <c r="B194" s="8" t="s">
        <v>254</v>
      </c>
      <c r="C194" s="46">
        <v>1</v>
      </c>
      <c r="D194" s="46">
        <v>0</v>
      </c>
    </row>
    <row r="195" spans="1:4" ht="15.75" customHeight="1">
      <c r="A195" s="7">
        <v>41301</v>
      </c>
      <c r="B195" s="8" t="s">
        <v>255</v>
      </c>
      <c r="C195" s="46">
        <v>3</v>
      </c>
      <c r="D195" s="46">
        <v>13</v>
      </c>
    </row>
    <row r="196" spans="1:4" ht="15.75" customHeight="1">
      <c r="A196" s="7">
        <v>41401</v>
      </c>
      <c r="B196" s="8" t="s">
        <v>257</v>
      </c>
      <c r="C196" s="46">
        <v>20</v>
      </c>
      <c r="D196" s="46">
        <v>6</v>
      </c>
    </row>
    <row r="197" spans="1:4" ht="15.75" customHeight="1">
      <c r="A197" s="7">
        <v>41501</v>
      </c>
      <c r="B197" s="8" t="s">
        <v>259</v>
      </c>
      <c r="C197" s="46">
        <v>1</v>
      </c>
      <c r="D197" s="46">
        <v>0</v>
      </c>
    </row>
    <row r="198" spans="1:4" ht="15.75" customHeight="1">
      <c r="A198" s="7">
        <v>41502</v>
      </c>
      <c r="B198" s="8" t="s">
        <v>260</v>
      </c>
      <c r="C198" s="46">
        <v>0</v>
      </c>
      <c r="D198" s="46">
        <v>0</v>
      </c>
    </row>
    <row r="199" spans="1:4" ht="15.75" customHeight="1">
      <c r="A199" s="7">
        <v>41503</v>
      </c>
      <c r="B199" s="8" t="s">
        <v>224</v>
      </c>
      <c r="C199" s="46">
        <v>0</v>
      </c>
      <c r="D199" s="46">
        <v>0</v>
      </c>
    </row>
    <row r="200" spans="1:4" ht="15.75" customHeight="1">
      <c r="A200" s="7">
        <v>41601</v>
      </c>
      <c r="B200" s="8" t="s">
        <v>262</v>
      </c>
      <c r="C200" s="46">
        <v>7</v>
      </c>
      <c r="D200" s="46">
        <v>5</v>
      </c>
    </row>
    <row r="201" spans="1:4" ht="15.75" customHeight="1">
      <c r="A201" s="7">
        <v>50101</v>
      </c>
      <c r="B201" s="8" t="s">
        <v>263</v>
      </c>
      <c r="C201" s="46">
        <v>275</v>
      </c>
      <c r="D201" s="46">
        <v>297</v>
      </c>
    </row>
    <row r="202" spans="1:4" ht="15.75" customHeight="1">
      <c r="A202" s="7">
        <v>50102</v>
      </c>
      <c r="B202" s="8" t="s">
        <v>265</v>
      </c>
      <c r="C202" s="46">
        <v>111</v>
      </c>
      <c r="D202" s="46">
        <v>84</v>
      </c>
    </row>
    <row r="203" spans="1:4" ht="15.75" customHeight="1">
      <c r="A203" s="7">
        <v>50103</v>
      </c>
      <c r="B203" s="8" t="s">
        <v>266</v>
      </c>
      <c r="C203" s="46">
        <v>11</v>
      </c>
      <c r="D203" s="46">
        <v>18</v>
      </c>
    </row>
    <row r="204" spans="1:4" ht="15.75" customHeight="1">
      <c r="A204" s="7">
        <v>50104</v>
      </c>
      <c r="B204" s="8" t="s">
        <v>267</v>
      </c>
      <c r="C204" s="46">
        <v>3</v>
      </c>
      <c r="D204" s="46">
        <v>2</v>
      </c>
    </row>
    <row r="205" spans="1:4" ht="15.75" customHeight="1">
      <c r="A205" s="7">
        <v>50201</v>
      </c>
      <c r="B205" s="8" t="s">
        <v>269</v>
      </c>
      <c r="C205" s="46">
        <v>72</v>
      </c>
      <c r="D205" s="46">
        <v>40</v>
      </c>
    </row>
    <row r="206" spans="1:4" ht="15.75" customHeight="1">
      <c r="A206" s="7">
        <v>50202</v>
      </c>
      <c r="B206" s="8" t="s">
        <v>270</v>
      </c>
      <c r="C206" s="46">
        <v>45</v>
      </c>
      <c r="D206" s="46">
        <v>13</v>
      </c>
    </row>
    <row r="207" spans="1:4" ht="15.75" customHeight="1">
      <c r="A207" s="7">
        <v>50203</v>
      </c>
      <c r="B207" s="8" t="s">
        <v>271</v>
      </c>
      <c r="C207" s="46">
        <v>76</v>
      </c>
      <c r="D207" s="46">
        <v>53</v>
      </c>
    </row>
    <row r="208" spans="1:4" ht="15.75" customHeight="1">
      <c r="A208" s="7">
        <v>50204</v>
      </c>
      <c r="B208" s="8" t="s">
        <v>272</v>
      </c>
      <c r="C208" s="46">
        <v>46</v>
      </c>
      <c r="D208" s="46">
        <v>19</v>
      </c>
    </row>
    <row r="209" spans="1:4" ht="15.75" customHeight="1">
      <c r="A209" s="7">
        <v>50301</v>
      </c>
      <c r="B209" s="8" t="s">
        <v>274</v>
      </c>
      <c r="C209" s="46">
        <v>71</v>
      </c>
      <c r="D209" s="46">
        <v>53</v>
      </c>
    </row>
    <row r="210" spans="1:4" ht="15.75" customHeight="1">
      <c r="A210" s="7">
        <v>50302</v>
      </c>
      <c r="B210" s="8" t="s">
        <v>275</v>
      </c>
      <c r="C210" s="46">
        <v>24</v>
      </c>
      <c r="D210" s="46">
        <v>36</v>
      </c>
    </row>
    <row r="211" spans="1:4" ht="15.75" customHeight="1">
      <c r="A211" s="7">
        <v>50303</v>
      </c>
      <c r="B211" s="8" t="s">
        <v>276</v>
      </c>
      <c r="C211" s="46">
        <v>35</v>
      </c>
      <c r="D211" s="46">
        <v>22</v>
      </c>
    </row>
    <row r="212" spans="1:4" ht="15.75" customHeight="1">
      <c r="A212" s="7">
        <v>50401</v>
      </c>
      <c r="B212" s="8" t="s">
        <v>277</v>
      </c>
      <c r="C212" s="46">
        <v>178</v>
      </c>
      <c r="D212" s="46">
        <v>54</v>
      </c>
    </row>
    <row r="213" spans="1:4" ht="15.75" customHeight="1">
      <c r="A213" s="7">
        <v>50402</v>
      </c>
      <c r="B213" s="8" t="s">
        <v>278</v>
      </c>
      <c r="C213" s="46">
        <v>42</v>
      </c>
      <c r="D213" s="46">
        <v>25</v>
      </c>
    </row>
    <row r="214" spans="1:4" ht="15.75" customHeight="1">
      <c r="A214" s="7">
        <v>50403</v>
      </c>
      <c r="B214" s="8" t="s">
        <v>279</v>
      </c>
      <c r="C214" s="46">
        <v>89</v>
      </c>
      <c r="D214" s="46">
        <v>88</v>
      </c>
    </row>
    <row r="215" spans="1:4" ht="15.75" customHeight="1">
      <c r="A215" s="7">
        <v>50404</v>
      </c>
      <c r="B215" s="8" t="s">
        <v>280</v>
      </c>
      <c r="C215" s="46">
        <v>71</v>
      </c>
      <c r="D215" s="46">
        <v>36</v>
      </c>
    </row>
    <row r="216" spans="1:4" ht="15.75" customHeight="1">
      <c r="A216" s="7">
        <v>50405</v>
      </c>
      <c r="B216" s="44" t="s">
        <v>281</v>
      </c>
      <c r="C216" s="46">
        <v>178</v>
      </c>
      <c r="D216" s="46">
        <v>54</v>
      </c>
    </row>
    <row r="217" spans="1:4" ht="15.75" customHeight="1">
      <c r="A217" s="7">
        <v>50501</v>
      </c>
      <c r="B217" s="8" t="s">
        <v>283</v>
      </c>
      <c r="C217" s="46">
        <v>128</v>
      </c>
      <c r="D217" s="46">
        <v>70</v>
      </c>
    </row>
    <row r="218" spans="1:4" ht="15.75" customHeight="1">
      <c r="A218" s="7">
        <v>50502</v>
      </c>
      <c r="B218" s="8" t="s">
        <v>284</v>
      </c>
      <c r="C218" s="46">
        <v>31</v>
      </c>
      <c r="D218" s="46">
        <v>27</v>
      </c>
    </row>
    <row r="219" spans="1:4" ht="15.75" customHeight="1">
      <c r="A219" s="7">
        <v>50601</v>
      </c>
      <c r="B219" s="8" t="s">
        <v>286</v>
      </c>
      <c r="C219" s="46">
        <v>21</v>
      </c>
      <c r="D219" s="46">
        <v>37</v>
      </c>
    </row>
    <row r="220" spans="1:4" ht="15.75" customHeight="1">
      <c r="A220" s="7">
        <v>50602</v>
      </c>
      <c r="B220" s="8" t="s">
        <v>287</v>
      </c>
      <c r="C220" s="46">
        <v>8</v>
      </c>
      <c r="D220" s="46">
        <v>10</v>
      </c>
    </row>
    <row r="221" spans="1:4" ht="15.75" customHeight="1">
      <c r="A221" s="7">
        <v>50701</v>
      </c>
      <c r="B221" s="8" t="s">
        <v>289</v>
      </c>
      <c r="C221" s="46">
        <v>39</v>
      </c>
      <c r="D221" s="46">
        <v>41</v>
      </c>
    </row>
    <row r="222" spans="1:4" ht="15.75" customHeight="1">
      <c r="A222" s="7">
        <v>50702</v>
      </c>
      <c r="B222" s="8" t="s">
        <v>290</v>
      </c>
      <c r="C222" s="46">
        <v>21</v>
      </c>
      <c r="D222" s="46">
        <v>14</v>
      </c>
    </row>
    <row r="223" spans="1:4" ht="15.75" customHeight="1">
      <c r="A223" s="7">
        <v>50801</v>
      </c>
      <c r="B223" s="8" t="s">
        <v>292</v>
      </c>
      <c r="C223" s="46">
        <v>28</v>
      </c>
      <c r="D223" s="46">
        <v>33</v>
      </c>
    </row>
    <row r="224" spans="1:4" ht="15.75" customHeight="1">
      <c r="A224" s="7">
        <v>50802</v>
      </c>
      <c r="B224" s="8" t="s">
        <v>293</v>
      </c>
      <c r="C224" s="46">
        <v>3</v>
      </c>
      <c r="D224" s="46">
        <v>14</v>
      </c>
    </row>
    <row r="225" spans="1:4" ht="15.75" customHeight="1">
      <c r="A225" s="7">
        <v>50901</v>
      </c>
      <c r="B225" s="8" t="s">
        <v>295</v>
      </c>
      <c r="C225" s="46">
        <v>7</v>
      </c>
      <c r="D225" s="46">
        <v>11</v>
      </c>
    </row>
    <row r="226" spans="1:4" ht="15.75" customHeight="1">
      <c r="A226" s="7">
        <v>50902</v>
      </c>
      <c r="B226" s="8" t="s">
        <v>296</v>
      </c>
      <c r="C226" s="46">
        <v>1</v>
      </c>
      <c r="D226" s="46">
        <v>1</v>
      </c>
    </row>
    <row r="227" spans="1:4" ht="15.75" customHeight="1">
      <c r="A227" s="7">
        <v>51001</v>
      </c>
      <c r="B227" s="8" t="s">
        <v>298</v>
      </c>
      <c r="C227" s="46">
        <v>4</v>
      </c>
      <c r="D227" s="46">
        <v>8</v>
      </c>
    </row>
    <row r="228" spans="1:4" ht="15.75" customHeight="1">
      <c r="A228" s="7">
        <v>51002</v>
      </c>
      <c r="B228" s="8" t="s">
        <v>299</v>
      </c>
      <c r="C228" s="46">
        <v>0</v>
      </c>
      <c r="D228" s="46">
        <v>0</v>
      </c>
    </row>
    <row r="229" spans="1:4" ht="15.75" customHeight="1">
      <c r="A229" s="7">
        <v>51003</v>
      </c>
      <c r="B229" s="8" t="s">
        <v>300</v>
      </c>
      <c r="C229" s="46">
        <v>0</v>
      </c>
      <c r="D229" s="46">
        <v>1</v>
      </c>
    </row>
    <row r="230" spans="1:4" ht="15.75" customHeight="1">
      <c r="A230" s="7">
        <v>51101</v>
      </c>
      <c r="B230" s="8" t="s">
        <v>302</v>
      </c>
      <c r="C230" s="46">
        <v>18</v>
      </c>
      <c r="D230" s="46">
        <v>11</v>
      </c>
    </row>
    <row r="231" spans="1:4" ht="15.75" customHeight="1">
      <c r="A231" s="7">
        <v>51102</v>
      </c>
      <c r="B231" s="8" t="s">
        <v>303</v>
      </c>
      <c r="C231" s="46">
        <v>7</v>
      </c>
      <c r="D231" s="46">
        <v>33</v>
      </c>
    </row>
    <row r="232" spans="1:4" ht="15.75" customHeight="1">
      <c r="A232" s="7">
        <v>51103</v>
      </c>
      <c r="B232" s="8" t="s">
        <v>304</v>
      </c>
      <c r="C232" s="46">
        <v>44</v>
      </c>
      <c r="D232" s="46">
        <v>26</v>
      </c>
    </row>
    <row r="233" spans="1:4" ht="15.75" customHeight="1">
      <c r="A233" s="7">
        <v>51201</v>
      </c>
      <c r="B233" s="8" t="s">
        <v>306</v>
      </c>
      <c r="C233" s="46">
        <v>21</v>
      </c>
      <c r="D233" s="46">
        <v>38</v>
      </c>
    </row>
    <row r="234" spans="1:4" ht="15.75" customHeight="1">
      <c r="A234" s="7">
        <v>51202</v>
      </c>
      <c r="B234" s="8" t="s">
        <v>307</v>
      </c>
      <c r="C234" s="46">
        <v>17</v>
      </c>
      <c r="D234" s="46">
        <v>10</v>
      </c>
    </row>
    <row r="235" spans="1:4" ht="15.75" customHeight="1">
      <c r="A235" s="7">
        <v>51203</v>
      </c>
      <c r="B235" s="8" t="s">
        <v>308</v>
      </c>
      <c r="C235" s="46">
        <v>10</v>
      </c>
      <c r="D235" s="46">
        <v>12</v>
      </c>
    </row>
    <row r="236" spans="1:4" ht="15.75" customHeight="1">
      <c r="A236" s="7">
        <v>51204</v>
      </c>
      <c r="B236" s="44" t="s">
        <v>309</v>
      </c>
      <c r="C236" s="46">
        <v>17</v>
      </c>
      <c r="D236" s="46">
        <v>3</v>
      </c>
    </row>
    <row r="237" spans="1:4" ht="15.75" customHeight="1">
      <c r="A237" s="7">
        <v>51301</v>
      </c>
      <c r="B237" s="8" t="s">
        <v>311</v>
      </c>
      <c r="C237" s="46">
        <v>4</v>
      </c>
      <c r="D237" s="46">
        <v>10</v>
      </c>
    </row>
    <row r="238" spans="1:4" ht="15.75" customHeight="1">
      <c r="A238" s="7">
        <v>51302</v>
      </c>
      <c r="B238" s="8" t="s">
        <v>312</v>
      </c>
      <c r="C238" s="46">
        <v>7</v>
      </c>
      <c r="D238" s="46">
        <v>10</v>
      </c>
    </row>
    <row r="239" spans="1:4" ht="15.75" customHeight="1">
      <c r="A239" s="7">
        <v>51401</v>
      </c>
      <c r="B239" s="8" t="s">
        <v>314</v>
      </c>
      <c r="C239" s="46">
        <v>8</v>
      </c>
      <c r="D239" s="46">
        <v>7</v>
      </c>
    </row>
    <row r="240" spans="1:4" ht="15.75" customHeight="1">
      <c r="A240" s="7">
        <v>51402</v>
      </c>
      <c r="B240" s="8" t="s">
        <v>315</v>
      </c>
      <c r="C240" s="46">
        <v>2</v>
      </c>
      <c r="D240" s="46">
        <v>0</v>
      </c>
    </row>
    <row r="241" spans="1:4" ht="15.75" customHeight="1">
      <c r="A241" s="7">
        <v>51501</v>
      </c>
      <c r="B241" s="8" t="s">
        <v>317</v>
      </c>
      <c r="C241" s="46">
        <v>35</v>
      </c>
      <c r="D241" s="46">
        <v>47</v>
      </c>
    </row>
    <row r="242" spans="1:4" ht="15.75" customHeight="1">
      <c r="A242" s="7">
        <v>51601</v>
      </c>
      <c r="B242" s="8" t="s">
        <v>319</v>
      </c>
      <c r="C242" s="46">
        <v>0</v>
      </c>
      <c r="D242" s="46">
        <v>6</v>
      </c>
    </row>
    <row r="243" spans="1:4" ht="15.75" customHeight="1">
      <c r="A243" s="7">
        <v>60101</v>
      </c>
      <c r="B243" s="8" t="s">
        <v>25</v>
      </c>
      <c r="C243" s="46">
        <v>76</v>
      </c>
      <c r="D243" s="46">
        <v>145</v>
      </c>
    </row>
    <row r="244" spans="1:4" ht="15.75" customHeight="1">
      <c r="A244" s="7">
        <v>60201</v>
      </c>
      <c r="B244" s="8" t="s">
        <v>321</v>
      </c>
      <c r="C244" s="46">
        <v>9</v>
      </c>
      <c r="D244" s="46">
        <v>12</v>
      </c>
    </row>
    <row r="245" spans="1:4" ht="15.75" customHeight="1">
      <c r="A245" s="7">
        <v>60202</v>
      </c>
      <c r="B245" s="8" t="s">
        <v>322</v>
      </c>
      <c r="C245" s="46">
        <v>22</v>
      </c>
      <c r="D245" s="46">
        <v>27</v>
      </c>
    </row>
    <row r="246" spans="1:4" ht="15.75" customHeight="1">
      <c r="A246" s="7">
        <v>60301</v>
      </c>
      <c r="B246" s="8" t="s">
        <v>324</v>
      </c>
      <c r="C246" s="46">
        <v>67</v>
      </c>
      <c r="D246" s="46">
        <v>91</v>
      </c>
    </row>
    <row r="247" spans="1:4" ht="15.75" customHeight="1">
      <c r="A247" s="7">
        <v>60302</v>
      </c>
      <c r="B247" s="8" t="s">
        <v>325</v>
      </c>
      <c r="C247" s="46">
        <v>6</v>
      </c>
      <c r="D247" s="46">
        <v>4</v>
      </c>
    </row>
    <row r="248" spans="1:4" ht="15.75" customHeight="1">
      <c r="A248" s="7">
        <v>60303</v>
      </c>
      <c r="B248" s="8" t="s">
        <v>326</v>
      </c>
      <c r="C248" s="46">
        <v>41</v>
      </c>
      <c r="D248" s="46">
        <v>35</v>
      </c>
    </row>
    <row r="249" spans="1:4" ht="15.75" customHeight="1">
      <c r="A249" s="7">
        <v>60401</v>
      </c>
      <c r="B249" s="8" t="s">
        <v>328</v>
      </c>
      <c r="C249" s="46">
        <v>5</v>
      </c>
      <c r="D249" s="46">
        <v>10</v>
      </c>
    </row>
    <row r="250" spans="1:4" ht="15.75" customHeight="1">
      <c r="A250" s="7">
        <v>60402</v>
      </c>
      <c r="B250" s="8" t="s">
        <v>329</v>
      </c>
      <c r="C250" s="46">
        <v>10</v>
      </c>
      <c r="D250" s="46">
        <v>6</v>
      </c>
    </row>
    <row r="251" spans="1:4" ht="15.75" customHeight="1">
      <c r="A251" s="7">
        <v>60501</v>
      </c>
      <c r="B251" s="8" t="s">
        <v>331</v>
      </c>
      <c r="C251" s="46">
        <v>14</v>
      </c>
      <c r="D251" s="46">
        <v>8</v>
      </c>
    </row>
    <row r="252" spans="1:4" ht="15.75" customHeight="1">
      <c r="A252" s="7">
        <v>60502</v>
      </c>
      <c r="B252" s="8" t="s">
        <v>332</v>
      </c>
      <c r="C252" s="46">
        <v>9</v>
      </c>
      <c r="D252" s="46">
        <v>18</v>
      </c>
    </row>
    <row r="253" spans="1:4" ht="15.75" customHeight="1">
      <c r="A253" s="7">
        <v>60601</v>
      </c>
      <c r="B253" s="8" t="s">
        <v>205</v>
      </c>
      <c r="C253" s="46">
        <v>11</v>
      </c>
      <c r="D253" s="46">
        <v>19</v>
      </c>
    </row>
    <row r="254" spans="1:4" ht="15.75" customHeight="1">
      <c r="A254" s="7">
        <v>70101</v>
      </c>
      <c r="B254" s="8" t="s">
        <v>335</v>
      </c>
      <c r="C254" s="46">
        <v>1028</v>
      </c>
      <c r="D254" s="46">
        <v>963</v>
      </c>
    </row>
    <row r="255" spans="1:4" ht="15.75" customHeight="1">
      <c r="A255" s="7">
        <v>70102</v>
      </c>
      <c r="B255" s="8" t="s">
        <v>336</v>
      </c>
      <c r="C255" s="46">
        <v>74</v>
      </c>
      <c r="D255" s="46">
        <v>97</v>
      </c>
    </row>
    <row r="256" spans="1:4" ht="15.75" customHeight="1">
      <c r="A256" s="7">
        <v>70103</v>
      </c>
      <c r="B256" s="8" t="s">
        <v>337</v>
      </c>
      <c r="C256" s="46">
        <v>6</v>
      </c>
      <c r="D256" s="46">
        <v>10</v>
      </c>
    </row>
    <row r="257" spans="1:4" ht="15.75" customHeight="1">
      <c r="A257" s="7">
        <v>70104</v>
      </c>
      <c r="B257" s="8" t="s">
        <v>338</v>
      </c>
      <c r="C257" s="46">
        <v>60</v>
      </c>
      <c r="D257" s="46">
        <v>79</v>
      </c>
    </row>
    <row r="258" spans="1:4" ht="15.75" customHeight="1">
      <c r="A258" s="7">
        <v>70105</v>
      </c>
      <c r="B258" s="8" t="s">
        <v>339</v>
      </c>
      <c r="C258" s="46">
        <v>40</v>
      </c>
      <c r="D258" s="46">
        <v>47</v>
      </c>
    </row>
    <row r="259" spans="1:4" ht="15.75" customHeight="1">
      <c r="A259" s="7">
        <v>70201</v>
      </c>
      <c r="B259" s="8" t="s">
        <v>340</v>
      </c>
      <c r="C259" s="46">
        <v>76</v>
      </c>
      <c r="D259" s="46">
        <v>111</v>
      </c>
    </row>
    <row r="260" spans="1:4" ht="15.75" customHeight="1">
      <c r="A260" s="7">
        <v>70202</v>
      </c>
      <c r="B260" s="8" t="s">
        <v>341</v>
      </c>
      <c r="C260" s="46">
        <v>7</v>
      </c>
      <c r="D260" s="46">
        <v>10</v>
      </c>
    </row>
    <row r="261" spans="1:4" ht="15.75" customHeight="1">
      <c r="A261" s="7">
        <v>70301</v>
      </c>
      <c r="B261" s="8" t="s">
        <v>343</v>
      </c>
      <c r="C261" s="46">
        <v>68</v>
      </c>
      <c r="D261" s="46">
        <v>58</v>
      </c>
    </row>
    <row r="262" spans="1:4" ht="15.75" customHeight="1">
      <c r="A262" s="7">
        <v>70302</v>
      </c>
      <c r="B262" s="8" t="s">
        <v>344</v>
      </c>
      <c r="C262" s="46">
        <v>19</v>
      </c>
      <c r="D262" s="46">
        <v>20</v>
      </c>
    </row>
    <row r="263" spans="1:4" ht="15.75" customHeight="1">
      <c r="A263" s="7">
        <v>70303</v>
      </c>
      <c r="B263" s="8" t="s">
        <v>345</v>
      </c>
      <c r="C263" s="46">
        <v>10</v>
      </c>
      <c r="D263" s="46">
        <v>4</v>
      </c>
    </row>
    <row r="264" spans="1:4" ht="15.75" customHeight="1">
      <c r="A264" s="7">
        <v>70401</v>
      </c>
      <c r="B264" s="8" t="s">
        <v>347</v>
      </c>
      <c r="C264" s="46">
        <v>9</v>
      </c>
      <c r="D264" s="46">
        <v>6</v>
      </c>
    </row>
    <row r="265" spans="1:4" ht="15.75" customHeight="1">
      <c r="A265" s="7">
        <v>70402</v>
      </c>
      <c r="B265" s="8" t="s">
        <v>348</v>
      </c>
      <c r="C265" s="46">
        <v>16</v>
      </c>
      <c r="D265" s="46">
        <v>25</v>
      </c>
    </row>
    <row r="266" spans="1:4" ht="15.75" customHeight="1">
      <c r="A266" s="7">
        <v>70403</v>
      </c>
      <c r="B266" s="8" t="s">
        <v>349</v>
      </c>
      <c r="C266" s="46">
        <v>86</v>
      </c>
      <c r="D266" s="46">
        <v>110</v>
      </c>
    </row>
    <row r="267" spans="1:4" ht="15.75" customHeight="1">
      <c r="A267" s="7">
        <v>70404</v>
      </c>
      <c r="B267" s="8" t="s">
        <v>350</v>
      </c>
      <c r="C267" s="46">
        <v>11</v>
      </c>
      <c r="D267" s="46">
        <v>19</v>
      </c>
    </row>
    <row r="268" spans="1:4" ht="15.75" customHeight="1">
      <c r="A268" s="7">
        <v>70501</v>
      </c>
      <c r="B268" s="8" t="s">
        <v>352</v>
      </c>
      <c r="C268" s="46">
        <v>16</v>
      </c>
      <c r="D268" s="46">
        <v>53</v>
      </c>
    </row>
    <row r="269" spans="1:4" ht="15.75" customHeight="1">
      <c r="A269" s="7">
        <v>70502</v>
      </c>
      <c r="B269" s="8" t="s">
        <v>353</v>
      </c>
      <c r="C269" s="46">
        <v>30</v>
      </c>
      <c r="D269" s="46">
        <v>57</v>
      </c>
    </row>
    <row r="270" spans="1:4" ht="15.75" customHeight="1">
      <c r="A270" s="7">
        <v>70503</v>
      </c>
      <c r="B270" s="8" t="s">
        <v>354</v>
      </c>
      <c r="C270" s="46">
        <v>17</v>
      </c>
      <c r="D270" s="46">
        <v>21</v>
      </c>
    </row>
    <row r="271" spans="1:4" ht="15.75" customHeight="1">
      <c r="A271" s="7">
        <v>70601</v>
      </c>
      <c r="B271" s="8" t="s">
        <v>356</v>
      </c>
      <c r="C271" s="46">
        <v>9</v>
      </c>
      <c r="D271" s="46">
        <v>6</v>
      </c>
    </row>
    <row r="272" spans="1:4" ht="15.75" customHeight="1">
      <c r="A272" s="7">
        <v>70602</v>
      </c>
      <c r="B272" s="8" t="s">
        <v>357</v>
      </c>
      <c r="C272" s="46">
        <v>18</v>
      </c>
      <c r="D272" s="46">
        <v>19</v>
      </c>
    </row>
    <row r="273" spans="1:4" ht="15.75" customHeight="1">
      <c r="A273" s="7">
        <v>70603</v>
      </c>
      <c r="B273" s="8" t="s">
        <v>358</v>
      </c>
      <c r="C273" s="46">
        <v>5</v>
      </c>
      <c r="D273" s="46">
        <v>0</v>
      </c>
    </row>
    <row r="274" spans="1:4" ht="15.75" customHeight="1">
      <c r="A274" s="7">
        <v>70701</v>
      </c>
      <c r="B274" s="8" t="s">
        <v>360</v>
      </c>
      <c r="C274" s="46">
        <v>4</v>
      </c>
      <c r="D274" s="46">
        <v>3</v>
      </c>
    </row>
    <row r="275" spans="1:4" ht="15.75" customHeight="1">
      <c r="A275" s="7">
        <v>70702</v>
      </c>
      <c r="B275" s="8" t="s">
        <v>361</v>
      </c>
      <c r="C275" s="46">
        <v>44</v>
      </c>
      <c r="D275" s="46">
        <v>65</v>
      </c>
    </row>
    <row r="276" spans="1:4" ht="15.75" customHeight="1">
      <c r="A276" s="7">
        <v>70703</v>
      </c>
      <c r="B276" s="8" t="s">
        <v>362</v>
      </c>
      <c r="C276" s="46">
        <v>17</v>
      </c>
      <c r="D276" s="46">
        <v>37</v>
      </c>
    </row>
    <row r="277" spans="1:4" ht="15.75" customHeight="1">
      <c r="A277" s="7">
        <v>70704</v>
      </c>
      <c r="B277" s="8" t="s">
        <v>363</v>
      </c>
      <c r="C277" s="46">
        <v>2</v>
      </c>
      <c r="D277" s="46">
        <v>4</v>
      </c>
    </row>
    <row r="278" spans="1:4" ht="15.75" customHeight="1">
      <c r="A278" s="7">
        <v>70705</v>
      </c>
      <c r="B278" s="8" t="s">
        <v>364</v>
      </c>
      <c r="C278" s="46">
        <v>35</v>
      </c>
      <c r="D278" s="46">
        <v>15</v>
      </c>
    </row>
    <row r="279" spans="1:4" ht="15.75" customHeight="1">
      <c r="A279" s="7">
        <v>70706</v>
      </c>
      <c r="B279" s="8" t="s">
        <v>365</v>
      </c>
      <c r="C279" s="46">
        <v>20</v>
      </c>
      <c r="D279" s="46">
        <v>20</v>
      </c>
    </row>
    <row r="280" spans="1:4" ht="15.75" customHeight="1">
      <c r="A280" s="7">
        <v>70707</v>
      </c>
      <c r="B280" s="8" t="s">
        <v>366</v>
      </c>
      <c r="C280" s="46">
        <v>2</v>
      </c>
      <c r="D280" s="46">
        <v>4</v>
      </c>
    </row>
    <row r="281" spans="1:4" ht="15.75" customHeight="1">
      <c r="A281" s="7">
        <v>70801</v>
      </c>
      <c r="B281" s="8" t="s">
        <v>367</v>
      </c>
      <c r="C281" s="46">
        <v>8</v>
      </c>
      <c r="D281" s="46">
        <v>6</v>
      </c>
    </row>
    <row r="282" spans="1:4" ht="15.75" customHeight="1">
      <c r="A282" s="7">
        <v>70802</v>
      </c>
      <c r="B282" s="8" t="s">
        <v>368</v>
      </c>
      <c r="C282" s="46">
        <v>0</v>
      </c>
      <c r="D282" s="46">
        <v>0</v>
      </c>
    </row>
    <row r="283" spans="1:4" ht="15.75" customHeight="1">
      <c r="A283" s="7">
        <v>70803</v>
      </c>
      <c r="B283" s="8" t="s">
        <v>369</v>
      </c>
      <c r="C283" s="46">
        <v>0</v>
      </c>
      <c r="D283" s="46">
        <v>1</v>
      </c>
    </row>
    <row r="284" spans="1:4" ht="15.75" customHeight="1">
      <c r="A284" s="7">
        <v>70804</v>
      </c>
      <c r="B284" s="8" t="s">
        <v>370</v>
      </c>
      <c r="C284" s="46">
        <v>0</v>
      </c>
      <c r="D284" s="46">
        <v>0</v>
      </c>
    </row>
    <row r="285" spans="1:4" ht="15.75" customHeight="1">
      <c r="A285" s="7">
        <v>70805</v>
      </c>
      <c r="B285" s="8" t="s">
        <v>371</v>
      </c>
      <c r="C285" s="46">
        <v>0</v>
      </c>
      <c r="D285" s="46">
        <v>2</v>
      </c>
    </row>
    <row r="286" spans="1:4" ht="15.75" customHeight="1">
      <c r="A286" s="7">
        <v>70901</v>
      </c>
      <c r="B286" s="8" t="s">
        <v>373</v>
      </c>
      <c r="C286" s="46">
        <v>2</v>
      </c>
      <c r="D286" s="46">
        <v>12</v>
      </c>
    </row>
    <row r="287" spans="1:4" ht="15.75" customHeight="1">
      <c r="A287" s="7">
        <v>70902</v>
      </c>
      <c r="B287" s="8" t="s">
        <v>374</v>
      </c>
      <c r="C287" s="46">
        <v>8</v>
      </c>
      <c r="D287" s="46">
        <v>11</v>
      </c>
    </row>
    <row r="288" spans="1:4" ht="15.75" customHeight="1">
      <c r="A288" s="7">
        <v>70903</v>
      </c>
      <c r="B288" s="8" t="s">
        <v>375</v>
      </c>
      <c r="C288" s="46">
        <v>11</v>
      </c>
      <c r="D288" s="46">
        <v>12</v>
      </c>
    </row>
    <row r="289" spans="1:4" ht="15.75" customHeight="1">
      <c r="A289" s="7">
        <v>70904</v>
      </c>
      <c r="B289" s="8" t="s">
        <v>376</v>
      </c>
      <c r="C289" s="46">
        <v>2</v>
      </c>
      <c r="D289" s="46">
        <v>5</v>
      </c>
    </row>
    <row r="290" spans="1:4" ht="15.75" customHeight="1">
      <c r="A290" s="7">
        <v>71001</v>
      </c>
      <c r="B290" s="8" t="s">
        <v>378</v>
      </c>
      <c r="C290" s="46">
        <v>93</v>
      </c>
      <c r="D290" s="46">
        <v>127</v>
      </c>
    </row>
    <row r="291" spans="1:4" ht="15.75" customHeight="1">
      <c r="A291" s="7">
        <v>71002</v>
      </c>
      <c r="B291" s="8" t="s">
        <v>379</v>
      </c>
      <c r="C291" s="46">
        <v>12</v>
      </c>
      <c r="D291" s="46">
        <v>13</v>
      </c>
    </row>
    <row r="292" spans="1:4" ht="15.75" customHeight="1">
      <c r="A292" s="7">
        <v>71003</v>
      </c>
      <c r="B292" s="8" t="s">
        <v>380</v>
      </c>
      <c r="C292" s="46">
        <v>47</v>
      </c>
      <c r="D292" s="46">
        <v>26</v>
      </c>
    </row>
    <row r="293" spans="1:4" ht="15.75" customHeight="1">
      <c r="A293" s="7">
        <v>71004</v>
      </c>
      <c r="B293" s="8" t="s">
        <v>381</v>
      </c>
      <c r="C293" s="46">
        <v>20</v>
      </c>
      <c r="D293" s="46">
        <v>20</v>
      </c>
    </row>
    <row r="294" spans="1:4" ht="15.75" customHeight="1">
      <c r="A294" s="7">
        <v>71005</v>
      </c>
      <c r="B294" s="8" t="s">
        <v>382</v>
      </c>
      <c r="C294" s="46">
        <v>12</v>
      </c>
      <c r="D294" s="46">
        <v>1</v>
      </c>
    </row>
    <row r="295" spans="1:4" ht="15.75" customHeight="1">
      <c r="A295" s="7">
        <v>71101</v>
      </c>
      <c r="B295" s="8" t="s">
        <v>384</v>
      </c>
      <c r="C295" s="46">
        <v>25</v>
      </c>
      <c r="D295" s="46">
        <v>49</v>
      </c>
    </row>
    <row r="296" spans="1:4" ht="15.75" customHeight="1">
      <c r="A296" s="7">
        <v>71102</v>
      </c>
      <c r="B296" s="8" t="s">
        <v>385</v>
      </c>
      <c r="C296" s="46">
        <v>31</v>
      </c>
      <c r="D296" s="46">
        <v>41</v>
      </c>
    </row>
    <row r="297" spans="1:4" ht="15.75" customHeight="1">
      <c r="A297" s="7">
        <v>71103</v>
      </c>
      <c r="B297" s="8" t="s">
        <v>386</v>
      </c>
      <c r="C297" s="46">
        <v>7</v>
      </c>
      <c r="D297" s="46">
        <v>57</v>
      </c>
    </row>
    <row r="298" spans="1:4" ht="15.75" customHeight="1">
      <c r="A298" s="7">
        <v>71104</v>
      </c>
      <c r="B298" s="8" t="s">
        <v>387</v>
      </c>
      <c r="C298" s="46">
        <v>62</v>
      </c>
      <c r="D298" s="46">
        <v>1</v>
      </c>
    </row>
    <row r="299" spans="1:4" ht="15.75" customHeight="1">
      <c r="A299" s="7">
        <v>71105</v>
      </c>
      <c r="B299" s="8" t="s">
        <v>388</v>
      </c>
      <c r="C299" s="46">
        <v>21</v>
      </c>
      <c r="D299" s="46">
        <v>3</v>
      </c>
    </row>
    <row r="300" spans="1:4" ht="15.75" customHeight="1">
      <c r="A300" s="7">
        <v>71106</v>
      </c>
      <c r="B300" s="8" t="s">
        <v>389</v>
      </c>
      <c r="C300" s="46">
        <v>25</v>
      </c>
      <c r="D300" s="46">
        <v>23</v>
      </c>
    </row>
    <row r="301" spans="1:4" ht="15.75" customHeight="1">
      <c r="A301" s="7">
        <v>71201</v>
      </c>
      <c r="B301" s="8" t="s">
        <v>391</v>
      </c>
      <c r="C301" s="46">
        <v>12</v>
      </c>
      <c r="D301" s="46">
        <v>16</v>
      </c>
    </row>
    <row r="302" spans="1:4" ht="15.75" customHeight="1">
      <c r="A302" s="7">
        <v>71301</v>
      </c>
      <c r="B302" s="8" t="s">
        <v>393</v>
      </c>
      <c r="C302" s="46">
        <v>17</v>
      </c>
      <c r="D302" s="46">
        <v>27</v>
      </c>
    </row>
    <row r="303" spans="1:4" ht="15.75" customHeight="1">
      <c r="A303" s="7">
        <v>71302</v>
      </c>
      <c r="B303" s="8" t="s">
        <v>394</v>
      </c>
      <c r="C303" s="46">
        <v>6</v>
      </c>
      <c r="D303" s="46">
        <v>4</v>
      </c>
    </row>
    <row r="304" spans="1:4" ht="15.75" customHeight="1">
      <c r="A304" s="7">
        <v>71401</v>
      </c>
      <c r="B304" s="8" t="s">
        <v>396</v>
      </c>
      <c r="C304" s="46">
        <v>9</v>
      </c>
      <c r="D304" s="46">
        <v>14</v>
      </c>
    </row>
    <row r="305" spans="1:4" ht="15.75" customHeight="1">
      <c r="A305" s="7">
        <v>71402</v>
      </c>
      <c r="B305" s="8" t="s">
        <v>397</v>
      </c>
      <c r="C305" s="46">
        <v>17</v>
      </c>
      <c r="D305" s="46">
        <v>12</v>
      </c>
    </row>
    <row r="306" spans="1:4" ht="15.75" customHeight="1">
      <c r="A306" s="7">
        <v>71403</v>
      </c>
      <c r="B306" s="8" t="s">
        <v>398</v>
      </c>
      <c r="C306" s="46">
        <v>6</v>
      </c>
      <c r="D306" s="46">
        <v>12</v>
      </c>
    </row>
    <row r="307" spans="1:4" ht="15.75" customHeight="1">
      <c r="A307" s="7">
        <v>71501</v>
      </c>
      <c r="B307" s="8" t="s">
        <v>400</v>
      </c>
      <c r="C307" s="46">
        <v>27</v>
      </c>
      <c r="D307" s="46">
        <v>68</v>
      </c>
    </row>
    <row r="308" spans="1:4" ht="15.75" customHeight="1">
      <c r="A308" s="7">
        <v>71502</v>
      </c>
      <c r="B308" s="8" t="s">
        <v>401</v>
      </c>
      <c r="C308" s="46">
        <v>10</v>
      </c>
      <c r="D308" s="46">
        <v>25</v>
      </c>
    </row>
    <row r="309" spans="1:4" ht="15.75" customHeight="1">
      <c r="A309" s="7">
        <v>71503</v>
      </c>
      <c r="B309" s="8" t="s">
        <v>332</v>
      </c>
      <c r="C309" s="46">
        <v>16</v>
      </c>
      <c r="D309" s="46">
        <v>26</v>
      </c>
    </row>
    <row r="310" spans="1:4" ht="15.75" customHeight="1">
      <c r="A310" s="7">
        <v>80101</v>
      </c>
      <c r="B310" s="8" t="s">
        <v>402</v>
      </c>
      <c r="C310" s="46">
        <v>113</v>
      </c>
      <c r="D310" s="46">
        <v>112</v>
      </c>
    </row>
    <row r="311" spans="1:4" ht="15.75" customHeight="1">
      <c r="A311" s="7">
        <v>80102</v>
      </c>
      <c r="B311" s="8" t="s">
        <v>385</v>
      </c>
      <c r="C311" s="46">
        <v>10</v>
      </c>
      <c r="D311" s="46">
        <v>5</v>
      </c>
    </row>
    <row r="312" spans="1:4" ht="15.75" customHeight="1">
      <c r="A312" s="7">
        <v>80201</v>
      </c>
      <c r="B312" s="8" t="s">
        <v>404</v>
      </c>
      <c r="C312" s="46">
        <v>230</v>
      </c>
      <c r="D312" s="46">
        <v>172</v>
      </c>
    </row>
    <row r="313" spans="1:4" ht="15.75" customHeight="1">
      <c r="A313" s="7">
        <v>80202</v>
      </c>
      <c r="B313" s="8" t="s">
        <v>405</v>
      </c>
      <c r="C313" s="46">
        <v>59</v>
      </c>
      <c r="D313" s="46">
        <v>58</v>
      </c>
    </row>
    <row r="314" spans="1:4" ht="15.75" customHeight="1">
      <c r="A314" s="7">
        <v>80301</v>
      </c>
      <c r="B314" s="8" t="s">
        <v>407</v>
      </c>
      <c r="C314" s="46">
        <v>21</v>
      </c>
      <c r="D314" s="46">
        <v>11</v>
      </c>
    </row>
    <row r="315" spans="1:4" ht="15.75" customHeight="1">
      <c r="A315" s="7">
        <v>80302</v>
      </c>
      <c r="B315" s="8" t="s">
        <v>408</v>
      </c>
      <c r="C315" s="46">
        <v>132</v>
      </c>
      <c r="D315" s="46">
        <v>94</v>
      </c>
    </row>
    <row r="316" spans="1:4" ht="15.75" customHeight="1">
      <c r="A316" s="7">
        <v>80303</v>
      </c>
      <c r="B316" s="8" t="s">
        <v>409</v>
      </c>
      <c r="C316" s="46">
        <v>11</v>
      </c>
      <c r="D316" s="46">
        <v>6</v>
      </c>
    </row>
    <row r="317" spans="1:4" ht="15.75" customHeight="1">
      <c r="A317" s="7">
        <v>80304</v>
      </c>
      <c r="B317" s="8" t="s">
        <v>410</v>
      </c>
      <c r="C317" s="46">
        <v>32</v>
      </c>
      <c r="D317" s="46">
        <v>37</v>
      </c>
    </row>
    <row r="318" spans="1:4" ht="15.75" customHeight="1">
      <c r="A318" s="7">
        <v>80401</v>
      </c>
      <c r="B318" s="8" t="s">
        <v>412</v>
      </c>
      <c r="C318" s="46">
        <v>34</v>
      </c>
      <c r="D318" s="46">
        <v>15</v>
      </c>
    </row>
    <row r="319" spans="1:4" ht="15.75" customHeight="1">
      <c r="A319" s="7">
        <v>80402</v>
      </c>
      <c r="B319" s="8" t="s">
        <v>413</v>
      </c>
      <c r="C319" s="46">
        <v>4</v>
      </c>
      <c r="D319" s="46">
        <v>7</v>
      </c>
    </row>
    <row r="320" spans="1:4" ht="15.75" customHeight="1">
      <c r="A320" s="7">
        <v>80501</v>
      </c>
      <c r="B320" s="8" t="s">
        <v>415</v>
      </c>
      <c r="C320" s="46">
        <v>46</v>
      </c>
      <c r="D320" s="46">
        <v>39</v>
      </c>
    </row>
    <row r="321" spans="1:4" ht="15.75" customHeight="1">
      <c r="A321" s="7">
        <v>80601</v>
      </c>
      <c r="B321" s="8" t="s">
        <v>417</v>
      </c>
      <c r="C321" s="46">
        <v>6</v>
      </c>
      <c r="D321" s="46">
        <v>4</v>
      </c>
    </row>
    <row r="322" spans="1:4" ht="15.75" customHeight="1">
      <c r="A322" s="7">
        <v>80602</v>
      </c>
      <c r="B322" s="8" t="s">
        <v>418</v>
      </c>
      <c r="C322" s="46">
        <v>12</v>
      </c>
      <c r="D322" s="46">
        <v>14</v>
      </c>
    </row>
    <row r="323" spans="1:4" ht="15.75" customHeight="1">
      <c r="A323" s="7">
        <v>80701</v>
      </c>
      <c r="B323" s="8" t="s">
        <v>420</v>
      </c>
      <c r="C323" s="46">
        <v>9</v>
      </c>
      <c r="D323" s="46">
        <v>2</v>
      </c>
    </row>
    <row r="324" spans="1:4" ht="15.75" customHeight="1">
      <c r="A324" s="7">
        <v>80702</v>
      </c>
      <c r="B324" s="8" t="s">
        <v>386</v>
      </c>
      <c r="C324" s="46">
        <v>3</v>
      </c>
      <c r="D324" s="46">
        <v>3</v>
      </c>
    </row>
    <row r="325" spans="1:4" ht="15.75" customHeight="1">
      <c r="A325" s="7">
        <v>80703</v>
      </c>
      <c r="B325" s="8" t="s">
        <v>421</v>
      </c>
      <c r="C325" s="46">
        <v>3</v>
      </c>
      <c r="D325" s="46">
        <v>0</v>
      </c>
    </row>
    <row r="326" spans="1:4" ht="15.75" customHeight="1">
      <c r="A326" s="7">
        <v>80801</v>
      </c>
      <c r="B326" s="8" t="s">
        <v>423</v>
      </c>
      <c r="C326" s="46">
        <v>2</v>
      </c>
      <c r="D326" s="46">
        <v>11</v>
      </c>
    </row>
    <row r="327" spans="1:4" ht="15.75" customHeight="1">
      <c r="A327" s="7">
        <v>80802</v>
      </c>
      <c r="B327" s="8" t="s">
        <v>424</v>
      </c>
      <c r="C327" s="46">
        <v>4</v>
      </c>
      <c r="D327" s="46">
        <v>4</v>
      </c>
    </row>
    <row r="328" spans="1:4" ht="15.75" customHeight="1">
      <c r="A328" s="7">
        <v>80803</v>
      </c>
      <c r="B328" s="8" t="s">
        <v>425</v>
      </c>
      <c r="C328" s="46">
        <v>4</v>
      </c>
      <c r="D328" s="46">
        <v>2</v>
      </c>
    </row>
    <row r="329" spans="1:4" ht="15.75" customHeight="1">
      <c r="A329" s="7">
        <v>80901</v>
      </c>
      <c r="B329" s="44" t="s">
        <v>426</v>
      </c>
      <c r="C329" s="46">
        <v>51</v>
      </c>
      <c r="D329" s="46">
        <v>13</v>
      </c>
    </row>
    <row r="330" spans="1:4" ht="15.75" customHeight="1">
      <c r="A330" s="7">
        <v>90101</v>
      </c>
      <c r="B330" s="8" t="s">
        <v>428</v>
      </c>
      <c r="C330" s="46">
        <v>39</v>
      </c>
      <c r="D330" s="46">
        <v>39</v>
      </c>
    </row>
    <row r="331" spans="1:4" ht="15.75" customHeight="1">
      <c r="A331" s="7">
        <v>90102</v>
      </c>
      <c r="B331" s="8" t="s">
        <v>429</v>
      </c>
      <c r="C331" s="46">
        <v>4</v>
      </c>
      <c r="D331" s="46">
        <v>6</v>
      </c>
    </row>
    <row r="332" spans="1:4" ht="15.75" customHeight="1">
      <c r="A332" s="7">
        <v>90103</v>
      </c>
      <c r="B332" s="8" t="s">
        <v>430</v>
      </c>
      <c r="C332" s="46">
        <v>0</v>
      </c>
      <c r="D332" s="46">
        <v>2</v>
      </c>
    </row>
    <row r="333" spans="1:4" ht="15.75" customHeight="1">
      <c r="A333" s="7">
        <v>90104</v>
      </c>
      <c r="B333" s="8" t="s">
        <v>431</v>
      </c>
      <c r="C333" s="46">
        <v>2</v>
      </c>
      <c r="D333" s="46">
        <v>1</v>
      </c>
    </row>
    <row r="334" spans="1:4" ht="15.75" customHeight="1">
      <c r="A334" s="7">
        <v>90201</v>
      </c>
      <c r="B334" s="8" t="s">
        <v>433</v>
      </c>
      <c r="C334" s="46">
        <v>5</v>
      </c>
      <c r="D334" s="46">
        <v>10</v>
      </c>
    </row>
    <row r="335" spans="1:4" ht="15.75" customHeight="1">
      <c r="A335" s="7">
        <v>90202</v>
      </c>
      <c r="B335" s="8" t="s">
        <v>382</v>
      </c>
      <c r="C335" s="46">
        <v>4</v>
      </c>
      <c r="D335" s="46">
        <v>0</v>
      </c>
    </row>
    <row r="336" spans="1:4" ht="15.75" customHeight="1">
      <c r="A336" s="7">
        <v>90203</v>
      </c>
      <c r="B336" s="8" t="s">
        <v>434</v>
      </c>
      <c r="C336" s="46">
        <v>6</v>
      </c>
      <c r="D336" s="46">
        <v>14</v>
      </c>
    </row>
    <row r="337" spans="1:4" ht="15.75" customHeight="1">
      <c r="A337" s="7">
        <v>90301</v>
      </c>
      <c r="B337" s="8" t="s">
        <v>436</v>
      </c>
      <c r="C337" s="46">
        <v>2</v>
      </c>
      <c r="D337" s="46">
        <v>9</v>
      </c>
    </row>
    <row r="338" spans="1:4" ht="15.75" customHeight="1">
      <c r="A338" s="7">
        <v>90302</v>
      </c>
      <c r="B338" s="8" t="s">
        <v>437</v>
      </c>
      <c r="C338" s="46">
        <v>4</v>
      </c>
      <c r="D338" s="46">
        <v>8</v>
      </c>
    </row>
    <row r="339" spans="1:4" ht="15.75" customHeight="1">
      <c r="A339" s="7">
        <v>90303</v>
      </c>
      <c r="B339" s="8" t="s">
        <v>438</v>
      </c>
      <c r="C339" s="46">
        <v>10</v>
      </c>
      <c r="D339" s="46">
        <v>26</v>
      </c>
    </row>
    <row r="340" spans="1:4" ht="15.75" customHeight="1">
      <c r="A340" s="7">
        <v>90401</v>
      </c>
      <c r="B340" s="8" t="s">
        <v>440</v>
      </c>
      <c r="C340" s="46">
        <v>2</v>
      </c>
      <c r="D340" s="46">
        <v>2</v>
      </c>
    </row>
    <row r="341" spans="1:4" ht="15.75" customHeight="1">
      <c r="A341" s="7">
        <v>90402</v>
      </c>
      <c r="B341" s="8" t="s">
        <v>102</v>
      </c>
      <c r="C341" s="46">
        <v>3</v>
      </c>
      <c r="D341" s="46">
        <v>2</v>
      </c>
    </row>
    <row r="342" spans="1:4" ht="15.75" customHeight="1">
      <c r="A342" s="7">
        <v>90501</v>
      </c>
      <c r="B342" s="8" t="s">
        <v>442</v>
      </c>
      <c r="C342" s="46">
        <v>2</v>
      </c>
      <c r="D342" s="46">
        <v>0</v>
      </c>
    </row>
    <row r="343" spans="1:4" ht="15.75" customHeight="1">
      <c r="A343" s="7">
        <v>90502</v>
      </c>
      <c r="B343" s="8" t="s">
        <v>443</v>
      </c>
      <c r="C343" s="46">
        <v>2</v>
      </c>
      <c r="D343" s="46">
        <v>2</v>
      </c>
    </row>
    <row r="344" spans="1:4" ht="15.75" customHeight="1">
      <c r="A344" s="7">
        <v>90503</v>
      </c>
      <c r="B344" s="8" t="s">
        <v>444</v>
      </c>
      <c r="C344" s="46">
        <v>6</v>
      </c>
      <c r="D344" s="46">
        <v>14</v>
      </c>
    </row>
    <row r="345" spans="1:4" ht="15.75" customHeight="1">
      <c r="A345" s="24"/>
      <c r="B345" s="25"/>
      <c r="C345" s="47">
        <v>0</v>
      </c>
      <c r="D345" s="33"/>
    </row>
    <row r="346" spans="1:4" ht="15.75" customHeight="1">
      <c r="A346" s="24"/>
      <c r="B346" s="25"/>
      <c r="D346" s="33"/>
    </row>
    <row r="347" spans="1:4" ht="15.75" customHeight="1">
      <c r="A347" s="24"/>
      <c r="B347" s="25"/>
      <c r="D347" s="33"/>
    </row>
    <row r="348" spans="1:4" ht="15.75" customHeight="1">
      <c r="A348" s="24"/>
      <c r="B348" s="25"/>
    </row>
    <row r="349" spans="1:4" ht="15.75" customHeight="1">
      <c r="A349" s="24"/>
      <c r="B349" s="25"/>
    </row>
    <row r="350" spans="1:4" ht="15.75" customHeight="1">
      <c r="A350" s="24"/>
      <c r="B350" s="25"/>
      <c r="D350" s="36"/>
    </row>
    <row r="351" spans="1:4" ht="15.75" customHeight="1">
      <c r="A351" s="24"/>
      <c r="B351" s="25"/>
      <c r="D351" s="36"/>
    </row>
    <row r="352" spans="1:4" ht="15.75" customHeight="1">
      <c r="A352" s="24"/>
      <c r="B352" s="25"/>
      <c r="D352" s="36"/>
    </row>
    <row r="353" spans="1:4" ht="15.75" customHeight="1">
      <c r="A353" s="24"/>
      <c r="B353" s="37"/>
      <c r="D353" s="36"/>
    </row>
    <row r="354" spans="1:4" ht="15.75" customHeight="1">
      <c r="A354" s="24"/>
      <c r="B354" s="37"/>
      <c r="D354" s="33"/>
    </row>
    <row r="355" spans="1:4" ht="15.75" customHeight="1">
      <c r="A355" s="24"/>
      <c r="B355" s="37"/>
    </row>
    <row r="356" spans="1:4" ht="15.75" customHeight="1">
      <c r="A356" s="24"/>
      <c r="B356" s="37"/>
    </row>
    <row r="357" spans="1:4" ht="15.75" customHeight="1">
      <c r="A357" s="24"/>
      <c r="B357" s="37"/>
    </row>
    <row r="358" spans="1:4" ht="15.75" customHeight="1">
      <c r="A358" s="24"/>
      <c r="B358" s="37"/>
    </row>
    <row r="359" spans="1:4" ht="15.75" customHeight="1">
      <c r="A359" s="24"/>
      <c r="B359" s="37"/>
    </row>
    <row r="360" spans="1:4" ht="15.75" customHeight="1">
      <c r="A360" s="24"/>
      <c r="B360" s="37"/>
    </row>
    <row r="361" spans="1:4" ht="15.75" customHeight="1">
      <c r="A361" s="24"/>
      <c r="B361" s="37"/>
    </row>
    <row r="362" spans="1:4" ht="15.75" customHeight="1">
      <c r="A362" s="24"/>
      <c r="B362" s="37"/>
    </row>
    <row r="363" spans="1:4" ht="15.75" customHeight="1">
      <c r="A363" s="24"/>
      <c r="B363" s="37"/>
    </row>
    <row r="364" spans="1:4" ht="15.75" customHeight="1">
      <c r="A364" s="24"/>
      <c r="B364" s="37"/>
    </row>
    <row r="365" spans="1:4" ht="15.75" customHeight="1">
      <c r="A365" s="24"/>
      <c r="B365" s="37"/>
    </row>
    <row r="366" spans="1:4" ht="15.75" customHeight="1">
      <c r="A366" s="24"/>
      <c r="B366" s="37"/>
    </row>
    <row r="367" spans="1:4" ht="15.75" customHeight="1">
      <c r="A367" s="24"/>
      <c r="B367" s="37"/>
    </row>
    <row r="368" spans="1:4" ht="15.75" customHeight="1">
      <c r="A368" s="24"/>
      <c r="B368" s="37"/>
    </row>
    <row r="369" spans="1:2" ht="15.75" customHeight="1">
      <c r="A369" s="24"/>
      <c r="B369" s="37"/>
    </row>
    <row r="370" spans="1:2" ht="15.75" customHeight="1">
      <c r="A370" s="24"/>
      <c r="B370" s="37"/>
    </row>
    <row r="371" spans="1:2" ht="15.75" customHeight="1">
      <c r="A371" s="24"/>
      <c r="B371" s="37"/>
    </row>
    <row r="372" spans="1:2" ht="15.75" customHeight="1">
      <c r="A372" s="24"/>
      <c r="B372" s="37"/>
    </row>
    <row r="373" spans="1:2" ht="15.75" customHeight="1">
      <c r="A373" s="24"/>
      <c r="B373" s="37"/>
    </row>
    <row r="374" spans="1:2" ht="15.75" customHeight="1">
      <c r="A374" s="24"/>
      <c r="B374" s="37"/>
    </row>
    <row r="375" spans="1:2" ht="15.75" customHeight="1">
      <c r="A375" s="24"/>
      <c r="B375" s="37"/>
    </row>
    <row r="376" spans="1:2" ht="15.75" customHeight="1">
      <c r="A376" s="24"/>
      <c r="B376" s="37"/>
    </row>
    <row r="377" spans="1:2" ht="15.75" customHeight="1">
      <c r="A377" s="24"/>
      <c r="B377" s="37"/>
    </row>
    <row r="378" spans="1:2" ht="15.75" customHeight="1">
      <c r="A378" s="24"/>
      <c r="B378" s="37"/>
    </row>
    <row r="379" spans="1:2" ht="15.75" customHeight="1">
      <c r="A379" s="24"/>
      <c r="B379" s="37"/>
    </row>
    <row r="380" spans="1:2" ht="15.75" customHeight="1">
      <c r="A380" s="24"/>
      <c r="B380" s="37"/>
    </row>
    <row r="381" spans="1:2" ht="15.75" customHeight="1">
      <c r="A381" s="24"/>
      <c r="B381" s="37"/>
    </row>
    <row r="382" spans="1:2" ht="15.75" customHeight="1">
      <c r="A382" s="24"/>
      <c r="B382" s="37"/>
    </row>
    <row r="383" spans="1:2" ht="15.75" customHeight="1">
      <c r="A383" s="24"/>
      <c r="B383" s="37"/>
    </row>
    <row r="384" spans="1:2" ht="15.75" customHeight="1">
      <c r="A384" s="24"/>
      <c r="B384" s="37"/>
    </row>
    <row r="385" spans="1:2" ht="15.75" customHeight="1">
      <c r="A385" s="24"/>
      <c r="B385" s="37"/>
    </row>
    <row r="386" spans="1:2" ht="15.75" customHeight="1">
      <c r="A386" s="24"/>
      <c r="B386" s="37"/>
    </row>
    <row r="387" spans="1:2" ht="15.75" customHeight="1">
      <c r="A387" s="24"/>
      <c r="B387" s="37"/>
    </row>
    <row r="388" spans="1:2" ht="15.75" customHeight="1">
      <c r="A388" s="24"/>
      <c r="B388" s="37"/>
    </row>
    <row r="389" spans="1:2" ht="15.75" customHeight="1">
      <c r="A389" s="24"/>
      <c r="B389" s="37"/>
    </row>
    <row r="390" spans="1:2" ht="15.75" customHeight="1">
      <c r="A390" s="24"/>
      <c r="B390" s="37"/>
    </row>
    <row r="391" spans="1:2" ht="15.75" customHeight="1">
      <c r="A391" s="24"/>
      <c r="B391" s="37"/>
    </row>
    <row r="392" spans="1:2" ht="15.75" customHeight="1">
      <c r="A392" s="24"/>
      <c r="B392" s="37"/>
    </row>
    <row r="393" spans="1:2" ht="15.75" customHeight="1">
      <c r="A393" s="24"/>
      <c r="B393" s="37"/>
    </row>
    <row r="394" spans="1:2" ht="15.75" customHeight="1">
      <c r="A394" s="24"/>
      <c r="B394" s="37"/>
    </row>
    <row r="395" spans="1:2" ht="15.75" customHeight="1">
      <c r="A395" s="24"/>
      <c r="B395" s="37"/>
    </row>
    <row r="396" spans="1:2" ht="15.75" customHeight="1">
      <c r="A396" s="24"/>
      <c r="B396" s="37"/>
    </row>
    <row r="397" spans="1:2" ht="15.75" customHeight="1">
      <c r="A397" s="24"/>
      <c r="B397" s="37"/>
    </row>
    <row r="398" spans="1:2" ht="15.75" customHeight="1">
      <c r="A398" s="24"/>
      <c r="B398" s="37"/>
    </row>
    <row r="399" spans="1:2" ht="15.75" customHeight="1">
      <c r="A399" s="24"/>
      <c r="B399" s="37"/>
    </row>
    <row r="400" spans="1:2" ht="15.75" customHeight="1">
      <c r="A400" s="24"/>
      <c r="B400" s="37"/>
    </row>
    <row r="401" spans="1:2" ht="15.75" customHeight="1">
      <c r="A401" s="24"/>
      <c r="B401" s="37"/>
    </row>
    <row r="402" spans="1:2" ht="15.75" customHeight="1">
      <c r="A402" s="24"/>
      <c r="B402" s="37"/>
    </row>
    <row r="403" spans="1:2" ht="15.75" customHeight="1">
      <c r="A403" s="24"/>
      <c r="B403" s="37"/>
    </row>
    <row r="404" spans="1:2" ht="15.75" customHeight="1">
      <c r="A404" s="24"/>
      <c r="B404" s="37"/>
    </row>
    <row r="405" spans="1:2" ht="15.75" customHeight="1">
      <c r="A405" s="24"/>
      <c r="B405" s="37"/>
    </row>
    <row r="406" spans="1:2" ht="15.75" customHeight="1">
      <c r="A406" s="24"/>
      <c r="B406" s="37"/>
    </row>
    <row r="407" spans="1:2" ht="15.75" customHeight="1">
      <c r="A407" s="24"/>
      <c r="B407" s="37"/>
    </row>
    <row r="408" spans="1:2" ht="15.75" customHeight="1">
      <c r="A408" s="24"/>
      <c r="B408" s="37"/>
    </row>
    <row r="409" spans="1:2" ht="15.75" customHeight="1">
      <c r="A409" s="24"/>
      <c r="B409" s="37"/>
    </row>
    <row r="410" spans="1:2" ht="15.75" customHeight="1">
      <c r="A410" s="24"/>
      <c r="B410" s="37"/>
    </row>
    <row r="411" spans="1:2" ht="15.75" customHeight="1">
      <c r="A411" s="24"/>
      <c r="B411" s="37"/>
    </row>
    <row r="412" spans="1:2" ht="15.75" customHeight="1">
      <c r="A412" s="24"/>
      <c r="B412" s="37"/>
    </row>
    <row r="413" spans="1:2" ht="15.75" customHeight="1">
      <c r="A413" s="24"/>
      <c r="B413" s="37"/>
    </row>
    <row r="414" spans="1:2" ht="15.75" customHeight="1">
      <c r="A414" s="24"/>
      <c r="B414" s="37"/>
    </row>
    <row r="415" spans="1:2" ht="15.75" customHeight="1">
      <c r="A415" s="24"/>
      <c r="B415" s="37"/>
    </row>
    <row r="416" spans="1:2" ht="15.75" customHeight="1">
      <c r="A416" s="24"/>
      <c r="B416" s="37"/>
    </row>
    <row r="417" spans="1:2" ht="15.75" customHeight="1">
      <c r="A417" s="24"/>
      <c r="B417" s="37"/>
    </row>
    <row r="418" spans="1:2" ht="15.75" customHeight="1">
      <c r="A418" s="24"/>
      <c r="B418" s="37"/>
    </row>
    <row r="419" spans="1:2" ht="15.75" customHeight="1">
      <c r="A419" s="24"/>
      <c r="B419" s="37"/>
    </row>
    <row r="420" spans="1:2" ht="15.75" customHeight="1">
      <c r="A420" s="24"/>
      <c r="B420" s="37"/>
    </row>
    <row r="421" spans="1:2" ht="15.75" customHeight="1">
      <c r="A421" s="24"/>
      <c r="B421" s="37"/>
    </row>
    <row r="422" spans="1:2" ht="15.75" customHeight="1">
      <c r="A422" s="24"/>
      <c r="B422" s="37"/>
    </row>
    <row r="423" spans="1:2" ht="15.75" customHeight="1">
      <c r="A423" s="24"/>
      <c r="B423" s="37"/>
    </row>
    <row r="424" spans="1:2" ht="15.75" customHeight="1">
      <c r="A424" s="24"/>
      <c r="B424" s="37"/>
    </row>
    <row r="425" spans="1:2" ht="15.75" customHeight="1">
      <c r="A425" s="24"/>
      <c r="B425" s="37"/>
    </row>
    <row r="426" spans="1:2" ht="15.75" customHeight="1">
      <c r="A426" s="24"/>
      <c r="B426" s="37"/>
    </row>
    <row r="427" spans="1:2" ht="15.75" customHeight="1">
      <c r="A427" s="24"/>
      <c r="B427" s="37"/>
    </row>
    <row r="428" spans="1:2" ht="15.75" customHeight="1">
      <c r="A428" s="24"/>
      <c r="B428" s="37"/>
    </row>
    <row r="429" spans="1:2" ht="15.75" customHeight="1">
      <c r="A429" s="24"/>
      <c r="B429" s="37"/>
    </row>
    <row r="430" spans="1:2" ht="15.75" customHeight="1">
      <c r="A430" s="24"/>
      <c r="B430" s="37"/>
    </row>
    <row r="431" spans="1:2" ht="15.75" customHeight="1">
      <c r="A431" s="24"/>
      <c r="B431" s="37"/>
    </row>
    <row r="432" spans="1:2" ht="15.75" customHeight="1">
      <c r="A432" s="24"/>
      <c r="B432" s="37"/>
    </row>
    <row r="433" spans="1:2" ht="15.75" customHeight="1">
      <c r="A433" s="24"/>
      <c r="B433" s="37"/>
    </row>
    <row r="434" spans="1:2" ht="15.75" customHeight="1">
      <c r="A434" s="24"/>
      <c r="B434" s="37"/>
    </row>
    <row r="435" spans="1:2" ht="15.75" customHeight="1">
      <c r="A435" s="24"/>
      <c r="B435" s="37"/>
    </row>
    <row r="436" spans="1:2" ht="15.75" customHeight="1">
      <c r="A436" s="24"/>
      <c r="B436" s="37"/>
    </row>
    <row r="437" spans="1:2" ht="15.75" customHeight="1">
      <c r="A437" s="24"/>
      <c r="B437" s="37"/>
    </row>
    <row r="438" spans="1:2" ht="15.75" customHeight="1">
      <c r="A438" s="24"/>
      <c r="B438" s="37"/>
    </row>
    <row r="439" spans="1:2" ht="15.75" customHeight="1">
      <c r="A439" s="24"/>
      <c r="B439" s="37"/>
    </row>
    <row r="440" spans="1:2" ht="15.75" customHeight="1">
      <c r="A440" s="24"/>
      <c r="B440" s="37"/>
    </row>
    <row r="441" spans="1:2" ht="15.75" customHeight="1">
      <c r="A441" s="24"/>
      <c r="B441" s="37"/>
    </row>
    <row r="442" spans="1:2" ht="15.75" customHeight="1">
      <c r="A442" s="24"/>
      <c r="B442" s="37"/>
    </row>
    <row r="443" spans="1:2" ht="15.75" customHeight="1">
      <c r="A443" s="24"/>
      <c r="B443" s="37"/>
    </row>
    <row r="444" spans="1:2" ht="15.75" customHeight="1">
      <c r="A444" s="24"/>
      <c r="B444" s="37"/>
    </row>
    <row r="445" spans="1:2" ht="15.75" customHeight="1">
      <c r="A445" s="24"/>
      <c r="B445" s="37"/>
    </row>
    <row r="446" spans="1:2" ht="15.75" customHeight="1">
      <c r="A446" s="24"/>
      <c r="B446" s="37"/>
    </row>
    <row r="447" spans="1:2" ht="15.75" customHeight="1">
      <c r="A447" s="24"/>
      <c r="B447" s="37"/>
    </row>
    <row r="448" spans="1:2" ht="15.75" customHeight="1">
      <c r="A448" s="24"/>
      <c r="B448" s="37"/>
    </row>
    <row r="449" spans="1:2" ht="15.75" customHeight="1">
      <c r="A449" s="24"/>
      <c r="B449" s="37"/>
    </row>
    <row r="450" spans="1:2" ht="15.75" customHeight="1">
      <c r="A450" s="24"/>
      <c r="B450" s="37"/>
    </row>
    <row r="451" spans="1:2" ht="15.75" customHeight="1">
      <c r="A451" s="24"/>
      <c r="B451" s="37"/>
    </row>
    <row r="452" spans="1:2" ht="15.75" customHeight="1">
      <c r="A452" s="24"/>
      <c r="B452" s="37"/>
    </row>
    <row r="453" spans="1:2" ht="15.75" customHeight="1">
      <c r="A453" s="24"/>
      <c r="B453" s="37"/>
    </row>
    <row r="454" spans="1:2" ht="15.75" customHeight="1">
      <c r="A454" s="24"/>
      <c r="B454" s="37"/>
    </row>
    <row r="455" spans="1:2" ht="15.75" customHeight="1">
      <c r="A455" s="24"/>
      <c r="B455" s="37"/>
    </row>
    <row r="456" spans="1:2" ht="15.75" customHeight="1">
      <c r="A456" s="24"/>
      <c r="B456" s="37"/>
    </row>
    <row r="457" spans="1:2" ht="15.75" customHeight="1">
      <c r="A457" s="24"/>
      <c r="B457" s="37"/>
    </row>
    <row r="458" spans="1:2" ht="15.75" customHeight="1">
      <c r="A458" s="24"/>
      <c r="B458" s="37"/>
    </row>
    <row r="459" spans="1:2" ht="15.75" customHeight="1">
      <c r="A459" s="24"/>
      <c r="B459" s="37"/>
    </row>
    <row r="460" spans="1:2" ht="15.75" customHeight="1">
      <c r="A460" s="24"/>
      <c r="B460" s="37"/>
    </row>
    <row r="461" spans="1:2" ht="15.75" customHeight="1">
      <c r="A461" s="24"/>
      <c r="B461" s="37"/>
    </row>
    <row r="462" spans="1:2" ht="15.75" customHeight="1">
      <c r="A462" s="24"/>
      <c r="B462" s="37"/>
    </row>
    <row r="463" spans="1:2" ht="15.75" customHeight="1">
      <c r="A463" s="24"/>
      <c r="B463" s="37"/>
    </row>
    <row r="464" spans="1:2" ht="15.75" customHeight="1">
      <c r="A464" s="24"/>
      <c r="B464" s="37"/>
    </row>
    <row r="465" spans="1:2" ht="15.75" customHeight="1">
      <c r="A465" s="24"/>
      <c r="B465" s="37"/>
    </row>
    <row r="466" spans="1:2" ht="15.75" customHeight="1">
      <c r="A466" s="24"/>
      <c r="B466" s="37"/>
    </row>
    <row r="467" spans="1:2" ht="15.75" customHeight="1">
      <c r="A467" s="24"/>
      <c r="B467" s="37"/>
    </row>
    <row r="468" spans="1:2" ht="15.75" customHeight="1">
      <c r="A468" s="24"/>
      <c r="B468" s="37"/>
    </row>
    <row r="469" spans="1:2" ht="15.75" customHeight="1">
      <c r="A469" s="24"/>
      <c r="B469" s="37"/>
    </row>
    <row r="470" spans="1:2" ht="15.75" customHeight="1">
      <c r="A470" s="24"/>
      <c r="B470" s="37"/>
    </row>
    <row r="471" spans="1:2" ht="15.75" customHeight="1">
      <c r="A471" s="24"/>
      <c r="B471" s="37"/>
    </row>
    <row r="472" spans="1:2" ht="15.75" customHeight="1">
      <c r="A472" s="24"/>
      <c r="B472" s="37"/>
    </row>
    <row r="473" spans="1:2" ht="15.75" customHeight="1">
      <c r="A473" s="24"/>
      <c r="B473" s="37"/>
    </row>
    <row r="474" spans="1:2" ht="15.75" customHeight="1">
      <c r="A474" s="24"/>
      <c r="B474" s="37"/>
    </row>
    <row r="475" spans="1:2" ht="15.75" customHeight="1">
      <c r="A475" s="24"/>
      <c r="B475" s="37"/>
    </row>
    <row r="476" spans="1:2" ht="15.75" customHeight="1">
      <c r="A476" s="24"/>
      <c r="B476" s="37"/>
    </row>
    <row r="477" spans="1:2" ht="15.75" customHeight="1">
      <c r="A477" s="24"/>
      <c r="B477" s="37"/>
    </row>
    <row r="478" spans="1:2" ht="15.75" customHeight="1">
      <c r="A478" s="24"/>
      <c r="B478" s="37"/>
    </row>
    <row r="479" spans="1:2" ht="15.75" customHeight="1">
      <c r="A479" s="24"/>
      <c r="B479" s="37"/>
    </row>
    <row r="480" spans="1:2" ht="15.75" customHeight="1">
      <c r="A480" s="24"/>
      <c r="B480" s="37"/>
    </row>
    <row r="481" spans="1:2" ht="15.75" customHeight="1">
      <c r="A481" s="24"/>
      <c r="B481" s="37"/>
    </row>
    <row r="482" spans="1:2" ht="15.75" customHeight="1">
      <c r="A482" s="24"/>
      <c r="B482" s="37"/>
    </row>
    <row r="483" spans="1:2" ht="15.75" customHeight="1">
      <c r="A483" s="24"/>
      <c r="B483" s="37"/>
    </row>
    <row r="484" spans="1:2" ht="15.75" customHeight="1">
      <c r="A484" s="24"/>
      <c r="B484" s="37"/>
    </row>
    <row r="485" spans="1:2" ht="15.75" customHeight="1">
      <c r="A485" s="24"/>
      <c r="B485" s="37"/>
    </row>
    <row r="486" spans="1:2" ht="15.75" customHeight="1">
      <c r="A486" s="24"/>
      <c r="B486" s="37"/>
    </row>
    <row r="487" spans="1:2" ht="15.75" customHeight="1">
      <c r="A487" s="24"/>
      <c r="B487" s="37"/>
    </row>
    <row r="488" spans="1:2" ht="15.75" customHeight="1">
      <c r="A488" s="24"/>
      <c r="B488" s="37"/>
    </row>
    <row r="489" spans="1:2" ht="15.75" customHeight="1">
      <c r="A489" s="24"/>
      <c r="B489" s="37"/>
    </row>
    <row r="490" spans="1:2" ht="15.75" customHeight="1">
      <c r="A490" s="24"/>
      <c r="B490" s="37"/>
    </row>
    <row r="491" spans="1:2" ht="15.75" customHeight="1">
      <c r="A491" s="24"/>
      <c r="B491" s="37"/>
    </row>
    <row r="492" spans="1:2" ht="15.75" customHeight="1">
      <c r="A492" s="24"/>
      <c r="B492" s="37"/>
    </row>
    <row r="493" spans="1:2" ht="15.75" customHeight="1">
      <c r="A493" s="24"/>
      <c r="B493" s="37"/>
    </row>
    <row r="494" spans="1:2" ht="15.75" customHeight="1">
      <c r="A494" s="24"/>
      <c r="B494" s="37"/>
    </row>
    <row r="495" spans="1:2" ht="15.75" customHeight="1">
      <c r="A495" s="24"/>
      <c r="B495" s="37"/>
    </row>
    <row r="496" spans="1:2" ht="15.75" customHeight="1">
      <c r="A496" s="24"/>
      <c r="B496" s="37"/>
    </row>
    <row r="497" spans="1:2" ht="15.75" customHeight="1">
      <c r="A497" s="24"/>
      <c r="B497" s="37"/>
    </row>
    <row r="498" spans="1:2" ht="15.75" customHeight="1">
      <c r="A498" s="24"/>
      <c r="B498" s="37"/>
    </row>
    <row r="499" spans="1:2" ht="15.75" customHeight="1">
      <c r="A499" s="24"/>
      <c r="B499" s="37"/>
    </row>
    <row r="500" spans="1:2" ht="15.75" customHeight="1">
      <c r="A500" s="24"/>
      <c r="B500" s="37"/>
    </row>
    <row r="501" spans="1:2" ht="15.75" customHeight="1">
      <c r="A501" s="24"/>
      <c r="B501" s="37"/>
    </row>
    <row r="502" spans="1:2" ht="15.75" customHeight="1">
      <c r="A502" s="24"/>
      <c r="B502" s="37"/>
    </row>
    <row r="503" spans="1:2" ht="15.75" customHeight="1">
      <c r="A503" s="24"/>
      <c r="B503" s="37"/>
    </row>
    <row r="504" spans="1:2" ht="15.75" customHeight="1">
      <c r="A504" s="24"/>
      <c r="B504" s="37"/>
    </row>
    <row r="505" spans="1:2" ht="15.75" customHeight="1">
      <c r="A505" s="24"/>
      <c r="B505" s="37"/>
    </row>
    <row r="506" spans="1:2" ht="15.75" customHeight="1">
      <c r="A506" s="24"/>
      <c r="B506" s="37"/>
    </row>
    <row r="507" spans="1:2" ht="15.75" customHeight="1">
      <c r="A507" s="24"/>
      <c r="B507" s="37"/>
    </row>
    <row r="508" spans="1:2" ht="15.75" customHeight="1">
      <c r="A508" s="24"/>
      <c r="B508" s="37"/>
    </row>
    <row r="509" spans="1:2" ht="15.75" customHeight="1">
      <c r="A509" s="24"/>
      <c r="B509" s="37"/>
    </row>
    <row r="510" spans="1:2" ht="15.75" customHeight="1">
      <c r="A510" s="24"/>
      <c r="B510" s="37"/>
    </row>
    <row r="511" spans="1:2" ht="15.75" customHeight="1">
      <c r="A511" s="24"/>
      <c r="B511" s="37"/>
    </row>
    <row r="512" spans="1:2" ht="15.75" customHeight="1">
      <c r="A512" s="24"/>
      <c r="B512" s="37"/>
    </row>
    <row r="513" spans="1:2" ht="15.75" customHeight="1">
      <c r="A513" s="24"/>
      <c r="B513" s="37"/>
    </row>
    <row r="514" spans="1:2" ht="15.75" customHeight="1">
      <c r="A514" s="24"/>
      <c r="B514" s="37"/>
    </row>
    <row r="515" spans="1:2" ht="15.75" customHeight="1">
      <c r="A515" s="24"/>
      <c r="B515" s="37"/>
    </row>
    <row r="516" spans="1:2" ht="15.75" customHeight="1">
      <c r="A516" s="24"/>
      <c r="B516" s="37"/>
    </row>
    <row r="517" spans="1:2" ht="15.75" customHeight="1">
      <c r="A517" s="24"/>
      <c r="B517" s="37"/>
    </row>
    <row r="518" spans="1:2" ht="15.75" customHeight="1">
      <c r="A518" s="24"/>
      <c r="B518" s="37"/>
    </row>
    <row r="519" spans="1:2" ht="15.75" customHeight="1">
      <c r="A519" s="24"/>
      <c r="B519" s="37"/>
    </row>
    <row r="520" spans="1:2" ht="15.75" customHeight="1">
      <c r="A520" s="24"/>
      <c r="B520" s="37"/>
    </row>
    <row r="521" spans="1:2" ht="15.75" customHeight="1">
      <c r="A521" s="24"/>
      <c r="B521" s="37"/>
    </row>
    <row r="522" spans="1:2" ht="15.75" customHeight="1">
      <c r="A522" s="24"/>
      <c r="B522" s="37"/>
    </row>
    <row r="523" spans="1:2" ht="15.75" customHeight="1">
      <c r="A523" s="24"/>
      <c r="B523" s="37"/>
    </row>
    <row r="524" spans="1:2" ht="15.75" customHeight="1">
      <c r="A524" s="24"/>
      <c r="B524" s="37"/>
    </row>
    <row r="525" spans="1:2" ht="15.75" customHeight="1">
      <c r="A525" s="24"/>
      <c r="B525" s="37"/>
    </row>
    <row r="526" spans="1:2" ht="15.75" customHeight="1">
      <c r="A526" s="24"/>
      <c r="B526" s="37"/>
    </row>
    <row r="527" spans="1:2" ht="15.75" customHeight="1">
      <c r="A527" s="24"/>
      <c r="B527" s="37"/>
    </row>
    <row r="528" spans="1:2" ht="15.75" customHeight="1">
      <c r="A528" s="24"/>
      <c r="B528" s="37"/>
    </row>
    <row r="529" spans="1:2" ht="15.75" customHeight="1">
      <c r="A529" s="24"/>
      <c r="B529" s="37"/>
    </row>
    <row r="530" spans="1:2" ht="15.75" customHeight="1">
      <c r="A530" s="24"/>
      <c r="B530" s="37"/>
    </row>
    <row r="531" spans="1:2" ht="15.75" customHeight="1">
      <c r="A531" s="24"/>
      <c r="B531" s="37"/>
    </row>
    <row r="532" spans="1:2" ht="15.75" customHeight="1">
      <c r="A532" s="24"/>
      <c r="B532" s="37"/>
    </row>
    <row r="533" spans="1:2" ht="15.75" customHeight="1">
      <c r="A533" s="24"/>
      <c r="B533" s="37"/>
    </row>
    <row r="534" spans="1:2" ht="15.75" customHeight="1">
      <c r="A534" s="24"/>
      <c r="B534" s="37"/>
    </row>
    <row r="535" spans="1:2" ht="15.75" customHeight="1">
      <c r="A535" s="24"/>
      <c r="B535" s="37"/>
    </row>
    <row r="536" spans="1:2" ht="15.75" customHeight="1">
      <c r="A536" s="24"/>
      <c r="B536" s="37"/>
    </row>
    <row r="537" spans="1:2" ht="15.75" customHeight="1">
      <c r="A537" s="24"/>
      <c r="B537" s="37"/>
    </row>
    <row r="538" spans="1:2" ht="15.75" customHeight="1">
      <c r="A538" s="24"/>
      <c r="B538" s="37"/>
    </row>
    <row r="539" spans="1:2" ht="15.75" customHeight="1">
      <c r="A539" s="24"/>
      <c r="B539" s="37"/>
    </row>
    <row r="540" spans="1:2" ht="15.75" customHeight="1">
      <c r="A540" s="24"/>
      <c r="B540" s="37"/>
    </row>
    <row r="541" spans="1:2" ht="15.75" customHeight="1">
      <c r="A541" s="24"/>
      <c r="B541" s="37"/>
    </row>
    <row r="542" spans="1:2" ht="15.75" customHeight="1">
      <c r="A542" s="24"/>
      <c r="B542" s="37"/>
    </row>
    <row r="543" spans="1:2" ht="15.75" customHeight="1">
      <c r="A543" s="24"/>
      <c r="B543" s="37"/>
    </row>
    <row r="544" spans="1:2" ht="15.75" customHeight="1">
      <c r="A544" s="24"/>
      <c r="B544" s="37"/>
    </row>
    <row r="545" spans="1:2" ht="15.75" customHeight="1">
      <c r="A545" s="24"/>
      <c r="B545" s="37"/>
    </row>
    <row r="546" spans="1:2" ht="15.75" customHeight="1">
      <c r="A546" s="24"/>
    </row>
    <row r="547" spans="1:2" ht="15.75" customHeight="1">
      <c r="A547" s="24"/>
    </row>
    <row r="548" spans="1:2" ht="15.75" customHeight="1">
      <c r="A548" s="24"/>
    </row>
    <row r="549" spans="1:2" ht="15.75" customHeight="1">
      <c r="A549" s="24"/>
    </row>
    <row r="550" spans="1:2" ht="15.75" customHeight="1">
      <c r="A550" s="24"/>
    </row>
    <row r="551" spans="1:2" ht="15.75" customHeight="1">
      <c r="A551" s="24"/>
    </row>
    <row r="552" spans="1:2" ht="15.75" customHeight="1">
      <c r="A552" s="24"/>
    </row>
    <row r="553" spans="1:2" ht="15.75" customHeight="1">
      <c r="A553" s="24"/>
    </row>
    <row r="554" spans="1:2" ht="15.75" customHeight="1">
      <c r="A554" s="24"/>
    </row>
    <row r="555" spans="1:2" ht="15.75" customHeight="1">
      <c r="A555" s="24"/>
    </row>
    <row r="556" spans="1:2" ht="15.75" customHeight="1">
      <c r="A556" s="24"/>
    </row>
    <row r="557" spans="1:2" ht="15.75" customHeight="1">
      <c r="A557" s="24"/>
    </row>
    <row r="558" spans="1:2" ht="15.75" customHeight="1">
      <c r="A558" s="24"/>
    </row>
    <row r="559" spans="1:2" ht="15.75" customHeight="1">
      <c r="A559" s="24"/>
    </row>
    <row r="560" spans="1:2" ht="15.75" customHeight="1">
      <c r="A560" s="24"/>
    </row>
    <row r="561" spans="1:1" ht="15.75" customHeight="1">
      <c r="A561" s="24"/>
    </row>
    <row r="562" spans="1:1" ht="15.75" customHeight="1">
      <c r="A562" s="24"/>
    </row>
    <row r="563" spans="1:1" ht="15.75" customHeight="1">
      <c r="A563" s="24"/>
    </row>
    <row r="564" spans="1:1" ht="15.75" customHeight="1">
      <c r="A564" s="24"/>
    </row>
    <row r="565" spans="1:1" ht="15.75" customHeight="1">
      <c r="A565" s="24"/>
    </row>
    <row r="566" spans="1:1" ht="15.75" customHeight="1">
      <c r="A566" s="24"/>
    </row>
    <row r="567" spans="1:1" ht="15.75" customHeight="1">
      <c r="A567" s="24"/>
    </row>
    <row r="568" spans="1:1" ht="15.75" customHeight="1">
      <c r="A568" s="24"/>
    </row>
    <row r="569" spans="1:1" ht="15.75" customHeight="1">
      <c r="A569" s="24"/>
    </row>
    <row r="570" spans="1:1" ht="15.75" customHeight="1">
      <c r="A570" s="24"/>
    </row>
    <row r="571" spans="1:1" ht="15.75" customHeight="1">
      <c r="A571" s="24"/>
    </row>
    <row r="572" spans="1:1" ht="15.75" customHeight="1">
      <c r="A572" s="24"/>
    </row>
    <row r="573" spans="1:1" ht="15.75" customHeight="1">
      <c r="A573" s="24"/>
    </row>
    <row r="574" spans="1:1" ht="15.75" customHeight="1">
      <c r="A574" s="24"/>
    </row>
    <row r="575" spans="1:1" ht="15.75" customHeight="1">
      <c r="A575" s="24"/>
    </row>
    <row r="576" spans="1:1" ht="15.75" customHeight="1">
      <c r="A576" s="24"/>
    </row>
    <row r="577" spans="1:1" ht="15.75" customHeight="1">
      <c r="A577" s="24"/>
    </row>
    <row r="578" spans="1:1" ht="15.75" customHeight="1">
      <c r="A578" s="24"/>
    </row>
    <row r="579" spans="1:1" ht="15.75" customHeight="1">
      <c r="A579" s="24"/>
    </row>
    <row r="580" spans="1:1" ht="15.75" customHeight="1">
      <c r="A580" s="24"/>
    </row>
    <row r="581" spans="1:1" ht="15.75" customHeight="1">
      <c r="A581" s="24"/>
    </row>
    <row r="582" spans="1:1" ht="15.75" customHeight="1">
      <c r="A582" s="24"/>
    </row>
    <row r="583" spans="1:1" ht="15.75" customHeight="1">
      <c r="A583" s="24"/>
    </row>
    <row r="584" spans="1:1" ht="15.75" customHeight="1">
      <c r="A584" s="24"/>
    </row>
    <row r="585" spans="1:1" ht="15.75" customHeight="1">
      <c r="A585" s="24"/>
    </row>
    <row r="586" spans="1:1" ht="15.75" customHeight="1">
      <c r="A586" s="24"/>
    </row>
    <row r="587" spans="1:1" ht="15.75" customHeight="1">
      <c r="A587" s="24"/>
    </row>
    <row r="588" spans="1:1" ht="15.75" customHeight="1">
      <c r="A588" s="24"/>
    </row>
    <row r="589" spans="1:1" ht="15.75" customHeight="1">
      <c r="A589" s="24"/>
    </row>
    <row r="590" spans="1:1" ht="15.75" customHeight="1">
      <c r="A590" s="24"/>
    </row>
    <row r="591" spans="1:1" ht="15.75" customHeight="1">
      <c r="A591" s="24"/>
    </row>
    <row r="592" spans="1:1" ht="15.75" customHeight="1">
      <c r="A592" s="24"/>
    </row>
    <row r="593" spans="1:1" ht="15.75" customHeight="1">
      <c r="A593" s="24"/>
    </row>
    <row r="594" spans="1:1" ht="15.75" customHeight="1">
      <c r="A594" s="24"/>
    </row>
    <row r="595" spans="1:1" ht="15.75" customHeight="1">
      <c r="A595" s="24"/>
    </row>
    <row r="596" spans="1:1" ht="15.75" customHeight="1">
      <c r="A596" s="24"/>
    </row>
    <row r="597" spans="1:1" ht="15.75" customHeight="1">
      <c r="A597" s="24"/>
    </row>
    <row r="598" spans="1:1" ht="15.75" customHeight="1">
      <c r="A598" s="24"/>
    </row>
    <row r="599" spans="1:1" ht="15.75" customHeight="1">
      <c r="A599" s="24"/>
    </row>
    <row r="600" spans="1:1" ht="15.75" customHeight="1">
      <c r="A600" s="24"/>
    </row>
    <row r="601" spans="1:1" ht="15.75" customHeight="1">
      <c r="A601" s="24"/>
    </row>
    <row r="602" spans="1:1" ht="15.75" customHeight="1">
      <c r="A602" s="24"/>
    </row>
    <row r="603" spans="1:1" ht="15.75" customHeight="1">
      <c r="A603" s="24"/>
    </row>
    <row r="604" spans="1:1" ht="15.75" customHeight="1">
      <c r="A604" s="24"/>
    </row>
    <row r="605" spans="1:1" ht="15.75" customHeight="1">
      <c r="A605" s="24"/>
    </row>
    <row r="606" spans="1:1" ht="15.75" customHeight="1">
      <c r="A606" s="24"/>
    </row>
    <row r="607" spans="1:1" ht="15.75" customHeight="1">
      <c r="A607" s="24"/>
    </row>
    <row r="608" spans="1:1" ht="15.75" customHeight="1">
      <c r="A608" s="24"/>
    </row>
    <row r="609" spans="1:1" ht="15.75" customHeight="1">
      <c r="A609" s="24"/>
    </row>
    <row r="610" spans="1:1" ht="15.75" customHeight="1">
      <c r="A610" s="24"/>
    </row>
    <row r="611" spans="1:1" ht="15.75" customHeight="1">
      <c r="A611" s="24"/>
    </row>
    <row r="612" spans="1:1" ht="15.75" customHeight="1">
      <c r="A612" s="24"/>
    </row>
    <row r="613" spans="1:1" ht="15.75" customHeight="1">
      <c r="A613" s="24"/>
    </row>
    <row r="614" spans="1:1" ht="15.75" customHeight="1">
      <c r="A614" s="24"/>
    </row>
    <row r="615" spans="1:1" ht="15.75" customHeight="1">
      <c r="A615" s="24"/>
    </row>
    <row r="616" spans="1:1" ht="15.75" customHeight="1">
      <c r="A616" s="24"/>
    </row>
    <row r="617" spans="1:1" ht="15.75" customHeight="1">
      <c r="A617" s="24"/>
    </row>
    <row r="618" spans="1:1" ht="15.75" customHeight="1">
      <c r="A618" s="24"/>
    </row>
    <row r="619" spans="1:1" ht="15.75" customHeight="1">
      <c r="A619" s="24"/>
    </row>
    <row r="620" spans="1:1" ht="15.75" customHeight="1">
      <c r="A620" s="24"/>
    </row>
    <row r="621" spans="1:1" ht="15.75" customHeight="1">
      <c r="A621" s="24"/>
    </row>
    <row r="622" spans="1:1" ht="15.75" customHeight="1">
      <c r="A622" s="24"/>
    </row>
    <row r="623" spans="1:1" ht="15.75" customHeight="1">
      <c r="A623" s="24"/>
    </row>
    <row r="624" spans="1:1" ht="15.75" customHeight="1">
      <c r="A624" s="24"/>
    </row>
    <row r="625" spans="1:1" ht="15.75" customHeight="1">
      <c r="A625" s="24"/>
    </row>
    <row r="626" spans="1:1" ht="15.75" customHeight="1">
      <c r="A626" s="24"/>
    </row>
    <row r="627" spans="1:1" ht="15.75" customHeight="1">
      <c r="A627" s="24"/>
    </row>
    <row r="628" spans="1:1" ht="15.75" customHeight="1">
      <c r="A628" s="24"/>
    </row>
    <row r="629" spans="1:1" ht="15.75" customHeight="1">
      <c r="A629" s="24"/>
    </row>
    <row r="630" spans="1:1" ht="15.75" customHeight="1">
      <c r="A630" s="24"/>
    </row>
    <row r="631" spans="1:1" ht="15.75" customHeight="1">
      <c r="A631" s="24"/>
    </row>
    <row r="632" spans="1:1" ht="15.75" customHeight="1">
      <c r="A632" s="24"/>
    </row>
    <row r="633" spans="1:1" ht="15.75" customHeight="1">
      <c r="A633" s="24"/>
    </row>
    <row r="634" spans="1:1" ht="15.75" customHeight="1">
      <c r="A634" s="24"/>
    </row>
    <row r="635" spans="1:1" ht="15.75" customHeight="1">
      <c r="A635" s="24"/>
    </row>
    <row r="636" spans="1:1" ht="15.75" customHeight="1">
      <c r="A636" s="24"/>
    </row>
    <row r="637" spans="1:1" ht="15.75" customHeight="1">
      <c r="A637" s="24"/>
    </row>
    <row r="638" spans="1:1" ht="15.75" customHeight="1">
      <c r="A638" s="24"/>
    </row>
    <row r="639" spans="1:1" ht="15.75" customHeight="1">
      <c r="A639" s="24"/>
    </row>
    <row r="640" spans="1:1" ht="15.75" customHeight="1">
      <c r="A640" s="24"/>
    </row>
    <row r="641" spans="1:1" ht="15.75" customHeight="1">
      <c r="A641" s="24"/>
    </row>
    <row r="642" spans="1:1" ht="15.75" customHeight="1">
      <c r="A642" s="24"/>
    </row>
    <row r="643" spans="1:1" ht="15.75" customHeight="1">
      <c r="A643" s="24"/>
    </row>
    <row r="644" spans="1:1" ht="15.75" customHeight="1">
      <c r="A644" s="24"/>
    </row>
    <row r="645" spans="1:1" ht="15.75" customHeight="1">
      <c r="A645" s="24"/>
    </row>
    <row r="646" spans="1:1" ht="15.75" customHeight="1">
      <c r="A646" s="24"/>
    </row>
    <row r="647" spans="1:1" ht="15.75" customHeight="1">
      <c r="A647" s="24"/>
    </row>
    <row r="648" spans="1:1" ht="15.75" customHeight="1">
      <c r="A648" s="24"/>
    </row>
    <row r="649" spans="1:1" ht="15.75" customHeight="1">
      <c r="A649" s="24"/>
    </row>
    <row r="650" spans="1:1" ht="15.75" customHeight="1">
      <c r="A650" s="24"/>
    </row>
    <row r="651" spans="1:1" ht="15.75" customHeight="1">
      <c r="A651" s="24"/>
    </row>
    <row r="652" spans="1:1" ht="15.75" customHeight="1">
      <c r="A652" s="24"/>
    </row>
    <row r="653" spans="1:1" ht="15.75" customHeight="1">
      <c r="A653" s="24"/>
    </row>
    <row r="654" spans="1:1" ht="15.75" customHeight="1">
      <c r="A654" s="24"/>
    </row>
    <row r="655" spans="1:1" ht="15.75" customHeight="1">
      <c r="A655" s="24"/>
    </row>
    <row r="656" spans="1:1" ht="15.75" customHeight="1">
      <c r="A656" s="24"/>
    </row>
    <row r="657" spans="1:1" ht="15.75" customHeight="1">
      <c r="A657" s="24"/>
    </row>
    <row r="658" spans="1:1" ht="15.75" customHeight="1">
      <c r="A658" s="24"/>
    </row>
    <row r="659" spans="1:1" ht="15.75" customHeight="1">
      <c r="A659" s="24"/>
    </row>
    <row r="660" spans="1:1" ht="15.75" customHeight="1">
      <c r="A660" s="24"/>
    </row>
    <row r="661" spans="1:1" ht="15.75" customHeight="1">
      <c r="A661" s="24"/>
    </row>
    <row r="662" spans="1:1" ht="15.75" customHeight="1">
      <c r="A662" s="24"/>
    </row>
    <row r="663" spans="1:1" ht="15.75" customHeight="1">
      <c r="A663" s="24"/>
    </row>
    <row r="664" spans="1:1" ht="15.75" customHeight="1">
      <c r="A664" s="24"/>
    </row>
    <row r="665" spans="1:1" ht="15.75" customHeight="1">
      <c r="A665" s="24"/>
    </row>
    <row r="666" spans="1:1" ht="15.75" customHeight="1">
      <c r="A666" s="24"/>
    </row>
    <row r="667" spans="1:1" ht="15.75" customHeight="1">
      <c r="A667" s="24"/>
    </row>
    <row r="668" spans="1:1" ht="15.75" customHeight="1">
      <c r="A668" s="24"/>
    </row>
    <row r="669" spans="1:1" ht="15.75" customHeight="1">
      <c r="A669" s="24"/>
    </row>
    <row r="670" spans="1:1" ht="15.75" customHeight="1">
      <c r="A670" s="24"/>
    </row>
    <row r="671" spans="1:1" ht="15.75" customHeight="1">
      <c r="A671" s="24"/>
    </row>
    <row r="672" spans="1:1" ht="15.75" customHeight="1">
      <c r="A672" s="24"/>
    </row>
    <row r="673" spans="1:1" ht="15.75" customHeight="1">
      <c r="A673" s="24"/>
    </row>
    <row r="674" spans="1:1" ht="15.75" customHeight="1">
      <c r="A674" s="24"/>
    </row>
    <row r="675" spans="1:1" ht="15.75" customHeight="1">
      <c r="A675" s="24"/>
    </row>
    <row r="676" spans="1:1" ht="15.75" customHeight="1">
      <c r="A676" s="24"/>
    </row>
    <row r="677" spans="1:1" ht="15.75" customHeight="1">
      <c r="A677" s="24"/>
    </row>
    <row r="678" spans="1:1" ht="15.75" customHeight="1">
      <c r="A678" s="24"/>
    </row>
    <row r="679" spans="1:1" ht="15.75" customHeight="1">
      <c r="A679" s="24"/>
    </row>
    <row r="680" spans="1:1" ht="15.75" customHeight="1">
      <c r="A680" s="24"/>
    </row>
    <row r="681" spans="1:1" ht="15.75" customHeight="1">
      <c r="A681" s="24"/>
    </row>
    <row r="682" spans="1:1" ht="15.75" customHeight="1">
      <c r="A682" s="24"/>
    </row>
    <row r="683" spans="1:1" ht="15.75" customHeight="1">
      <c r="A683" s="24"/>
    </row>
    <row r="684" spans="1:1" ht="15.75" customHeight="1">
      <c r="A684" s="24"/>
    </row>
    <row r="685" spans="1:1" ht="15.75" customHeight="1">
      <c r="A685" s="24"/>
    </row>
    <row r="686" spans="1:1" ht="15.75" customHeight="1">
      <c r="A686" s="24"/>
    </row>
    <row r="687" spans="1:1" ht="15.75" customHeight="1">
      <c r="A687" s="24"/>
    </row>
    <row r="688" spans="1:1" ht="15.75" customHeight="1">
      <c r="A688" s="24"/>
    </row>
    <row r="689" spans="1:1" ht="15.75" customHeight="1">
      <c r="A689" s="24"/>
    </row>
    <row r="690" spans="1:1" ht="15.75" customHeight="1">
      <c r="A690" s="24"/>
    </row>
    <row r="691" spans="1:1" ht="15.75" customHeight="1">
      <c r="A691" s="24"/>
    </row>
    <row r="692" spans="1:1" ht="15.75" customHeight="1">
      <c r="A692" s="24"/>
    </row>
    <row r="693" spans="1:1" ht="15.75" customHeight="1">
      <c r="A693" s="24"/>
    </row>
    <row r="694" spans="1:1" ht="15.75" customHeight="1">
      <c r="A694" s="24"/>
    </row>
    <row r="695" spans="1:1" ht="15.75" customHeight="1">
      <c r="A695" s="24"/>
    </row>
    <row r="696" spans="1:1" ht="15.75" customHeight="1">
      <c r="A696" s="24"/>
    </row>
    <row r="697" spans="1:1" ht="15.75" customHeight="1">
      <c r="A697" s="24"/>
    </row>
    <row r="698" spans="1:1" ht="15.75" customHeight="1">
      <c r="A698" s="24"/>
    </row>
    <row r="699" spans="1:1" ht="15.75" customHeight="1">
      <c r="A699" s="24"/>
    </row>
    <row r="700" spans="1:1" ht="15.75" customHeight="1">
      <c r="A700" s="24"/>
    </row>
    <row r="701" spans="1:1" ht="15.75" customHeight="1">
      <c r="A701" s="24"/>
    </row>
    <row r="702" spans="1:1" ht="15.75" customHeight="1">
      <c r="A702" s="24"/>
    </row>
    <row r="703" spans="1:1" ht="15.75" customHeight="1">
      <c r="A703" s="24"/>
    </row>
    <row r="704" spans="1:1" ht="15.75" customHeight="1">
      <c r="A704" s="24"/>
    </row>
    <row r="705" spans="1:1" ht="15.75" customHeight="1">
      <c r="A705" s="24"/>
    </row>
    <row r="706" spans="1:1" ht="15.75" customHeight="1">
      <c r="A706" s="24"/>
    </row>
    <row r="707" spans="1:1" ht="15.75" customHeight="1">
      <c r="A707" s="24"/>
    </row>
    <row r="708" spans="1:1" ht="15.75" customHeight="1">
      <c r="A708" s="24"/>
    </row>
    <row r="709" spans="1:1" ht="15.75" customHeight="1">
      <c r="A709" s="24"/>
    </row>
    <row r="710" spans="1:1" ht="15.75" customHeight="1">
      <c r="A710" s="24"/>
    </row>
    <row r="711" spans="1:1" ht="15.75" customHeight="1">
      <c r="A711" s="24"/>
    </row>
    <row r="712" spans="1:1" ht="15.75" customHeight="1">
      <c r="A712" s="24"/>
    </row>
    <row r="713" spans="1:1" ht="15.75" customHeight="1">
      <c r="A713" s="24"/>
    </row>
    <row r="714" spans="1:1" ht="15.75" customHeight="1">
      <c r="A714" s="24"/>
    </row>
    <row r="715" spans="1:1" ht="15.75" customHeight="1">
      <c r="A715" s="24"/>
    </row>
    <row r="716" spans="1:1" ht="15.75" customHeight="1">
      <c r="A716" s="24"/>
    </row>
    <row r="717" spans="1:1" ht="15.75" customHeight="1">
      <c r="A717" s="24"/>
    </row>
    <row r="718" spans="1:1" ht="15.75" customHeight="1">
      <c r="A718" s="24"/>
    </row>
    <row r="719" spans="1:1" ht="15.75" customHeight="1">
      <c r="A719" s="24"/>
    </row>
    <row r="720" spans="1:1" ht="15.75" customHeight="1">
      <c r="A720" s="24"/>
    </row>
    <row r="721" spans="1:1" ht="15.75" customHeight="1">
      <c r="A721" s="24"/>
    </row>
    <row r="722" spans="1:1" ht="15.75" customHeight="1">
      <c r="A722" s="24"/>
    </row>
    <row r="723" spans="1:1" ht="15.75" customHeight="1">
      <c r="A723" s="24"/>
    </row>
    <row r="724" spans="1:1" ht="15.75" customHeight="1">
      <c r="A724" s="24"/>
    </row>
    <row r="725" spans="1:1" ht="15.75" customHeight="1">
      <c r="A725" s="24"/>
    </row>
    <row r="726" spans="1:1" ht="15.75" customHeight="1">
      <c r="A726" s="24"/>
    </row>
    <row r="727" spans="1:1" ht="15.75" customHeight="1">
      <c r="A727" s="24"/>
    </row>
    <row r="728" spans="1:1" ht="15.75" customHeight="1">
      <c r="A728" s="24"/>
    </row>
    <row r="729" spans="1:1" ht="15.75" customHeight="1">
      <c r="A729" s="24"/>
    </row>
    <row r="730" spans="1:1" ht="15.75" customHeight="1">
      <c r="A730" s="24"/>
    </row>
    <row r="731" spans="1:1" ht="15.75" customHeight="1">
      <c r="A731" s="24"/>
    </row>
    <row r="732" spans="1:1" ht="15.75" customHeight="1">
      <c r="A732" s="24"/>
    </row>
    <row r="733" spans="1:1" ht="15.75" customHeight="1">
      <c r="A733" s="24"/>
    </row>
    <row r="734" spans="1:1" ht="15.75" customHeight="1">
      <c r="A734" s="24"/>
    </row>
    <row r="735" spans="1:1" ht="15.75" customHeight="1">
      <c r="A735" s="24"/>
    </row>
    <row r="736" spans="1:1" ht="15.75" customHeight="1">
      <c r="A736" s="24"/>
    </row>
    <row r="737" spans="1:1" ht="15.75" customHeight="1">
      <c r="A737" s="24"/>
    </row>
    <row r="738" spans="1:1" ht="15.75" customHeight="1">
      <c r="A738" s="24"/>
    </row>
    <row r="739" spans="1:1" ht="15.75" customHeight="1">
      <c r="A739" s="24"/>
    </row>
    <row r="740" spans="1:1" ht="15.75" customHeight="1">
      <c r="A740" s="24"/>
    </row>
    <row r="741" spans="1:1" ht="15.75" customHeight="1">
      <c r="A741" s="24"/>
    </row>
    <row r="742" spans="1:1" ht="15.75" customHeight="1">
      <c r="A742" s="24"/>
    </row>
    <row r="743" spans="1:1" ht="15.75" customHeight="1">
      <c r="A743" s="24"/>
    </row>
    <row r="744" spans="1:1" ht="15.75" customHeight="1">
      <c r="A744" s="24"/>
    </row>
    <row r="745" spans="1:1" ht="15.75" customHeight="1">
      <c r="A745" s="24"/>
    </row>
    <row r="746" spans="1:1" ht="15.75" customHeight="1">
      <c r="A746" s="24"/>
    </row>
    <row r="747" spans="1:1" ht="15.75" customHeight="1">
      <c r="A747" s="24"/>
    </row>
    <row r="748" spans="1:1" ht="15.75" customHeight="1">
      <c r="A748" s="24"/>
    </row>
    <row r="749" spans="1:1" ht="15.75" customHeight="1">
      <c r="A749" s="24"/>
    </row>
    <row r="750" spans="1:1" ht="15.75" customHeight="1">
      <c r="A750" s="24"/>
    </row>
    <row r="751" spans="1:1" ht="15.75" customHeight="1">
      <c r="A751" s="24"/>
    </row>
    <row r="752" spans="1:1" ht="15.75" customHeight="1">
      <c r="A752" s="24"/>
    </row>
    <row r="753" spans="1:1" ht="15.75" customHeight="1">
      <c r="A753" s="24"/>
    </row>
    <row r="754" spans="1:1" ht="15.75" customHeight="1">
      <c r="A754" s="24"/>
    </row>
    <row r="755" spans="1:1" ht="15.75" customHeight="1">
      <c r="A755" s="24"/>
    </row>
    <row r="756" spans="1:1" ht="15.75" customHeight="1">
      <c r="A756" s="24"/>
    </row>
    <row r="757" spans="1:1" ht="15.75" customHeight="1">
      <c r="A757" s="24"/>
    </row>
    <row r="758" spans="1:1" ht="15.75" customHeight="1">
      <c r="A758" s="24"/>
    </row>
    <row r="759" spans="1:1" ht="15.75" customHeight="1">
      <c r="A759" s="24"/>
    </row>
    <row r="760" spans="1:1" ht="15.75" customHeight="1">
      <c r="A760" s="24"/>
    </row>
    <row r="761" spans="1:1" ht="15.75" customHeight="1">
      <c r="A761" s="24"/>
    </row>
    <row r="762" spans="1:1" ht="15.75" customHeight="1">
      <c r="A762" s="24"/>
    </row>
    <row r="763" spans="1:1" ht="15.75" customHeight="1">
      <c r="A763" s="24"/>
    </row>
    <row r="764" spans="1:1" ht="15.75" customHeight="1">
      <c r="A764" s="24"/>
    </row>
    <row r="765" spans="1:1" ht="15.75" customHeight="1">
      <c r="A765" s="24"/>
    </row>
    <row r="766" spans="1:1" ht="15.75" customHeight="1">
      <c r="A766" s="24"/>
    </row>
    <row r="767" spans="1:1" ht="15.75" customHeight="1">
      <c r="A767" s="24"/>
    </row>
    <row r="768" spans="1:1" ht="15.75" customHeight="1">
      <c r="A768" s="24"/>
    </row>
    <row r="769" spans="1:1" ht="15.75" customHeight="1">
      <c r="A769" s="24"/>
    </row>
    <row r="770" spans="1:1" ht="15.75" customHeight="1">
      <c r="A770" s="24"/>
    </row>
    <row r="771" spans="1:1" ht="15.75" customHeight="1">
      <c r="A771" s="24"/>
    </row>
    <row r="772" spans="1:1" ht="15.75" customHeight="1">
      <c r="A772" s="24"/>
    </row>
    <row r="773" spans="1:1" ht="15.75" customHeight="1">
      <c r="A773" s="24"/>
    </row>
    <row r="774" spans="1:1" ht="15.75" customHeight="1">
      <c r="A774" s="24"/>
    </row>
    <row r="775" spans="1:1" ht="15.75" customHeight="1">
      <c r="A775" s="24"/>
    </row>
    <row r="776" spans="1:1" ht="15.75" customHeight="1">
      <c r="A776" s="24"/>
    </row>
    <row r="777" spans="1:1" ht="15.75" customHeight="1">
      <c r="A777" s="24"/>
    </row>
    <row r="778" spans="1:1" ht="15.75" customHeight="1">
      <c r="A778" s="24"/>
    </row>
    <row r="779" spans="1:1" ht="15.75" customHeight="1">
      <c r="A779" s="24"/>
    </row>
    <row r="780" spans="1:1" ht="15.75" customHeight="1">
      <c r="A780" s="24"/>
    </row>
    <row r="781" spans="1:1" ht="15.75" customHeight="1">
      <c r="A781" s="24"/>
    </row>
    <row r="782" spans="1:1" ht="15.75" customHeight="1">
      <c r="A782" s="24"/>
    </row>
    <row r="783" spans="1:1" ht="15.75" customHeight="1">
      <c r="A783" s="24"/>
    </row>
    <row r="784" spans="1:1" ht="15.75" customHeight="1">
      <c r="A784" s="24"/>
    </row>
    <row r="785" spans="1:1" ht="15.75" customHeight="1">
      <c r="A785" s="24"/>
    </row>
    <row r="786" spans="1:1" ht="15.75" customHeight="1">
      <c r="A786" s="24"/>
    </row>
    <row r="787" spans="1:1" ht="15.75" customHeight="1">
      <c r="A787" s="24"/>
    </row>
    <row r="788" spans="1:1" ht="15.75" customHeight="1">
      <c r="A788" s="24"/>
    </row>
    <row r="789" spans="1:1" ht="15.75" customHeight="1">
      <c r="A789" s="24"/>
    </row>
    <row r="790" spans="1:1" ht="15.75" customHeight="1">
      <c r="A790" s="24"/>
    </row>
    <row r="791" spans="1:1" ht="15.75" customHeight="1">
      <c r="A791" s="24"/>
    </row>
    <row r="792" spans="1:1" ht="15.75" customHeight="1">
      <c r="A792" s="24"/>
    </row>
    <row r="793" spans="1:1" ht="15.75" customHeight="1">
      <c r="A793" s="24"/>
    </row>
    <row r="794" spans="1:1" ht="15.75" customHeight="1">
      <c r="A794" s="24"/>
    </row>
    <row r="795" spans="1:1" ht="15.75" customHeight="1">
      <c r="A795" s="24"/>
    </row>
    <row r="796" spans="1:1" ht="15.75" customHeight="1">
      <c r="A796" s="24"/>
    </row>
    <row r="797" spans="1:1" ht="15.75" customHeight="1">
      <c r="A797" s="24"/>
    </row>
    <row r="798" spans="1:1" ht="15.75" customHeight="1">
      <c r="A798" s="24"/>
    </row>
    <row r="799" spans="1:1" ht="15.75" customHeight="1">
      <c r="A799" s="24"/>
    </row>
    <row r="800" spans="1:1" ht="15.75" customHeight="1">
      <c r="A800" s="24"/>
    </row>
    <row r="801" spans="1:1" ht="15.75" customHeight="1">
      <c r="A801" s="24"/>
    </row>
    <row r="802" spans="1:1" ht="15.75" customHeight="1">
      <c r="A802" s="24"/>
    </row>
    <row r="803" spans="1:1" ht="15.75" customHeight="1">
      <c r="A803" s="24"/>
    </row>
    <row r="804" spans="1:1" ht="15.75" customHeight="1">
      <c r="A804" s="24"/>
    </row>
    <row r="805" spans="1:1" ht="15.75" customHeight="1">
      <c r="A805" s="24"/>
    </row>
    <row r="806" spans="1:1" ht="15.75" customHeight="1">
      <c r="A806" s="24"/>
    </row>
    <row r="807" spans="1:1" ht="15.75" customHeight="1">
      <c r="A807" s="24"/>
    </row>
    <row r="808" spans="1:1" ht="15.75" customHeight="1">
      <c r="A808" s="24"/>
    </row>
    <row r="809" spans="1:1" ht="15.75" customHeight="1">
      <c r="A809" s="24"/>
    </row>
    <row r="810" spans="1:1" ht="15.75" customHeight="1">
      <c r="A810" s="24"/>
    </row>
    <row r="811" spans="1:1" ht="15.75" customHeight="1">
      <c r="A811" s="24"/>
    </row>
    <row r="812" spans="1:1" ht="15.75" customHeight="1">
      <c r="A812" s="24"/>
    </row>
    <row r="813" spans="1:1" ht="15.75" customHeight="1">
      <c r="A813" s="24"/>
    </row>
    <row r="814" spans="1:1" ht="15.75" customHeight="1">
      <c r="A814" s="24"/>
    </row>
    <row r="815" spans="1:1" ht="15.75" customHeight="1">
      <c r="A815" s="24"/>
    </row>
    <row r="816" spans="1:1" ht="15.75" customHeight="1">
      <c r="A816" s="24"/>
    </row>
    <row r="817" spans="1:1" ht="15.75" customHeight="1">
      <c r="A817" s="24"/>
    </row>
    <row r="818" spans="1:1" ht="15.75" customHeight="1">
      <c r="A818" s="24"/>
    </row>
    <row r="819" spans="1:1" ht="15.75" customHeight="1">
      <c r="A819" s="24"/>
    </row>
    <row r="820" spans="1:1" ht="15.75" customHeight="1">
      <c r="A820" s="24"/>
    </row>
    <row r="821" spans="1:1" ht="15.75" customHeight="1">
      <c r="A821" s="24"/>
    </row>
    <row r="822" spans="1:1" ht="15.75" customHeight="1">
      <c r="A822" s="24"/>
    </row>
    <row r="823" spans="1:1" ht="15.75" customHeight="1">
      <c r="A823" s="24"/>
    </row>
    <row r="824" spans="1:1" ht="15.75" customHeight="1">
      <c r="A824" s="24"/>
    </row>
    <row r="825" spans="1:1" ht="15.75" customHeight="1">
      <c r="A825" s="24"/>
    </row>
    <row r="826" spans="1:1" ht="15.75" customHeight="1">
      <c r="A826" s="24"/>
    </row>
    <row r="827" spans="1:1" ht="15.75" customHeight="1">
      <c r="A827" s="24"/>
    </row>
    <row r="828" spans="1:1" ht="15.75" customHeight="1">
      <c r="A828" s="24"/>
    </row>
    <row r="829" spans="1:1" ht="15.75" customHeight="1">
      <c r="A829" s="24"/>
    </row>
    <row r="830" spans="1:1" ht="15.75" customHeight="1">
      <c r="A830" s="24"/>
    </row>
    <row r="831" spans="1:1" ht="15.75" customHeight="1">
      <c r="A831" s="24"/>
    </row>
    <row r="832" spans="1:1" ht="15.75" customHeight="1">
      <c r="A832" s="24"/>
    </row>
    <row r="833" spans="1:1" ht="15.75" customHeight="1">
      <c r="A833" s="24"/>
    </row>
    <row r="834" spans="1:1" ht="15.75" customHeight="1">
      <c r="A834" s="24"/>
    </row>
    <row r="835" spans="1:1" ht="15.75" customHeight="1">
      <c r="A835" s="24"/>
    </row>
    <row r="836" spans="1:1" ht="15.75" customHeight="1">
      <c r="A836" s="24"/>
    </row>
    <row r="837" spans="1:1" ht="15.75" customHeight="1">
      <c r="A837" s="24"/>
    </row>
    <row r="838" spans="1:1" ht="15.75" customHeight="1">
      <c r="A838" s="24"/>
    </row>
    <row r="839" spans="1:1" ht="15.75" customHeight="1">
      <c r="A839" s="24"/>
    </row>
    <row r="840" spans="1:1" ht="15.75" customHeight="1">
      <c r="A840" s="24"/>
    </row>
    <row r="841" spans="1:1" ht="15.75" customHeight="1">
      <c r="A841" s="24"/>
    </row>
    <row r="842" spans="1:1" ht="15.75" customHeight="1">
      <c r="A842" s="24"/>
    </row>
    <row r="843" spans="1:1" ht="15.75" customHeight="1">
      <c r="A843" s="24"/>
    </row>
    <row r="844" spans="1:1" ht="15.75" customHeight="1">
      <c r="A844" s="24"/>
    </row>
    <row r="845" spans="1:1" ht="15.75" customHeight="1">
      <c r="A845" s="24"/>
    </row>
    <row r="846" spans="1:1" ht="15.75" customHeight="1">
      <c r="A846" s="24"/>
    </row>
    <row r="847" spans="1:1" ht="15.75" customHeight="1">
      <c r="A847" s="24"/>
    </row>
    <row r="848" spans="1:1" ht="15.75" customHeight="1">
      <c r="A848" s="24"/>
    </row>
    <row r="849" spans="1:1" ht="15.75" customHeight="1">
      <c r="A849" s="24"/>
    </row>
    <row r="850" spans="1:1" ht="15.75" customHeight="1">
      <c r="A850" s="24"/>
    </row>
    <row r="851" spans="1:1" ht="15.75" customHeight="1">
      <c r="A851" s="24"/>
    </row>
    <row r="852" spans="1:1" ht="15.75" customHeight="1">
      <c r="A852" s="24"/>
    </row>
    <row r="853" spans="1:1" ht="15.75" customHeight="1">
      <c r="A853" s="24"/>
    </row>
    <row r="854" spans="1:1" ht="15.75" customHeight="1">
      <c r="A854" s="24"/>
    </row>
    <row r="855" spans="1:1" ht="15.75" customHeight="1">
      <c r="A855" s="24"/>
    </row>
    <row r="856" spans="1:1" ht="15.75" customHeight="1">
      <c r="A856" s="24"/>
    </row>
    <row r="857" spans="1:1" ht="15.75" customHeight="1">
      <c r="A857" s="24"/>
    </row>
    <row r="858" spans="1:1" ht="15.75" customHeight="1">
      <c r="A858" s="24"/>
    </row>
    <row r="859" spans="1:1" ht="15.75" customHeight="1">
      <c r="A859" s="24"/>
    </row>
    <row r="860" spans="1:1" ht="15.75" customHeight="1">
      <c r="A860" s="24"/>
    </row>
    <row r="861" spans="1:1" ht="15.75" customHeight="1">
      <c r="A861" s="24"/>
    </row>
    <row r="862" spans="1:1" ht="15.75" customHeight="1">
      <c r="A862" s="24"/>
    </row>
    <row r="863" spans="1:1" ht="15.75" customHeight="1">
      <c r="A863" s="24"/>
    </row>
    <row r="864" spans="1:1" ht="15.75" customHeight="1">
      <c r="A864" s="24"/>
    </row>
    <row r="865" spans="1:1" ht="15.75" customHeight="1">
      <c r="A865" s="24"/>
    </row>
    <row r="866" spans="1:1" ht="15.75" customHeight="1">
      <c r="A866" s="24"/>
    </row>
    <row r="867" spans="1:1" ht="15.75" customHeight="1">
      <c r="A867" s="24"/>
    </row>
    <row r="868" spans="1:1" ht="15.75" customHeight="1">
      <c r="A868" s="24"/>
    </row>
    <row r="869" spans="1:1" ht="15.75" customHeight="1">
      <c r="A869" s="24"/>
    </row>
    <row r="870" spans="1:1" ht="15.75" customHeight="1">
      <c r="A870" s="24"/>
    </row>
    <row r="871" spans="1:1" ht="15.75" customHeight="1">
      <c r="A871" s="24"/>
    </row>
    <row r="872" spans="1:1" ht="15.75" customHeight="1">
      <c r="A872" s="24"/>
    </row>
    <row r="873" spans="1:1" ht="15.75" customHeight="1">
      <c r="A873" s="24"/>
    </row>
    <row r="874" spans="1:1" ht="15.75" customHeight="1">
      <c r="A874" s="24"/>
    </row>
    <row r="875" spans="1:1" ht="15.75" customHeight="1">
      <c r="A875" s="24"/>
    </row>
    <row r="876" spans="1:1" ht="15.75" customHeight="1">
      <c r="A876" s="24"/>
    </row>
    <row r="877" spans="1:1" ht="15.75" customHeight="1">
      <c r="A877" s="24"/>
    </row>
    <row r="878" spans="1:1" ht="15.75" customHeight="1">
      <c r="A878" s="24"/>
    </row>
    <row r="879" spans="1:1" ht="15.75" customHeight="1">
      <c r="A879" s="24"/>
    </row>
    <row r="880" spans="1:1" ht="15.75" customHeight="1">
      <c r="A880" s="24"/>
    </row>
    <row r="881" spans="1:1" ht="15.75" customHeight="1">
      <c r="A881" s="24"/>
    </row>
    <row r="882" spans="1:1" ht="15.75" customHeight="1">
      <c r="A882" s="24"/>
    </row>
    <row r="883" spans="1:1" ht="15.75" customHeight="1">
      <c r="A883" s="24"/>
    </row>
    <row r="884" spans="1:1" ht="15.75" customHeight="1">
      <c r="A884" s="24"/>
    </row>
    <row r="885" spans="1:1" ht="15.75" customHeight="1">
      <c r="A885" s="24"/>
    </row>
    <row r="886" spans="1:1" ht="15.75" customHeight="1">
      <c r="A886" s="24"/>
    </row>
    <row r="887" spans="1:1" ht="15.75" customHeight="1">
      <c r="A887" s="24"/>
    </row>
    <row r="888" spans="1:1" ht="15.75" customHeight="1">
      <c r="A888" s="24"/>
    </row>
    <row r="889" spans="1:1" ht="15.75" customHeight="1">
      <c r="A889" s="24"/>
    </row>
    <row r="890" spans="1:1" ht="15.75" customHeight="1">
      <c r="A890" s="24"/>
    </row>
    <row r="891" spans="1:1" ht="15.75" customHeight="1">
      <c r="A891" s="24"/>
    </row>
    <row r="892" spans="1:1" ht="15.75" customHeight="1">
      <c r="A892" s="24"/>
    </row>
    <row r="893" spans="1:1" ht="15.75" customHeight="1">
      <c r="A893" s="24"/>
    </row>
    <row r="894" spans="1:1" ht="15.75" customHeight="1">
      <c r="A894" s="24"/>
    </row>
    <row r="895" spans="1:1" ht="15.75" customHeight="1">
      <c r="A895" s="24"/>
    </row>
    <row r="896" spans="1:1" ht="15.75" customHeight="1">
      <c r="A896" s="24"/>
    </row>
    <row r="897" spans="1:1" ht="15.75" customHeight="1">
      <c r="A897" s="24"/>
    </row>
    <row r="898" spans="1:1" ht="15.75" customHeight="1">
      <c r="A898" s="24"/>
    </row>
    <row r="899" spans="1:1" ht="15.75" customHeight="1">
      <c r="A899" s="24"/>
    </row>
    <row r="900" spans="1:1" ht="15.75" customHeight="1">
      <c r="A900" s="24"/>
    </row>
    <row r="901" spans="1:1" ht="15.75" customHeight="1">
      <c r="A901" s="24"/>
    </row>
    <row r="902" spans="1:1" ht="15.75" customHeight="1">
      <c r="A902" s="24"/>
    </row>
    <row r="903" spans="1:1" ht="15.75" customHeight="1">
      <c r="A903" s="24"/>
    </row>
    <row r="904" spans="1:1" ht="15.75" customHeight="1">
      <c r="A904" s="24"/>
    </row>
    <row r="905" spans="1:1" ht="15.75" customHeight="1">
      <c r="A905" s="24"/>
    </row>
    <row r="906" spans="1:1" ht="15.75" customHeight="1">
      <c r="A906" s="24"/>
    </row>
    <row r="907" spans="1:1" ht="15.75" customHeight="1">
      <c r="A907" s="24"/>
    </row>
    <row r="908" spans="1:1" ht="15.75" customHeight="1">
      <c r="A908" s="24"/>
    </row>
    <row r="909" spans="1:1" ht="15.75" customHeight="1">
      <c r="A909" s="24"/>
    </row>
    <row r="910" spans="1:1" ht="15.75" customHeight="1">
      <c r="A910" s="24"/>
    </row>
    <row r="911" spans="1:1" ht="15.75" customHeight="1">
      <c r="A911" s="24"/>
    </row>
    <row r="912" spans="1:1" ht="15.75" customHeight="1">
      <c r="A912" s="24"/>
    </row>
    <row r="913" spans="1:1" ht="15.75" customHeight="1">
      <c r="A913" s="24"/>
    </row>
    <row r="914" spans="1:1" ht="15.75" customHeight="1">
      <c r="A914" s="24"/>
    </row>
    <row r="915" spans="1:1" ht="15.75" customHeight="1">
      <c r="A915" s="24"/>
    </row>
    <row r="916" spans="1:1" ht="15.75" customHeight="1">
      <c r="A916" s="24"/>
    </row>
    <row r="917" spans="1:1" ht="15.75" customHeight="1">
      <c r="A917" s="24"/>
    </row>
    <row r="918" spans="1:1" ht="15.75" customHeight="1">
      <c r="A918" s="24"/>
    </row>
    <row r="919" spans="1:1" ht="15.75" customHeight="1">
      <c r="A919" s="24"/>
    </row>
    <row r="920" spans="1:1" ht="15.75" customHeight="1">
      <c r="A920" s="24"/>
    </row>
    <row r="921" spans="1:1" ht="15.75" customHeight="1">
      <c r="A921" s="24"/>
    </row>
    <row r="922" spans="1:1" ht="15.75" customHeight="1">
      <c r="A922" s="24"/>
    </row>
    <row r="923" spans="1:1" ht="15.75" customHeight="1">
      <c r="A923" s="24"/>
    </row>
    <row r="924" spans="1:1" ht="15.75" customHeight="1">
      <c r="A924" s="24"/>
    </row>
    <row r="925" spans="1:1" ht="15.75" customHeight="1">
      <c r="A925" s="24"/>
    </row>
    <row r="926" spans="1:1" ht="15.75" customHeight="1">
      <c r="A926" s="24"/>
    </row>
    <row r="927" spans="1:1" ht="15.75" customHeight="1">
      <c r="A927" s="24"/>
    </row>
    <row r="928" spans="1:1" ht="15.75" customHeight="1">
      <c r="A928" s="24"/>
    </row>
    <row r="929" spans="1:1" ht="15.75" customHeight="1">
      <c r="A929" s="24"/>
    </row>
    <row r="930" spans="1:1" ht="15.75" customHeight="1">
      <c r="A930" s="24"/>
    </row>
    <row r="931" spans="1:1" ht="15.75" customHeight="1">
      <c r="A931" s="24"/>
    </row>
    <row r="932" spans="1:1" ht="15.75" customHeight="1">
      <c r="A932" s="24"/>
    </row>
    <row r="933" spans="1:1" ht="15.75" customHeight="1">
      <c r="A933" s="24"/>
    </row>
    <row r="934" spans="1:1" ht="15.75" customHeight="1">
      <c r="A934" s="24"/>
    </row>
    <row r="935" spans="1:1" ht="15.75" customHeight="1">
      <c r="A935" s="24"/>
    </row>
    <row r="936" spans="1:1" ht="15.75" customHeight="1">
      <c r="A936" s="24"/>
    </row>
    <row r="937" spans="1:1" ht="15.75" customHeight="1">
      <c r="A937" s="24"/>
    </row>
    <row r="938" spans="1:1" ht="15.75" customHeight="1">
      <c r="A938" s="24"/>
    </row>
    <row r="939" spans="1:1" ht="15.75" customHeight="1">
      <c r="A939" s="24"/>
    </row>
    <row r="940" spans="1:1" ht="15.75" customHeight="1">
      <c r="A940" s="24"/>
    </row>
    <row r="941" spans="1:1" ht="15.75" customHeight="1">
      <c r="A941" s="24"/>
    </row>
    <row r="942" spans="1:1" ht="15.75" customHeight="1">
      <c r="A942" s="24"/>
    </row>
    <row r="943" spans="1:1" ht="15.75" customHeight="1">
      <c r="A943" s="24"/>
    </row>
    <row r="944" spans="1:1" ht="15.75" customHeight="1">
      <c r="A944" s="24"/>
    </row>
    <row r="945" spans="1:1" ht="15.75" customHeight="1">
      <c r="A945" s="24"/>
    </row>
    <row r="946" spans="1:1" ht="15.75" customHeight="1">
      <c r="A946" s="24"/>
    </row>
    <row r="947" spans="1:1" ht="15.75" customHeight="1">
      <c r="A947" s="24"/>
    </row>
    <row r="948" spans="1:1" ht="15.75" customHeight="1">
      <c r="A948" s="24"/>
    </row>
    <row r="949" spans="1:1" ht="15.75" customHeight="1">
      <c r="A949" s="24"/>
    </row>
    <row r="950" spans="1:1" ht="15.75" customHeight="1">
      <c r="A950" s="24"/>
    </row>
    <row r="951" spans="1:1" ht="15.75" customHeight="1">
      <c r="A951" s="24"/>
    </row>
    <row r="952" spans="1:1" ht="15.75" customHeight="1">
      <c r="A952" s="24"/>
    </row>
    <row r="953" spans="1:1" ht="15.75" customHeight="1">
      <c r="A953" s="24"/>
    </row>
    <row r="954" spans="1:1" ht="15.75" customHeight="1">
      <c r="A954" s="24"/>
    </row>
    <row r="955" spans="1:1" ht="15.75" customHeight="1">
      <c r="A955" s="24"/>
    </row>
    <row r="956" spans="1:1" ht="15.75" customHeight="1">
      <c r="A956" s="24"/>
    </row>
    <row r="957" spans="1:1" ht="15.75" customHeight="1">
      <c r="A957" s="24"/>
    </row>
    <row r="958" spans="1:1" ht="15.75" customHeight="1">
      <c r="A958" s="24"/>
    </row>
    <row r="959" spans="1:1" ht="15.75" customHeight="1">
      <c r="A959" s="24"/>
    </row>
    <row r="960" spans="1:1" ht="15.75" customHeight="1">
      <c r="A960" s="24"/>
    </row>
    <row r="961" spans="1:1" ht="15.75" customHeight="1">
      <c r="A961" s="24"/>
    </row>
    <row r="962" spans="1:1" ht="15.75" customHeight="1">
      <c r="A962" s="24"/>
    </row>
    <row r="963" spans="1:1" ht="15.75" customHeight="1">
      <c r="A963" s="24"/>
    </row>
    <row r="964" spans="1:1" ht="15.75" customHeight="1">
      <c r="A964" s="24"/>
    </row>
    <row r="965" spans="1:1" ht="15.75" customHeight="1">
      <c r="A965" s="24"/>
    </row>
    <row r="966" spans="1:1" ht="15.75" customHeight="1">
      <c r="A966" s="24"/>
    </row>
    <row r="967" spans="1:1" ht="15.75" customHeight="1">
      <c r="A967" s="24"/>
    </row>
    <row r="968" spans="1:1" ht="15.75" customHeight="1">
      <c r="A968" s="24"/>
    </row>
    <row r="969" spans="1:1" ht="15.75" customHeight="1">
      <c r="A969" s="24"/>
    </row>
    <row r="970" spans="1:1" ht="15.75" customHeight="1">
      <c r="A970" s="24"/>
    </row>
    <row r="971" spans="1:1" ht="15.75" customHeight="1">
      <c r="A971" s="24"/>
    </row>
    <row r="972" spans="1:1" ht="15.75" customHeight="1">
      <c r="A972" s="24"/>
    </row>
    <row r="973" spans="1:1" ht="15.75" customHeight="1">
      <c r="A973" s="24"/>
    </row>
    <row r="974" spans="1:1" ht="15.75" customHeight="1">
      <c r="A974" s="24"/>
    </row>
    <row r="975" spans="1:1" ht="15.75" customHeight="1">
      <c r="A975" s="24"/>
    </row>
    <row r="976" spans="1:1" ht="15.75" customHeight="1">
      <c r="A976" s="24"/>
    </row>
    <row r="977" spans="1:1" ht="15.75" customHeight="1">
      <c r="A977" s="24"/>
    </row>
    <row r="978" spans="1:1" ht="15.75" customHeight="1">
      <c r="A978" s="24"/>
    </row>
    <row r="979" spans="1:1" ht="15.75" customHeight="1">
      <c r="A979" s="24"/>
    </row>
    <row r="980" spans="1:1" ht="15.75" customHeight="1">
      <c r="A980" s="24"/>
    </row>
    <row r="981" spans="1:1" ht="15.75" customHeight="1">
      <c r="A981" s="24"/>
    </row>
    <row r="982" spans="1:1" ht="15.75" customHeight="1">
      <c r="A982" s="24"/>
    </row>
    <row r="983" spans="1:1" ht="15.75" customHeight="1">
      <c r="A983" s="24"/>
    </row>
    <row r="984" spans="1:1" ht="15.75" customHeight="1">
      <c r="A984" s="24"/>
    </row>
    <row r="985" spans="1:1" ht="15.75" customHeight="1">
      <c r="A985" s="24"/>
    </row>
    <row r="986" spans="1:1" ht="15.75" customHeight="1">
      <c r="A986" s="24"/>
    </row>
    <row r="987" spans="1:1" ht="15.75" customHeight="1">
      <c r="A987" s="24"/>
    </row>
    <row r="988" spans="1:1" ht="15.75" customHeight="1">
      <c r="A988" s="24"/>
    </row>
    <row r="989" spans="1:1" ht="15.75" customHeight="1">
      <c r="A989" s="24"/>
    </row>
    <row r="990" spans="1:1" ht="15.75" customHeight="1">
      <c r="A990" s="24"/>
    </row>
    <row r="991" spans="1:1" ht="15.75" customHeight="1">
      <c r="A991" s="24"/>
    </row>
    <row r="992" spans="1:1" ht="15.75" customHeight="1">
      <c r="A992" s="24"/>
    </row>
    <row r="993" spans="1:1" ht="15.75" customHeight="1">
      <c r="A993" s="24"/>
    </row>
    <row r="994" spans="1:1" ht="15.75" customHeight="1">
      <c r="A994" s="24"/>
    </row>
    <row r="995" spans="1:1" ht="15.75" customHeight="1">
      <c r="A995" s="24"/>
    </row>
    <row r="996" spans="1:1" ht="15.75" customHeight="1">
      <c r="A996" s="24"/>
    </row>
    <row r="997" spans="1:1" ht="15.75" customHeight="1">
      <c r="A997" s="24"/>
    </row>
    <row r="998" spans="1:1" ht="15.75" customHeight="1">
      <c r="A998" s="24"/>
    </row>
    <row r="999" spans="1:1" ht="15.75" customHeight="1">
      <c r="A999" s="24"/>
    </row>
    <row r="1000" spans="1:1" ht="15.75" customHeight="1">
      <c r="A1000" s="24"/>
    </row>
  </sheetData>
  <autoFilter ref="A1:D1" xr:uid="{00000000-0009-0000-0000-000004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G1000"/>
  <sheetViews>
    <sheetView topLeftCell="A322" workbookViewId="0">
      <selection activeCell="B346" sqref="B346"/>
    </sheetView>
  </sheetViews>
  <sheetFormatPr baseColWidth="10" defaultColWidth="12.59765625" defaultRowHeight="15" customHeight="1"/>
  <cols>
    <col min="1" max="1" width="12.59765625" customWidth="1"/>
    <col min="2" max="2" width="11.69921875" customWidth="1"/>
    <col min="3" max="3" width="15.5" customWidth="1"/>
    <col min="4" max="4" width="15.19921875" customWidth="1"/>
    <col min="5" max="7" width="9.3984375" customWidth="1"/>
  </cols>
  <sheetData>
    <row r="1" spans="1:7" ht="73.5" customHeight="1">
      <c r="A1" s="1" t="s">
        <v>0</v>
      </c>
      <c r="B1" s="2" t="s">
        <v>3</v>
      </c>
      <c r="C1" s="3" t="s">
        <v>8</v>
      </c>
      <c r="D1" s="3" t="s">
        <v>462</v>
      </c>
    </row>
    <row r="2" spans="1:7" ht="14.4">
      <c r="A2" s="7">
        <v>10101</v>
      </c>
      <c r="B2" s="8" t="s">
        <v>13</v>
      </c>
      <c r="C2" s="46"/>
      <c r="D2" s="46"/>
      <c r="G2" s="43"/>
    </row>
    <row r="3" spans="1:7" ht="14.4">
      <c r="A3" s="7">
        <v>10102</v>
      </c>
      <c r="B3" s="8" t="s">
        <v>14</v>
      </c>
      <c r="C3" s="46"/>
      <c r="D3" s="46"/>
      <c r="G3" s="43"/>
    </row>
    <row r="4" spans="1:7" ht="14.4">
      <c r="A4" s="7">
        <v>10103</v>
      </c>
      <c r="B4" s="8" t="s">
        <v>16</v>
      </c>
      <c r="C4" s="46"/>
      <c r="D4" s="46"/>
      <c r="G4" s="43"/>
    </row>
    <row r="5" spans="1:7" ht="14.4">
      <c r="A5" s="7">
        <v>10201</v>
      </c>
      <c r="B5" s="8" t="s">
        <v>19</v>
      </c>
      <c r="C5" s="46"/>
      <c r="D5" s="46"/>
      <c r="G5" s="43"/>
    </row>
    <row r="6" spans="1:7" ht="14.4">
      <c r="A6" s="7">
        <v>10202</v>
      </c>
      <c r="B6" s="8" t="s">
        <v>21</v>
      </c>
      <c r="C6" s="46"/>
      <c r="D6" s="46"/>
      <c r="G6" s="43"/>
    </row>
    <row r="7" spans="1:7" ht="14.4">
      <c r="A7" s="7">
        <v>10301</v>
      </c>
      <c r="B7" s="8" t="s">
        <v>24</v>
      </c>
      <c r="C7" s="46"/>
      <c r="D7" s="46"/>
      <c r="G7" s="43"/>
    </row>
    <row r="8" spans="1:7" ht="14.4">
      <c r="A8" s="7">
        <v>10302</v>
      </c>
      <c r="B8" s="8" t="s">
        <v>26</v>
      </c>
      <c r="C8" s="46"/>
      <c r="D8" s="46"/>
      <c r="G8" s="43"/>
    </row>
    <row r="9" spans="1:7" ht="14.4">
      <c r="A9" s="7">
        <v>10303</v>
      </c>
      <c r="B9" s="8" t="s">
        <v>28</v>
      </c>
      <c r="C9" s="46"/>
      <c r="D9" s="46"/>
      <c r="G9" s="43"/>
    </row>
    <row r="10" spans="1:7" ht="14.4">
      <c r="A10" s="7">
        <v>10304</v>
      </c>
      <c r="B10" s="8" t="s">
        <v>30</v>
      </c>
      <c r="C10" s="46"/>
      <c r="D10" s="46"/>
      <c r="G10" s="43"/>
    </row>
    <row r="11" spans="1:7" ht="14.4">
      <c r="A11" s="7">
        <v>10401</v>
      </c>
      <c r="B11" s="8" t="s">
        <v>33</v>
      </c>
      <c r="C11" s="46"/>
      <c r="D11" s="46"/>
      <c r="G11" s="43"/>
    </row>
    <row r="12" spans="1:7" ht="14.4">
      <c r="A12" s="7">
        <v>10402</v>
      </c>
      <c r="B12" s="8" t="s">
        <v>32</v>
      </c>
      <c r="C12" s="46"/>
      <c r="D12" s="46"/>
      <c r="G12" s="43"/>
    </row>
    <row r="13" spans="1:7" ht="14.4">
      <c r="A13" s="7">
        <v>10403</v>
      </c>
      <c r="B13" s="8" t="s">
        <v>35</v>
      </c>
      <c r="C13" s="46"/>
      <c r="D13" s="46"/>
      <c r="G13" s="43"/>
    </row>
    <row r="14" spans="1:7" ht="14.4">
      <c r="A14" s="7">
        <v>10404</v>
      </c>
      <c r="B14" s="8" t="s">
        <v>36</v>
      </c>
      <c r="C14" s="46"/>
      <c r="D14" s="46"/>
      <c r="G14" s="43"/>
    </row>
    <row r="15" spans="1:7" ht="14.4">
      <c r="A15" s="7">
        <v>10405</v>
      </c>
      <c r="B15" s="8" t="s">
        <v>37</v>
      </c>
      <c r="C15" s="46"/>
      <c r="D15" s="46"/>
      <c r="G15" s="43"/>
    </row>
    <row r="16" spans="1:7" ht="14.4">
      <c r="A16" s="7">
        <v>10501</v>
      </c>
      <c r="B16" s="8" t="s">
        <v>39</v>
      </c>
      <c r="C16" s="46"/>
      <c r="D16" s="46"/>
      <c r="G16" s="43"/>
    </row>
    <row r="17" spans="1:7" ht="14.4">
      <c r="A17" s="7">
        <v>10502</v>
      </c>
      <c r="B17" s="8" t="s">
        <v>40</v>
      </c>
      <c r="C17" s="46"/>
      <c r="D17" s="46"/>
      <c r="G17" s="43"/>
    </row>
    <row r="18" spans="1:7" ht="14.4">
      <c r="A18" s="7">
        <v>10601</v>
      </c>
      <c r="B18" s="8" t="s">
        <v>42</v>
      </c>
      <c r="C18" s="46"/>
      <c r="D18" s="46"/>
      <c r="G18" s="43"/>
    </row>
    <row r="19" spans="1:7" ht="14.4">
      <c r="A19" s="7">
        <v>10602</v>
      </c>
      <c r="B19" s="8" t="s">
        <v>41</v>
      </c>
      <c r="C19" s="46"/>
      <c r="D19" s="46"/>
      <c r="G19" s="43"/>
    </row>
    <row r="20" spans="1:7" ht="14.4">
      <c r="A20" s="7">
        <v>10701</v>
      </c>
      <c r="B20" s="8" t="s">
        <v>44</v>
      </c>
      <c r="C20" s="46"/>
      <c r="D20" s="46"/>
      <c r="G20" s="43"/>
    </row>
    <row r="21" spans="1:7" ht="15.75" customHeight="1">
      <c r="A21" s="7">
        <v>10702</v>
      </c>
      <c r="B21" s="8" t="s">
        <v>45</v>
      </c>
      <c r="C21" s="46"/>
      <c r="D21" s="46"/>
      <c r="G21" s="43"/>
    </row>
    <row r="22" spans="1:7" ht="15.75" customHeight="1">
      <c r="A22" s="7">
        <v>10703</v>
      </c>
      <c r="B22" s="8" t="s">
        <v>46</v>
      </c>
      <c r="C22" s="46"/>
      <c r="D22" s="46"/>
      <c r="G22" s="43"/>
    </row>
    <row r="23" spans="1:7" ht="15.75" customHeight="1">
      <c r="A23" s="7">
        <v>10704</v>
      </c>
      <c r="B23" s="8" t="s">
        <v>47</v>
      </c>
      <c r="C23" s="46"/>
      <c r="D23" s="46"/>
      <c r="G23" s="43"/>
    </row>
    <row r="24" spans="1:7" ht="15.75" customHeight="1">
      <c r="A24" s="7">
        <v>10801</v>
      </c>
      <c r="B24" s="8" t="s">
        <v>49</v>
      </c>
      <c r="C24" s="46"/>
      <c r="D24" s="46"/>
      <c r="G24" s="43"/>
    </row>
    <row r="25" spans="1:7" ht="15.75" customHeight="1">
      <c r="A25" s="7">
        <v>10901</v>
      </c>
      <c r="B25" s="8" t="s">
        <v>51</v>
      </c>
      <c r="C25" s="46"/>
      <c r="D25" s="46"/>
      <c r="G25" s="43"/>
    </row>
    <row r="26" spans="1:7" ht="15.75" customHeight="1">
      <c r="A26" s="7">
        <v>10902</v>
      </c>
      <c r="B26" s="8" t="s">
        <v>52</v>
      </c>
      <c r="C26" s="46"/>
      <c r="D26" s="46"/>
      <c r="G26" s="43"/>
    </row>
    <row r="27" spans="1:7" ht="15.75" customHeight="1">
      <c r="A27" s="7">
        <v>10903</v>
      </c>
      <c r="B27" s="8" t="s">
        <v>53</v>
      </c>
      <c r="C27" s="46"/>
      <c r="D27" s="46"/>
      <c r="G27" s="43"/>
    </row>
    <row r="28" spans="1:7" ht="15.75" customHeight="1">
      <c r="A28" s="7">
        <v>11001</v>
      </c>
      <c r="B28" s="8" t="s">
        <v>55</v>
      </c>
      <c r="C28" s="46"/>
      <c r="D28" s="46"/>
      <c r="G28" s="43"/>
    </row>
    <row r="29" spans="1:7" ht="15.75" customHeight="1">
      <c r="A29" s="7">
        <v>11002</v>
      </c>
      <c r="B29" s="8" t="s">
        <v>56</v>
      </c>
      <c r="C29" s="46"/>
      <c r="D29" s="46"/>
      <c r="G29" s="43"/>
    </row>
    <row r="30" spans="1:7" ht="15.75" customHeight="1">
      <c r="A30" s="7">
        <v>11003</v>
      </c>
      <c r="B30" s="8" t="s">
        <v>57</v>
      </c>
      <c r="C30" s="46"/>
      <c r="D30" s="46"/>
      <c r="G30" s="43"/>
    </row>
    <row r="31" spans="1:7" ht="15.75" customHeight="1">
      <c r="A31" s="7">
        <v>20101</v>
      </c>
      <c r="B31" s="8" t="s">
        <v>59</v>
      </c>
      <c r="C31" s="46"/>
      <c r="D31" s="46"/>
      <c r="G31" s="43"/>
    </row>
    <row r="32" spans="1:7" ht="15.75" customHeight="1">
      <c r="A32" s="7">
        <v>20102</v>
      </c>
      <c r="B32" s="8" t="s">
        <v>60</v>
      </c>
      <c r="C32" s="46"/>
      <c r="D32" s="46"/>
      <c r="G32" s="43"/>
    </row>
    <row r="33" spans="1:7" ht="15.75" customHeight="1">
      <c r="A33" s="7">
        <v>20103</v>
      </c>
      <c r="B33" s="8" t="s">
        <v>61</v>
      </c>
      <c r="C33" s="46"/>
      <c r="D33" s="46"/>
      <c r="G33" s="43"/>
    </row>
    <row r="34" spans="1:7" ht="15.75" customHeight="1">
      <c r="A34" s="7">
        <v>20104</v>
      </c>
      <c r="B34" s="8" t="s">
        <v>62</v>
      </c>
      <c r="C34" s="46"/>
      <c r="D34" s="46"/>
      <c r="G34" s="43"/>
    </row>
    <row r="35" spans="1:7" ht="15.75" customHeight="1">
      <c r="A35" s="7">
        <v>20105</v>
      </c>
      <c r="B35" s="8" t="s">
        <v>63</v>
      </c>
      <c r="C35" s="46"/>
      <c r="D35" s="46"/>
      <c r="G35" s="43"/>
    </row>
    <row r="36" spans="1:7" ht="15.75" customHeight="1">
      <c r="A36" s="7">
        <v>20201</v>
      </c>
      <c r="B36" s="8" t="s">
        <v>65</v>
      </c>
      <c r="C36" s="46"/>
      <c r="D36" s="46"/>
      <c r="G36" s="43"/>
    </row>
    <row r="37" spans="1:7" ht="15.75" customHeight="1">
      <c r="A37" s="7">
        <v>20202</v>
      </c>
      <c r="B37" s="8" t="s">
        <v>66</v>
      </c>
      <c r="C37" s="46"/>
      <c r="D37" s="46"/>
      <c r="G37" s="43"/>
    </row>
    <row r="38" spans="1:7" ht="15.75" customHeight="1">
      <c r="A38" s="7">
        <v>20203</v>
      </c>
      <c r="B38" s="8" t="s">
        <v>67</v>
      </c>
      <c r="C38" s="46"/>
      <c r="D38" s="46"/>
      <c r="G38" s="43"/>
    </row>
    <row r="39" spans="1:7" ht="15.75" customHeight="1">
      <c r="A39" s="7">
        <v>20204</v>
      </c>
      <c r="B39" s="8" t="s">
        <v>68</v>
      </c>
      <c r="C39" s="46"/>
      <c r="D39" s="46"/>
      <c r="G39" s="43"/>
    </row>
    <row r="40" spans="1:7" ht="15.75" customHeight="1">
      <c r="A40" s="7">
        <v>20205</v>
      </c>
      <c r="B40" s="8" t="s">
        <v>69</v>
      </c>
      <c r="C40" s="46"/>
      <c r="D40" s="46"/>
      <c r="G40" s="43"/>
    </row>
    <row r="41" spans="1:7" ht="15.75" customHeight="1">
      <c r="A41" s="7">
        <v>20206</v>
      </c>
      <c r="B41" s="8" t="s">
        <v>70</v>
      </c>
      <c r="C41" s="46"/>
      <c r="D41" s="46"/>
      <c r="G41" s="43"/>
    </row>
    <row r="42" spans="1:7" ht="15.75" customHeight="1">
      <c r="A42" s="7">
        <v>20301</v>
      </c>
      <c r="B42" s="8" t="s">
        <v>72</v>
      </c>
      <c r="C42" s="46"/>
      <c r="D42" s="46"/>
      <c r="G42" s="43"/>
    </row>
    <row r="43" spans="1:7" ht="15.75" customHeight="1">
      <c r="A43" s="7">
        <v>20302</v>
      </c>
      <c r="B43" s="8" t="s">
        <v>73</v>
      </c>
      <c r="C43" s="46"/>
      <c r="D43" s="46"/>
      <c r="G43" s="43"/>
    </row>
    <row r="44" spans="1:7" ht="15.75" customHeight="1">
      <c r="A44" s="7">
        <v>20303</v>
      </c>
      <c r="B44" s="8" t="s">
        <v>74</v>
      </c>
      <c r="C44" s="46"/>
      <c r="D44" s="46"/>
      <c r="G44" s="43"/>
    </row>
    <row r="45" spans="1:7" ht="15.75" customHeight="1">
      <c r="A45" s="7">
        <v>20304</v>
      </c>
      <c r="B45" s="8" t="s">
        <v>75</v>
      </c>
      <c r="C45" s="46"/>
      <c r="D45" s="46"/>
      <c r="G45" s="43"/>
    </row>
    <row r="46" spans="1:7" ht="15.75" customHeight="1">
      <c r="A46" s="7">
        <v>20305</v>
      </c>
      <c r="B46" s="8" t="s">
        <v>76</v>
      </c>
      <c r="C46" s="46"/>
      <c r="D46" s="46"/>
      <c r="G46" s="43"/>
    </row>
    <row r="47" spans="1:7" ht="15.75" customHeight="1">
      <c r="A47" s="7">
        <v>20306</v>
      </c>
      <c r="B47" s="8" t="s">
        <v>77</v>
      </c>
      <c r="C47" s="46"/>
      <c r="D47" s="46"/>
      <c r="G47" s="43"/>
    </row>
    <row r="48" spans="1:7" ht="15.75" customHeight="1">
      <c r="A48" s="7">
        <v>20307</v>
      </c>
      <c r="B48" s="8" t="s">
        <v>78</v>
      </c>
      <c r="C48" s="46"/>
      <c r="D48" s="46"/>
      <c r="G48" s="43"/>
    </row>
    <row r="49" spans="1:7" ht="15.75" customHeight="1">
      <c r="A49" s="7">
        <v>20308</v>
      </c>
      <c r="B49" s="8" t="s">
        <v>79</v>
      </c>
      <c r="C49" s="46"/>
      <c r="D49" s="46"/>
      <c r="G49" s="43"/>
    </row>
    <row r="50" spans="1:7" ht="15.75" customHeight="1">
      <c r="A50" s="7">
        <v>20401</v>
      </c>
      <c r="B50" s="8" t="s">
        <v>81</v>
      </c>
      <c r="C50" s="46"/>
      <c r="D50" s="46"/>
      <c r="G50" s="43"/>
    </row>
    <row r="51" spans="1:7" ht="15.75" customHeight="1">
      <c r="A51" s="7">
        <v>20402</v>
      </c>
      <c r="B51" s="8" t="s">
        <v>82</v>
      </c>
      <c r="C51" s="46"/>
      <c r="D51" s="46"/>
      <c r="G51" s="43"/>
    </row>
    <row r="52" spans="1:7" ht="15.75" customHeight="1">
      <c r="A52" s="7">
        <v>20403</v>
      </c>
      <c r="B52" s="8" t="s">
        <v>83</v>
      </c>
      <c r="C52" s="46"/>
      <c r="D52" s="46"/>
      <c r="G52" s="43"/>
    </row>
    <row r="53" spans="1:7" ht="15.75" customHeight="1">
      <c r="A53" s="7">
        <v>20404</v>
      </c>
      <c r="B53" s="8" t="s">
        <v>84</v>
      </c>
      <c r="C53" s="46"/>
      <c r="D53" s="46"/>
      <c r="G53" s="43"/>
    </row>
    <row r="54" spans="1:7" ht="15.75" customHeight="1">
      <c r="A54" s="7">
        <v>20405</v>
      </c>
      <c r="B54" s="8" t="s">
        <v>85</v>
      </c>
      <c r="C54" s="46"/>
      <c r="D54" s="46"/>
      <c r="G54" s="43"/>
    </row>
    <row r="55" spans="1:7" ht="15.75" customHeight="1">
      <c r="A55" s="7">
        <v>20501</v>
      </c>
      <c r="B55" s="8" t="s">
        <v>87</v>
      </c>
      <c r="C55" s="46"/>
      <c r="D55" s="46"/>
      <c r="G55" s="43"/>
    </row>
    <row r="56" spans="1:7" ht="15.75" customHeight="1">
      <c r="A56" s="7">
        <v>20502</v>
      </c>
      <c r="B56" s="8" t="s">
        <v>88</v>
      </c>
      <c r="C56" s="46"/>
      <c r="D56" s="46"/>
      <c r="G56" s="43"/>
    </row>
    <row r="57" spans="1:7" ht="15.75" customHeight="1">
      <c r="A57" s="7">
        <v>20503</v>
      </c>
      <c r="B57" s="8" t="s">
        <v>89</v>
      </c>
      <c r="C57" s="46"/>
      <c r="D57" s="46"/>
      <c r="G57" s="43"/>
    </row>
    <row r="58" spans="1:7" ht="15.75" customHeight="1">
      <c r="A58" s="7">
        <v>20601</v>
      </c>
      <c r="B58" s="8" t="s">
        <v>91</v>
      </c>
      <c r="C58" s="46"/>
      <c r="D58" s="46"/>
      <c r="G58" s="43"/>
    </row>
    <row r="59" spans="1:7" ht="15.75" customHeight="1">
      <c r="A59" s="7">
        <v>20602</v>
      </c>
      <c r="B59" s="8" t="s">
        <v>92</v>
      </c>
      <c r="C59" s="46"/>
      <c r="D59" s="46"/>
      <c r="G59" s="43"/>
    </row>
    <row r="60" spans="1:7" ht="15.75" customHeight="1">
      <c r="A60" s="7">
        <v>20603</v>
      </c>
      <c r="B60" s="8" t="s">
        <v>93</v>
      </c>
      <c r="C60" s="46"/>
      <c r="D60" s="46"/>
      <c r="G60" s="43"/>
    </row>
    <row r="61" spans="1:7" ht="15.75" customHeight="1">
      <c r="A61" s="7">
        <v>20604</v>
      </c>
      <c r="B61" s="8" t="s">
        <v>94</v>
      </c>
      <c r="C61" s="46"/>
      <c r="D61" s="46"/>
      <c r="G61" s="43"/>
    </row>
    <row r="62" spans="1:7" ht="15.75" customHeight="1">
      <c r="A62" s="7">
        <v>20605</v>
      </c>
      <c r="B62" s="8" t="s">
        <v>95</v>
      </c>
      <c r="C62" s="46"/>
      <c r="D62" s="46"/>
      <c r="G62" s="43"/>
    </row>
    <row r="63" spans="1:7" ht="15.75" customHeight="1">
      <c r="A63" s="7">
        <v>20606</v>
      </c>
      <c r="B63" s="8" t="s">
        <v>96</v>
      </c>
      <c r="C63" s="46"/>
      <c r="D63" s="46"/>
      <c r="G63" s="43"/>
    </row>
    <row r="64" spans="1:7" ht="15.75" customHeight="1">
      <c r="A64" s="7">
        <v>20607</v>
      </c>
      <c r="B64" s="8" t="s">
        <v>97</v>
      </c>
      <c r="C64" s="46"/>
      <c r="D64" s="46"/>
      <c r="G64" s="43"/>
    </row>
    <row r="65" spans="1:7" ht="15.75" customHeight="1">
      <c r="A65" s="7">
        <v>20608</v>
      </c>
      <c r="B65" s="8" t="s">
        <v>98</v>
      </c>
      <c r="C65" s="46"/>
      <c r="D65" s="46"/>
      <c r="G65" s="43"/>
    </row>
    <row r="66" spans="1:7" ht="15.75" customHeight="1">
      <c r="A66" s="7">
        <v>20701</v>
      </c>
      <c r="B66" s="8" t="s">
        <v>100</v>
      </c>
      <c r="C66" s="46"/>
      <c r="D66" s="46"/>
      <c r="G66" s="43"/>
    </row>
    <row r="67" spans="1:7" ht="15.75" customHeight="1">
      <c r="A67" s="7">
        <v>20702</v>
      </c>
      <c r="B67" s="8" t="s">
        <v>101</v>
      </c>
      <c r="C67" s="46"/>
      <c r="D67" s="46"/>
      <c r="G67" s="43"/>
    </row>
    <row r="68" spans="1:7" ht="15.75" customHeight="1">
      <c r="A68" s="7">
        <v>20801</v>
      </c>
      <c r="B68" s="8" t="s">
        <v>103</v>
      </c>
      <c r="C68" s="46"/>
      <c r="D68" s="46"/>
      <c r="G68" s="43"/>
    </row>
    <row r="69" spans="1:7" ht="15.75" customHeight="1">
      <c r="A69" s="7">
        <v>20802</v>
      </c>
      <c r="B69" s="8" t="s">
        <v>104</v>
      </c>
      <c r="C69" s="46"/>
      <c r="D69" s="46"/>
      <c r="G69" s="43"/>
    </row>
    <row r="70" spans="1:7" ht="15.75" customHeight="1">
      <c r="A70" s="7">
        <v>20803</v>
      </c>
      <c r="B70" s="8" t="s">
        <v>105</v>
      </c>
      <c r="C70" s="46"/>
      <c r="D70" s="46"/>
      <c r="G70" s="43"/>
    </row>
    <row r="71" spans="1:7" ht="15.75" customHeight="1">
      <c r="A71" s="7">
        <v>20804</v>
      </c>
      <c r="B71" s="8" t="s">
        <v>106</v>
      </c>
      <c r="C71" s="46"/>
      <c r="D71" s="46"/>
      <c r="G71" s="43"/>
    </row>
    <row r="72" spans="1:7" ht="15.75" customHeight="1">
      <c r="A72" s="7">
        <v>20805</v>
      </c>
      <c r="B72" s="8" t="s">
        <v>107</v>
      </c>
      <c r="C72" s="46"/>
      <c r="D72" s="46"/>
      <c r="G72" s="43"/>
    </row>
    <row r="73" spans="1:7" ht="15.75" customHeight="1">
      <c r="A73" s="7">
        <v>20806</v>
      </c>
      <c r="B73" s="8" t="s">
        <v>108</v>
      </c>
      <c r="C73" s="46"/>
      <c r="D73" s="46"/>
      <c r="G73" s="43"/>
    </row>
    <row r="74" spans="1:7" ht="15.75" customHeight="1">
      <c r="A74" s="7">
        <v>20807</v>
      </c>
      <c r="B74" s="8" t="s">
        <v>109</v>
      </c>
      <c r="C74" s="46"/>
      <c r="D74" s="46"/>
      <c r="G74" s="43"/>
    </row>
    <row r="75" spans="1:7" ht="15.75" customHeight="1">
      <c r="A75" s="7">
        <v>20901</v>
      </c>
      <c r="B75" s="8" t="s">
        <v>111</v>
      </c>
      <c r="C75" s="46"/>
      <c r="D75" s="46"/>
      <c r="G75" s="43"/>
    </row>
    <row r="76" spans="1:7" ht="15.75" customHeight="1">
      <c r="A76" s="7">
        <v>20902</v>
      </c>
      <c r="B76" s="8" t="s">
        <v>112</v>
      </c>
      <c r="C76" s="46"/>
      <c r="D76" s="46"/>
      <c r="G76" s="43"/>
    </row>
    <row r="77" spans="1:7" ht="15.75" customHeight="1">
      <c r="A77" s="7">
        <v>20903</v>
      </c>
      <c r="B77" s="8" t="s">
        <v>113</v>
      </c>
      <c r="C77" s="46"/>
      <c r="D77" s="46"/>
      <c r="G77" s="43"/>
    </row>
    <row r="78" spans="1:7" ht="15.75" customHeight="1">
      <c r="A78" s="7">
        <v>20904</v>
      </c>
      <c r="B78" s="8" t="s">
        <v>114</v>
      </c>
      <c r="C78" s="46"/>
      <c r="D78" s="46"/>
      <c r="G78" s="43"/>
    </row>
    <row r="79" spans="1:7" ht="15.75" customHeight="1">
      <c r="A79" s="7">
        <v>20905</v>
      </c>
      <c r="B79" s="8" t="s">
        <v>115</v>
      </c>
      <c r="C79" s="46"/>
      <c r="D79" s="46"/>
      <c r="G79" s="43"/>
    </row>
    <row r="80" spans="1:7" ht="15.75" customHeight="1">
      <c r="A80" s="7">
        <v>21001</v>
      </c>
      <c r="B80" s="8" t="s">
        <v>116</v>
      </c>
      <c r="C80" s="46"/>
      <c r="D80" s="46"/>
      <c r="G80" s="43"/>
    </row>
    <row r="81" spans="1:7" ht="15.75" customHeight="1">
      <c r="A81" s="7">
        <v>21002</v>
      </c>
      <c r="B81" s="8" t="s">
        <v>117</v>
      </c>
      <c r="C81" s="46"/>
      <c r="D81" s="46"/>
      <c r="G81" s="43"/>
    </row>
    <row r="82" spans="1:7" ht="15.75" customHeight="1">
      <c r="A82" s="7">
        <v>21003</v>
      </c>
      <c r="B82" s="8" t="s">
        <v>118</v>
      </c>
      <c r="C82" s="46"/>
      <c r="D82" s="46"/>
      <c r="G82" s="43"/>
    </row>
    <row r="83" spans="1:7" ht="15.75" customHeight="1">
      <c r="A83" s="7">
        <v>21004</v>
      </c>
      <c r="B83" s="8" t="s">
        <v>119</v>
      </c>
      <c r="C83" s="46"/>
      <c r="D83" s="46"/>
      <c r="G83" s="43"/>
    </row>
    <row r="84" spans="1:7" ht="15.75" customHeight="1">
      <c r="A84" s="7">
        <v>21005</v>
      </c>
      <c r="B84" s="8" t="s">
        <v>120</v>
      </c>
      <c r="C84" s="46"/>
      <c r="D84" s="46"/>
      <c r="G84" s="43"/>
    </row>
    <row r="85" spans="1:7" ht="15.75" customHeight="1">
      <c r="A85" s="7">
        <v>21006</v>
      </c>
      <c r="B85" s="8" t="s">
        <v>121</v>
      </c>
      <c r="C85" s="46"/>
      <c r="D85" s="46"/>
      <c r="G85" s="43"/>
    </row>
    <row r="86" spans="1:7" ht="15.75" customHeight="1">
      <c r="A86" s="7">
        <v>21101</v>
      </c>
      <c r="B86" s="8" t="s">
        <v>123</v>
      </c>
      <c r="C86" s="46"/>
      <c r="D86" s="46"/>
      <c r="G86" s="43"/>
    </row>
    <row r="87" spans="1:7" ht="15.75" customHeight="1">
      <c r="A87" s="7">
        <v>21102</v>
      </c>
      <c r="B87" s="8" t="s">
        <v>124</v>
      </c>
      <c r="C87" s="46"/>
      <c r="D87" s="46"/>
      <c r="G87" s="43"/>
    </row>
    <row r="88" spans="1:7" ht="15.75" customHeight="1">
      <c r="A88" s="7">
        <v>21103</v>
      </c>
      <c r="B88" s="8" t="s">
        <v>125</v>
      </c>
      <c r="C88" s="46"/>
      <c r="D88" s="46"/>
      <c r="G88" s="43"/>
    </row>
    <row r="89" spans="1:7" ht="15.75" customHeight="1">
      <c r="A89" s="7">
        <v>21104</v>
      </c>
      <c r="B89" s="8" t="s">
        <v>126</v>
      </c>
      <c r="C89" s="46"/>
      <c r="D89" s="46"/>
      <c r="G89" s="43"/>
    </row>
    <row r="90" spans="1:7" ht="15.75" customHeight="1">
      <c r="A90" s="7">
        <v>21105</v>
      </c>
      <c r="B90" s="8" t="s">
        <v>127</v>
      </c>
      <c r="C90" s="46"/>
      <c r="D90" s="46"/>
      <c r="G90" s="43"/>
    </row>
    <row r="91" spans="1:7" ht="15.75" customHeight="1">
      <c r="A91" s="7">
        <v>21201</v>
      </c>
      <c r="B91" s="8" t="s">
        <v>129</v>
      </c>
      <c r="C91" s="46"/>
      <c r="D91" s="46"/>
      <c r="G91" s="43"/>
    </row>
    <row r="92" spans="1:7" ht="15.75" customHeight="1">
      <c r="A92" s="7">
        <v>21202</v>
      </c>
      <c r="B92" s="8" t="s">
        <v>130</v>
      </c>
      <c r="C92" s="46"/>
      <c r="D92" s="46"/>
      <c r="G92" s="43"/>
    </row>
    <row r="93" spans="1:7" ht="15.75" customHeight="1">
      <c r="A93" s="7">
        <v>21203</v>
      </c>
      <c r="B93" s="8" t="s">
        <v>131</v>
      </c>
      <c r="C93" s="46"/>
      <c r="D93" s="46"/>
      <c r="G93" s="43"/>
    </row>
    <row r="94" spans="1:7" ht="15.75" customHeight="1">
      <c r="A94" s="7">
        <v>21204</v>
      </c>
      <c r="B94" s="8" t="s">
        <v>132</v>
      </c>
      <c r="C94" s="46"/>
      <c r="D94" s="46"/>
      <c r="G94" s="43"/>
    </row>
    <row r="95" spans="1:7" ht="15.75" customHeight="1">
      <c r="A95" s="7">
        <v>21301</v>
      </c>
      <c r="B95" s="8" t="s">
        <v>134</v>
      </c>
      <c r="C95" s="46"/>
      <c r="D95" s="46"/>
      <c r="G95" s="43"/>
    </row>
    <row r="96" spans="1:7" ht="15.75" customHeight="1">
      <c r="A96" s="7">
        <v>21302</v>
      </c>
      <c r="B96" s="8" t="s">
        <v>135</v>
      </c>
      <c r="C96" s="46"/>
      <c r="D96" s="46"/>
      <c r="G96" s="43"/>
    </row>
    <row r="97" spans="1:7" ht="15.75" customHeight="1">
      <c r="A97" s="7">
        <v>21303</v>
      </c>
      <c r="B97" s="8" t="s">
        <v>136</v>
      </c>
      <c r="C97" s="46"/>
      <c r="D97" s="46"/>
      <c r="G97" s="43"/>
    </row>
    <row r="98" spans="1:7" ht="15.75" customHeight="1">
      <c r="A98" s="7">
        <v>21304</v>
      </c>
      <c r="B98" s="8" t="s">
        <v>137</v>
      </c>
      <c r="C98" s="46"/>
      <c r="D98" s="46"/>
      <c r="G98" s="43"/>
    </row>
    <row r="99" spans="1:7" ht="15.75" customHeight="1">
      <c r="A99" s="7">
        <v>21305</v>
      </c>
      <c r="B99" s="8" t="s">
        <v>138</v>
      </c>
      <c r="C99" s="46"/>
      <c r="D99" s="46"/>
      <c r="G99" s="43"/>
    </row>
    <row r="100" spans="1:7" ht="15.75" customHeight="1">
      <c r="A100" s="7">
        <v>21306</v>
      </c>
      <c r="B100" s="8" t="s">
        <v>139</v>
      </c>
      <c r="C100" s="46"/>
      <c r="D100" s="46"/>
      <c r="G100" s="43"/>
    </row>
    <row r="101" spans="1:7" ht="15.75" customHeight="1">
      <c r="A101" s="7">
        <v>21307</v>
      </c>
      <c r="B101" s="8" t="s">
        <v>140</v>
      </c>
      <c r="C101" s="46"/>
      <c r="D101" s="46"/>
      <c r="G101" s="43"/>
    </row>
    <row r="102" spans="1:7" ht="15.75" customHeight="1">
      <c r="A102" s="7">
        <v>21401</v>
      </c>
      <c r="B102" s="8" t="s">
        <v>142</v>
      </c>
      <c r="C102" s="46"/>
      <c r="D102" s="46"/>
      <c r="G102" s="43"/>
    </row>
    <row r="103" spans="1:7" ht="15.75" customHeight="1">
      <c r="A103" s="7">
        <v>21402</v>
      </c>
      <c r="B103" s="8" t="s">
        <v>143</v>
      </c>
      <c r="C103" s="46"/>
      <c r="D103" s="46"/>
      <c r="G103" s="43"/>
    </row>
    <row r="104" spans="1:7" ht="15.75" customHeight="1">
      <c r="A104" s="7">
        <v>21501</v>
      </c>
      <c r="B104" s="8" t="s">
        <v>145</v>
      </c>
      <c r="C104" s="46"/>
      <c r="D104" s="46"/>
      <c r="G104" s="43"/>
    </row>
    <row r="105" spans="1:7" ht="15.75" customHeight="1">
      <c r="A105" s="7">
        <v>21502</v>
      </c>
      <c r="B105" s="8" t="s">
        <v>146</v>
      </c>
      <c r="C105" s="46"/>
      <c r="D105" s="46"/>
      <c r="G105" s="43"/>
    </row>
    <row r="106" spans="1:7" ht="15.75" customHeight="1">
      <c r="A106" s="7">
        <v>21601</v>
      </c>
      <c r="B106" s="8" t="s">
        <v>148</v>
      </c>
      <c r="C106" s="46"/>
      <c r="D106" s="46"/>
      <c r="G106" s="43"/>
    </row>
    <row r="107" spans="1:7" ht="15.75" customHeight="1">
      <c r="A107" s="7">
        <v>21602</v>
      </c>
      <c r="B107" s="8" t="s">
        <v>149</v>
      </c>
      <c r="C107" s="46"/>
      <c r="D107" s="46"/>
      <c r="G107" s="43"/>
    </row>
    <row r="108" spans="1:7" ht="15.75" customHeight="1">
      <c r="A108" s="7">
        <v>21701</v>
      </c>
      <c r="B108" s="8" t="s">
        <v>151</v>
      </c>
      <c r="C108" s="46"/>
      <c r="D108" s="46"/>
      <c r="G108" s="43"/>
    </row>
    <row r="109" spans="1:7" ht="15.75" customHeight="1">
      <c r="A109" s="7">
        <v>21702</v>
      </c>
      <c r="B109" s="8" t="s">
        <v>152</v>
      </c>
      <c r="C109" s="46"/>
      <c r="D109" s="46"/>
      <c r="G109" s="43"/>
    </row>
    <row r="110" spans="1:7" ht="15.75" customHeight="1">
      <c r="A110" s="7">
        <v>21703</v>
      </c>
      <c r="B110" s="8" t="s">
        <v>153</v>
      </c>
      <c r="C110" s="46"/>
      <c r="D110" s="46"/>
      <c r="G110" s="43"/>
    </row>
    <row r="111" spans="1:7" ht="15.75" customHeight="1">
      <c r="A111" s="7">
        <v>21801</v>
      </c>
      <c r="B111" s="8" t="s">
        <v>155</v>
      </c>
      <c r="C111" s="46"/>
      <c r="D111" s="46"/>
      <c r="G111" s="43"/>
    </row>
    <row r="112" spans="1:7" ht="15.75" customHeight="1">
      <c r="A112" s="7">
        <v>21802</v>
      </c>
      <c r="B112" s="8" t="s">
        <v>157</v>
      </c>
      <c r="C112" s="46"/>
      <c r="D112" s="46"/>
      <c r="G112" s="43"/>
    </row>
    <row r="113" spans="1:7" ht="15.75" customHeight="1">
      <c r="A113" s="7">
        <v>21803</v>
      </c>
      <c r="B113" s="8" t="s">
        <v>158</v>
      </c>
      <c r="C113" s="46"/>
      <c r="D113" s="46"/>
      <c r="G113" s="43"/>
    </row>
    <row r="114" spans="1:7" ht="15.75" customHeight="1">
      <c r="A114" s="7">
        <v>21901</v>
      </c>
      <c r="B114" s="8" t="s">
        <v>160</v>
      </c>
      <c r="C114" s="46"/>
      <c r="D114" s="46"/>
      <c r="G114" s="43"/>
    </row>
    <row r="115" spans="1:7" ht="15.75" customHeight="1">
      <c r="A115" s="7">
        <v>21902</v>
      </c>
      <c r="B115" s="8" t="s">
        <v>161</v>
      </c>
      <c r="C115" s="46"/>
      <c r="D115" s="46"/>
      <c r="G115" s="43"/>
    </row>
    <row r="116" spans="1:7" ht="15.75" customHeight="1">
      <c r="A116" s="7">
        <v>22001</v>
      </c>
      <c r="B116" s="8" t="s">
        <v>162</v>
      </c>
      <c r="C116" s="46"/>
      <c r="D116" s="46"/>
      <c r="G116" s="43"/>
    </row>
    <row r="117" spans="1:7" ht="15.75" customHeight="1">
      <c r="A117" s="7">
        <v>22002</v>
      </c>
      <c r="B117" s="8" t="s">
        <v>163</v>
      </c>
      <c r="C117" s="46"/>
      <c r="D117" s="46"/>
      <c r="G117" s="43"/>
    </row>
    <row r="118" spans="1:7" ht="15.75" customHeight="1">
      <c r="A118" s="7">
        <v>30101</v>
      </c>
      <c r="B118" s="8" t="s">
        <v>17</v>
      </c>
      <c r="C118" s="46"/>
      <c r="D118" s="46"/>
      <c r="G118" s="43"/>
    </row>
    <row r="119" spans="1:7" ht="15.75" customHeight="1">
      <c r="A119" s="7">
        <v>30201</v>
      </c>
      <c r="B119" s="8" t="s">
        <v>166</v>
      </c>
      <c r="C119" s="46"/>
      <c r="D119" s="46"/>
      <c r="G119" s="43"/>
    </row>
    <row r="120" spans="1:7" ht="15.75" customHeight="1">
      <c r="A120" s="7">
        <v>30202</v>
      </c>
      <c r="B120" s="8" t="s">
        <v>167</v>
      </c>
      <c r="C120" s="46"/>
      <c r="D120" s="46"/>
      <c r="G120" s="43"/>
    </row>
    <row r="121" spans="1:7" ht="15.75" customHeight="1">
      <c r="A121" s="7">
        <v>30203</v>
      </c>
      <c r="B121" s="8" t="s">
        <v>168</v>
      </c>
      <c r="C121" s="46"/>
      <c r="D121" s="46"/>
      <c r="G121" s="43"/>
    </row>
    <row r="122" spans="1:7" ht="15.75" customHeight="1">
      <c r="A122" s="7">
        <v>30301</v>
      </c>
      <c r="B122" s="8" t="s">
        <v>170</v>
      </c>
      <c r="C122" s="46"/>
      <c r="D122" s="46"/>
      <c r="G122" s="43"/>
    </row>
    <row r="123" spans="1:7" ht="15.75" customHeight="1">
      <c r="A123" s="7">
        <v>30302</v>
      </c>
      <c r="B123" s="8" t="s">
        <v>171</v>
      </c>
      <c r="C123" s="46"/>
      <c r="D123" s="46"/>
      <c r="G123" s="43"/>
    </row>
    <row r="124" spans="1:7" ht="15.75" customHeight="1">
      <c r="A124" s="7">
        <v>30303</v>
      </c>
      <c r="B124" s="8" t="s">
        <v>172</v>
      </c>
      <c r="C124" s="46"/>
      <c r="D124" s="46"/>
      <c r="G124" s="43"/>
    </row>
    <row r="125" spans="1:7" ht="15.75" customHeight="1">
      <c r="A125" s="7">
        <v>30401</v>
      </c>
      <c r="B125" s="8" t="s">
        <v>174</v>
      </c>
      <c r="C125" s="46"/>
      <c r="D125" s="46"/>
      <c r="G125" s="43"/>
    </row>
    <row r="126" spans="1:7" ht="15.75" customHeight="1">
      <c r="A126" s="7">
        <v>30402</v>
      </c>
      <c r="B126" s="8" t="s">
        <v>175</v>
      </c>
      <c r="C126" s="46"/>
      <c r="D126" s="46"/>
      <c r="G126" s="43"/>
    </row>
    <row r="127" spans="1:7" ht="15.75" customHeight="1">
      <c r="A127" s="7">
        <v>30403</v>
      </c>
      <c r="B127" s="8" t="s">
        <v>176</v>
      </c>
      <c r="C127" s="46"/>
      <c r="D127" s="46"/>
      <c r="G127" s="43"/>
    </row>
    <row r="128" spans="1:7" ht="15.75" customHeight="1">
      <c r="A128" s="7">
        <v>30404</v>
      </c>
      <c r="B128" s="8" t="s">
        <v>177</v>
      </c>
      <c r="C128" s="46"/>
      <c r="D128" s="46"/>
      <c r="G128" s="43"/>
    </row>
    <row r="129" spans="1:7" ht="15.75" customHeight="1">
      <c r="A129" s="7">
        <v>30501</v>
      </c>
      <c r="B129" s="8" t="s">
        <v>178</v>
      </c>
      <c r="C129" s="46"/>
      <c r="D129" s="46"/>
      <c r="G129" s="43"/>
    </row>
    <row r="130" spans="1:7" ht="15.75" customHeight="1">
      <c r="A130" s="7">
        <v>30502</v>
      </c>
      <c r="B130" s="8" t="s">
        <v>179</v>
      </c>
      <c r="C130" s="46"/>
      <c r="D130" s="46"/>
      <c r="G130" s="43"/>
    </row>
    <row r="131" spans="1:7" ht="15.75" customHeight="1">
      <c r="A131" s="7">
        <v>30601</v>
      </c>
      <c r="B131" s="8" t="s">
        <v>180</v>
      </c>
      <c r="C131" s="46"/>
      <c r="D131" s="46"/>
      <c r="G131" s="43"/>
    </row>
    <row r="132" spans="1:7" ht="15.75" customHeight="1">
      <c r="A132" s="7">
        <v>30602</v>
      </c>
      <c r="B132" s="8" t="s">
        <v>181</v>
      </c>
      <c r="C132" s="46"/>
      <c r="D132" s="46"/>
      <c r="G132" s="43"/>
    </row>
    <row r="133" spans="1:7" ht="15.75" customHeight="1">
      <c r="A133" s="7">
        <v>30701</v>
      </c>
      <c r="B133" s="8" t="s">
        <v>182</v>
      </c>
      <c r="C133" s="46"/>
      <c r="D133" s="46"/>
      <c r="G133" s="43"/>
    </row>
    <row r="134" spans="1:7" ht="15.75" customHeight="1">
      <c r="A134" s="7">
        <v>30702</v>
      </c>
      <c r="B134" s="8" t="s">
        <v>183</v>
      </c>
      <c r="C134" s="46"/>
      <c r="D134" s="46"/>
      <c r="G134" s="43"/>
    </row>
    <row r="135" spans="1:7" ht="15.75" customHeight="1">
      <c r="A135" s="7">
        <v>30703</v>
      </c>
      <c r="B135" s="8" t="s">
        <v>184</v>
      </c>
      <c r="C135" s="46"/>
      <c r="D135" s="46"/>
      <c r="G135" s="43"/>
    </row>
    <row r="136" spans="1:7" ht="15.75" customHeight="1">
      <c r="A136" s="7">
        <v>30801</v>
      </c>
      <c r="B136" s="8" t="s">
        <v>186</v>
      </c>
      <c r="C136" s="46"/>
      <c r="D136" s="46"/>
      <c r="G136" s="43"/>
    </row>
    <row r="137" spans="1:7" ht="15.75" customHeight="1">
      <c r="A137" s="7">
        <v>30802</v>
      </c>
      <c r="B137" s="8" t="s">
        <v>187</v>
      </c>
      <c r="C137" s="46"/>
      <c r="D137" s="46"/>
      <c r="G137" s="43"/>
    </row>
    <row r="138" spans="1:7" ht="15.75" customHeight="1">
      <c r="A138" s="7">
        <v>30803</v>
      </c>
      <c r="B138" s="8" t="s">
        <v>188</v>
      </c>
      <c r="C138" s="46"/>
      <c r="D138" s="46"/>
      <c r="G138" s="43"/>
    </row>
    <row r="139" spans="1:7" ht="15.75" customHeight="1">
      <c r="A139" s="7">
        <v>30901</v>
      </c>
      <c r="B139" s="8" t="s">
        <v>189</v>
      </c>
      <c r="C139" s="46"/>
      <c r="D139" s="46"/>
      <c r="G139" s="43"/>
    </row>
    <row r="140" spans="1:7" ht="15.75" customHeight="1">
      <c r="A140" s="7">
        <v>30902</v>
      </c>
      <c r="B140" s="8" t="s">
        <v>190</v>
      </c>
      <c r="C140" s="46"/>
      <c r="D140" s="46"/>
      <c r="G140" s="43"/>
    </row>
    <row r="141" spans="1:7" ht="15.75" customHeight="1">
      <c r="A141" s="7">
        <v>30903</v>
      </c>
      <c r="B141" s="8" t="s">
        <v>191</v>
      </c>
      <c r="C141" s="46"/>
      <c r="D141" s="46"/>
      <c r="G141" s="43"/>
    </row>
    <row r="142" spans="1:7" ht="15.75" customHeight="1">
      <c r="A142" s="7">
        <v>30904</v>
      </c>
      <c r="B142" s="8" t="s">
        <v>192</v>
      </c>
      <c r="C142" s="46"/>
      <c r="D142" s="46"/>
      <c r="G142" s="43"/>
    </row>
    <row r="143" spans="1:7" ht="15.75" customHeight="1">
      <c r="A143" s="7">
        <v>30905</v>
      </c>
      <c r="B143" s="8" t="s">
        <v>193</v>
      </c>
      <c r="C143" s="46"/>
      <c r="D143" s="46"/>
      <c r="G143" s="43"/>
    </row>
    <row r="144" spans="1:7" ht="15.75" customHeight="1">
      <c r="A144" s="7">
        <v>31001</v>
      </c>
      <c r="B144" s="8" t="s">
        <v>195</v>
      </c>
      <c r="C144" s="46"/>
      <c r="D144" s="46"/>
      <c r="G144" s="43"/>
    </row>
    <row r="145" spans="1:7" ht="15.75" customHeight="1">
      <c r="A145" s="7">
        <v>31002</v>
      </c>
      <c r="B145" s="8" t="s">
        <v>196</v>
      </c>
      <c r="C145" s="46"/>
      <c r="D145" s="46"/>
      <c r="G145" s="43"/>
    </row>
    <row r="146" spans="1:7" ht="15.75" customHeight="1">
      <c r="A146" s="7">
        <v>31003</v>
      </c>
      <c r="B146" s="8" t="s">
        <v>197</v>
      </c>
      <c r="C146" s="46"/>
      <c r="D146" s="46"/>
      <c r="G146" s="43"/>
    </row>
    <row r="147" spans="1:7" ht="15.75" customHeight="1">
      <c r="A147" s="7">
        <v>31101</v>
      </c>
      <c r="B147" s="8" t="s">
        <v>198</v>
      </c>
      <c r="C147" s="46"/>
      <c r="D147" s="46"/>
      <c r="G147" s="43"/>
    </row>
    <row r="148" spans="1:7" ht="15.75" customHeight="1">
      <c r="A148" s="7">
        <v>31201</v>
      </c>
      <c r="B148" s="8" t="s">
        <v>200</v>
      </c>
      <c r="C148" s="46"/>
      <c r="D148" s="46"/>
      <c r="G148" s="43"/>
    </row>
    <row r="149" spans="1:7" ht="15.75" customHeight="1">
      <c r="A149" s="7">
        <v>31202</v>
      </c>
      <c r="B149" s="8" t="s">
        <v>201</v>
      </c>
      <c r="C149" s="46"/>
      <c r="D149" s="46"/>
      <c r="G149" s="43"/>
    </row>
    <row r="150" spans="1:7" ht="15.75" customHeight="1">
      <c r="A150" s="7">
        <v>31203</v>
      </c>
      <c r="B150" s="8" t="s">
        <v>202</v>
      </c>
      <c r="C150" s="46"/>
      <c r="D150" s="46"/>
      <c r="G150" s="43"/>
    </row>
    <row r="151" spans="1:7" ht="15.75" customHeight="1">
      <c r="A151" s="7">
        <v>31204</v>
      </c>
      <c r="B151" s="8" t="s">
        <v>203</v>
      </c>
      <c r="C151" s="46"/>
      <c r="D151" s="46"/>
      <c r="G151" s="43"/>
    </row>
    <row r="152" spans="1:7" ht="15.75" customHeight="1">
      <c r="A152" s="7">
        <v>31205</v>
      </c>
      <c r="B152" s="8" t="s">
        <v>204</v>
      </c>
      <c r="C152" s="46"/>
      <c r="D152" s="46"/>
      <c r="G152" s="43"/>
    </row>
    <row r="153" spans="1:7" ht="15.75" customHeight="1">
      <c r="A153" s="7">
        <v>31206</v>
      </c>
      <c r="B153" s="8" t="s">
        <v>205</v>
      </c>
      <c r="C153" s="46"/>
      <c r="D153" s="46"/>
      <c r="G153" s="43"/>
    </row>
    <row r="154" spans="1:7" ht="15.75" customHeight="1">
      <c r="A154" s="7">
        <v>31301</v>
      </c>
      <c r="B154" s="8" t="s">
        <v>206</v>
      </c>
      <c r="C154" s="46"/>
      <c r="D154" s="46"/>
      <c r="G154" s="43"/>
    </row>
    <row r="155" spans="1:7" ht="15.75" customHeight="1">
      <c r="A155" s="7">
        <v>31302</v>
      </c>
      <c r="B155" s="8" t="s">
        <v>207</v>
      </c>
      <c r="C155" s="46"/>
      <c r="D155" s="46"/>
      <c r="G155" s="43"/>
    </row>
    <row r="156" spans="1:7" ht="15.75" customHeight="1">
      <c r="A156" s="7">
        <v>31303</v>
      </c>
      <c r="B156" s="8" t="s">
        <v>208</v>
      </c>
      <c r="C156" s="46"/>
      <c r="D156" s="46"/>
      <c r="G156" s="43"/>
    </row>
    <row r="157" spans="1:7" ht="15.75" customHeight="1">
      <c r="A157" s="19">
        <v>31304</v>
      </c>
      <c r="B157" s="8" t="s">
        <v>209</v>
      </c>
      <c r="C157" s="46"/>
      <c r="D157" s="46"/>
      <c r="G157" s="43"/>
    </row>
    <row r="158" spans="1:7" ht="15.75" customHeight="1">
      <c r="A158" s="7">
        <v>31401</v>
      </c>
      <c r="B158" s="8" t="s">
        <v>210</v>
      </c>
      <c r="C158" s="46"/>
      <c r="D158" s="46"/>
      <c r="G158" s="43"/>
    </row>
    <row r="159" spans="1:7" ht="15.75" customHeight="1">
      <c r="A159" s="7">
        <v>31402</v>
      </c>
      <c r="B159" s="8" t="s">
        <v>211</v>
      </c>
      <c r="C159" s="46"/>
      <c r="D159" s="46"/>
      <c r="G159" s="43"/>
    </row>
    <row r="160" spans="1:7" ht="15.75" customHeight="1">
      <c r="A160" s="7">
        <v>31403</v>
      </c>
      <c r="B160" s="8" t="s">
        <v>212</v>
      </c>
      <c r="C160" s="46"/>
      <c r="D160" s="46"/>
      <c r="G160" s="43"/>
    </row>
    <row r="161" spans="1:7" ht="15.75" customHeight="1">
      <c r="A161" s="7">
        <v>31404</v>
      </c>
      <c r="B161" s="8" t="s">
        <v>213</v>
      </c>
      <c r="C161" s="46"/>
      <c r="D161" s="46"/>
      <c r="G161" s="43"/>
    </row>
    <row r="162" spans="1:7" ht="15.75" customHeight="1">
      <c r="A162" s="7">
        <v>31405</v>
      </c>
      <c r="B162" s="8" t="s">
        <v>214</v>
      </c>
      <c r="C162" s="46"/>
      <c r="D162" s="46"/>
      <c r="G162" s="43"/>
    </row>
    <row r="163" spans="1:7" ht="15.75" customHeight="1">
      <c r="A163" s="7">
        <v>31501</v>
      </c>
      <c r="B163" s="8" t="s">
        <v>215</v>
      </c>
      <c r="C163" s="46"/>
      <c r="D163" s="46"/>
      <c r="G163" s="43"/>
    </row>
    <row r="164" spans="1:7" ht="15.75" customHeight="1">
      <c r="A164" s="7">
        <v>31601</v>
      </c>
      <c r="B164" s="8" t="s">
        <v>216</v>
      </c>
      <c r="C164" s="46"/>
      <c r="D164" s="46"/>
      <c r="G164" s="43"/>
    </row>
    <row r="165" spans="1:7" ht="15.75" customHeight="1">
      <c r="A165" s="7">
        <v>31602</v>
      </c>
      <c r="B165" s="8" t="s">
        <v>217</v>
      </c>
      <c r="C165" s="46"/>
      <c r="D165" s="46"/>
      <c r="G165" s="43"/>
    </row>
    <row r="166" spans="1:7" ht="15.75" customHeight="1">
      <c r="A166" s="7">
        <v>40101</v>
      </c>
      <c r="B166" s="8" t="s">
        <v>20</v>
      </c>
      <c r="C166" s="46"/>
      <c r="D166" s="46"/>
      <c r="G166" s="43"/>
    </row>
    <row r="167" spans="1:7" ht="15.75" customHeight="1">
      <c r="A167" s="7">
        <v>40102</v>
      </c>
      <c r="B167" s="8" t="s">
        <v>218</v>
      </c>
      <c r="C167" s="46"/>
      <c r="D167" s="46"/>
      <c r="G167" s="43"/>
    </row>
    <row r="168" spans="1:7" ht="15.75" customHeight="1">
      <c r="A168" s="7">
        <v>40103</v>
      </c>
      <c r="B168" s="8" t="s">
        <v>219</v>
      </c>
      <c r="C168" s="46"/>
      <c r="D168" s="46"/>
      <c r="G168" s="43"/>
    </row>
    <row r="169" spans="1:7" ht="15.75" customHeight="1">
      <c r="A169" s="7">
        <v>40104</v>
      </c>
      <c r="B169" s="8" t="s">
        <v>220</v>
      </c>
      <c r="C169" s="46"/>
      <c r="D169" s="46"/>
      <c r="G169" s="43"/>
    </row>
    <row r="170" spans="1:7" ht="15.75" customHeight="1">
      <c r="A170" s="7">
        <v>40201</v>
      </c>
      <c r="B170" s="8" t="s">
        <v>222</v>
      </c>
      <c r="C170" s="46"/>
      <c r="D170" s="46"/>
      <c r="G170" s="43"/>
    </row>
    <row r="171" spans="1:7" ht="15.75" customHeight="1">
      <c r="A171" s="7">
        <v>40202</v>
      </c>
      <c r="B171" s="8" t="s">
        <v>223</v>
      </c>
      <c r="C171" s="46"/>
      <c r="D171" s="46"/>
      <c r="G171" s="43"/>
    </row>
    <row r="172" spans="1:7" ht="15.75" customHeight="1">
      <c r="A172" s="7">
        <v>40301</v>
      </c>
      <c r="B172" s="8" t="s">
        <v>225</v>
      </c>
      <c r="C172" s="46"/>
      <c r="D172" s="46"/>
      <c r="G172" s="43"/>
    </row>
    <row r="173" spans="1:7" ht="15.75" customHeight="1">
      <c r="A173" s="7">
        <v>40302</v>
      </c>
      <c r="B173" s="8" t="s">
        <v>226</v>
      </c>
      <c r="C173" s="46"/>
      <c r="D173" s="46"/>
      <c r="G173" s="43"/>
    </row>
    <row r="174" spans="1:7" ht="15.75" customHeight="1">
      <c r="A174" s="7">
        <v>40401</v>
      </c>
      <c r="B174" s="8" t="s">
        <v>228</v>
      </c>
      <c r="C174" s="46"/>
      <c r="D174" s="46"/>
      <c r="G174" s="43"/>
    </row>
    <row r="175" spans="1:7" ht="15.75" customHeight="1">
      <c r="A175" s="7">
        <v>40402</v>
      </c>
      <c r="B175" s="8" t="s">
        <v>229</v>
      </c>
      <c r="C175" s="46"/>
      <c r="D175" s="46"/>
      <c r="G175" s="43"/>
    </row>
    <row r="176" spans="1:7" ht="15.75" customHeight="1">
      <c r="A176" s="7">
        <v>40501</v>
      </c>
      <c r="B176" s="8" t="s">
        <v>231</v>
      </c>
      <c r="C176" s="46"/>
      <c r="D176" s="46"/>
      <c r="G176" s="43"/>
    </row>
    <row r="177" spans="1:7" ht="15.75" customHeight="1">
      <c r="A177" s="7">
        <v>40502</v>
      </c>
      <c r="B177" s="8" t="s">
        <v>232</v>
      </c>
      <c r="C177" s="46"/>
      <c r="D177" s="46"/>
      <c r="G177" s="43"/>
    </row>
    <row r="178" spans="1:7" ht="15.75" customHeight="1">
      <c r="A178" s="7">
        <v>40503</v>
      </c>
      <c r="B178" s="8" t="s">
        <v>233</v>
      </c>
      <c r="C178" s="46"/>
      <c r="D178" s="46"/>
      <c r="G178" s="43"/>
    </row>
    <row r="179" spans="1:7" ht="15.75" customHeight="1">
      <c r="A179" s="7">
        <v>40504</v>
      </c>
      <c r="B179" s="8" t="s">
        <v>234</v>
      </c>
      <c r="C179" s="46"/>
      <c r="D179" s="46"/>
      <c r="G179" s="43"/>
    </row>
    <row r="180" spans="1:7" ht="15.75" customHeight="1">
      <c r="A180" s="7">
        <v>40505</v>
      </c>
      <c r="B180" s="8" t="s">
        <v>235</v>
      </c>
      <c r="C180" s="46"/>
      <c r="D180" s="46"/>
      <c r="G180" s="43"/>
    </row>
    <row r="181" spans="1:7" ht="15.75" customHeight="1">
      <c r="A181" s="7">
        <v>40601</v>
      </c>
      <c r="B181" s="8" t="s">
        <v>236</v>
      </c>
      <c r="C181" s="46"/>
      <c r="D181" s="46"/>
      <c r="G181" s="43"/>
    </row>
    <row r="182" spans="1:7" ht="15.75" customHeight="1">
      <c r="A182" s="7">
        <v>40602</v>
      </c>
      <c r="B182" s="8" t="s">
        <v>237</v>
      </c>
      <c r="C182" s="46"/>
      <c r="D182" s="46"/>
      <c r="G182" s="43"/>
    </row>
    <row r="183" spans="1:7" ht="15.75" customHeight="1">
      <c r="A183" s="7">
        <v>40603</v>
      </c>
      <c r="B183" s="8" t="s">
        <v>238</v>
      </c>
      <c r="C183" s="46"/>
      <c r="D183" s="46"/>
      <c r="G183" s="43"/>
    </row>
    <row r="184" spans="1:7" ht="15.75" customHeight="1">
      <c r="A184" s="7">
        <v>40701</v>
      </c>
      <c r="B184" s="8" t="s">
        <v>240</v>
      </c>
      <c r="C184" s="46"/>
      <c r="D184" s="46"/>
      <c r="G184" s="43"/>
    </row>
    <row r="185" spans="1:7" ht="15.75" customHeight="1">
      <c r="A185" s="7">
        <v>40702</v>
      </c>
      <c r="B185" s="8" t="s">
        <v>241</v>
      </c>
      <c r="C185" s="46"/>
      <c r="D185" s="46"/>
      <c r="G185" s="43"/>
    </row>
    <row r="186" spans="1:7" ht="15.75" customHeight="1">
      <c r="A186" s="7">
        <v>40801</v>
      </c>
      <c r="B186" s="8" t="s">
        <v>243</v>
      </c>
      <c r="C186" s="46"/>
      <c r="D186" s="46"/>
      <c r="G186" s="43"/>
    </row>
    <row r="187" spans="1:7" ht="15.75" customHeight="1">
      <c r="A187" s="7">
        <v>40802</v>
      </c>
      <c r="B187" s="8" t="s">
        <v>244</v>
      </c>
      <c r="C187" s="46"/>
      <c r="D187" s="46"/>
      <c r="G187" s="43"/>
    </row>
    <row r="188" spans="1:7" ht="15.75" customHeight="1">
      <c r="A188" s="7">
        <v>40901</v>
      </c>
      <c r="B188" s="8" t="s">
        <v>245</v>
      </c>
      <c r="C188" s="46"/>
      <c r="D188" s="46"/>
      <c r="G188" s="43"/>
    </row>
    <row r="189" spans="1:7" ht="15.75" customHeight="1">
      <c r="A189" s="7">
        <v>40902</v>
      </c>
      <c r="B189" s="8" t="s">
        <v>246</v>
      </c>
      <c r="C189" s="46"/>
      <c r="D189" s="46"/>
      <c r="G189" s="43"/>
    </row>
    <row r="190" spans="1:7" ht="15.75" customHeight="1">
      <c r="A190" s="7">
        <v>40903</v>
      </c>
      <c r="B190" s="8" t="s">
        <v>247</v>
      </c>
      <c r="C190" s="46"/>
      <c r="D190" s="46"/>
      <c r="G190" s="43"/>
    </row>
    <row r="191" spans="1:7" ht="15.75" customHeight="1">
      <c r="A191" s="7">
        <v>41001</v>
      </c>
      <c r="B191" s="8" t="s">
        <v>249</v>
      </c>
      <c r="C191" s="46"/>
      <c r="D191" s="46"/>
      <c r="G191" s="43"/>
    </row>
    <row r="192" spans="1:7" ht="15.75" customHeight="1">
      <c r="A192" s="7">
        <v>41101</v>
      </c>
      <c r="B192" s="8" t="s">
        <v>251</v>
      </c>
      <c r="C192" s="46"/>
      <c r="D192" s="46"/>
      <c r="G192" s="43"/>
    </row>
    <row r="193" spans="1:7" ht="15.75" customHeight="1">
      <c r="A193" s="7">
        <v>41201</v>
      </c>
      <c r="B193" s="8" t="s">
        <v>253</v>
      </c>
      <c r="C193" s="46"/>
      <c r="D193" s="46"/>
      <c r="G193" s="43"/>
    </row>
    <row r="194" spans="1:7" ht="15.75" customHeight="1">
      <c r="A194" s="7">
        <v>41202</v>
      </c>
      <c r="B194" s="8" t="s">
        <v>254</v>
      </c>
      <c r="C194" s="46"/>
      <c r="D194" s="46"/>
      <c r="G194" s="43"/>
    </row>
    <row r="195" spans="1:7" ht="15.75" customHeight="1">
      <c r="A195" s="7">
        <v>41301</v>
      </c>
      <c r="B195" s="8" t="s">
        <v>255</v>
      </c>
      <c r="C195" s="46"/>
      <c r="D195" s="46"/>
      <c r="G195" s="43"/>
    </row>
    <row r="196" spans="1:7" ht="15.75" customHeight="1">
      <c r="A196" s="7">
        <v>41401</v>
      </c>
      <c r="B196" s="8" t="s">
        <v>257</v>
      </c>
      <c r="C196" s="46"/>
      <c r="D196" s="46"/>
      <c r="G196" s="43"/>
    </row>
    <row r="197" spans="1:7" ht="15.75" customHeight="1">
      <c r="A197" s="7">
        <v>41501</v>
      </c>
      <c r="B197" s="8" t="s">
        <v>259</v>
      </c>
      <c r="C197" s="46"/>
      <c r="D197" s="46"/>
      <c r="G197" s="43"/>
    </row>
    <row r="198" spans="1:7" ht="15.75" customHeight="1">
      <c r="A198" s="7">
        <v>41502</v>
      </c>
      <c r="B198" s="8" t="s">
        <v>260</v>
      </c>
      <c r="C198" s="46"/>
      <c r="D198" s="46"/>
      <c r="G198" s="43"/>
    </row>
    <row r="199" spans="1:7" ht="15.75" customHeight="1">
      <c r="A199" s="7">
        <v>41503</v>
      </c>
      <c r="B199" s="8" t="s">
        <v>224</v>
      </c>
      <c r="C199" s="46"/>
      <c r="D199" s="46"/>
      <c r="G199" s="43"/>
    </row>
    <row r="200" spans="1:7" ht="15.75" customHeight="1">
      <c r="A200" s="7">
        <v>41601</v>
      </c>
      <c r="B200" s="8" t="s">
        <v>262</v>
      </c>
      <c r="C200" s="46"/>
      <c r="D200" s="46"/>
      <c r="G200" s="43"/>
    </row>
    <row r="201" spans="1:7" ht="15.75" customHeight="1">
      <c r="A201" s="7">
        <v>50101</v>
      </c>
      <c r="B201" s="8" t="s">
        <v>263</v>
      </c>
      <c r="C201" s="46"/>
      <c r="D201" s="46"/>
      <c r="G201" s="43"/>
    </row>
    <row r="202" spans="1:7" ht="15.75" customHeight="1">
      <c r="A202" s="7">
        <v>50102</v>
      </c>
      <c r="B202" s="8" t="s">
        <v>265</v>
      </c>
      <c r="C202" s="46"/>
      <c r="D202" s="46"/>
      <c r="G202" s="43"/>
    </row>
    <row r="203" spans="1:7" ht="15.75" customHeight="1">
      <c r="A203" s="7">
        <v>50103</v>
      </c>
      <c r="B203" s="8" t="s">
        <v>266</v>
      </c>
      <c r="C203" s="46"/>
      <c r="D203" s="46"/>
      <c r="G203" s="43"/>
    </row>
    <row r="204" spans="1:7" ht="15.75" customHeight="1">
      <c r="A204" s="7">
        <v>50104</v>
      </c>
      <c r="B204" s="8" t="s">
        <v>267</v>
      </c>
      <c r="C204" s="46"/>
      <c r="D204" s="46"/>
      <c r="G204" s="43"/>
    </row>
    <row r="205" spans="1:7" ht="15.75" customHeight="1">
      <c r="A205" s="7">
        <v>50201</v>
      </c>
      <c r="B205" s="8" t="s">
        <v>269</v>
      </c>
      <c r="C205" s="46"/>
      <c r="D205" s="46"/>
      <c r="G205" s="43"/>
    </row>
    <row r="206" spans="1:7" ht="15.75" customHeight="1">
      <c r="A206" s="7">
        <v>50202</v>
      </c>
      <c r="B206" s="8" t="s">
        <v>270</v>
      </c>
      <c r="C206" s="46"/>
      <c r="D206" s="46"/>
      <c r="G206" s="43"/>
    </row>
    <row r="207" spans="1:7" ht="15.75" customHeight="1">
      <c r="A207" s="7">
        <v>50203</v>
      </c>
      <c r="B207" s="8" t="s">
        <v>271</v>
      </c>
      <c r="C207" s="46"/>
      <c r="D207" s="46"/>
      <c r="G207" s="43"/>
    </row>
    <row r="208" spans="1:7" ht="15.75" customHeight="1">
      <c r="A208" s="7">
        <v>50204</v>
      </c>
      <c r="B208" s="8" t="s">
        <v>272</v>
      </c>
      <c r="C208" s="46"/>
      <c r="D208" s="46"/>
      <c r="G208" s="43"/>
    </row>
    <row r="209" spans="1:7" ht="15.75" customHeight="1">
      <c r="A209" s="7">
        <v>50301</v>
      </c>
      <c r="B209" s="8" t="s">
        <v>274</v>
      </c>
      <c r="C209" s="46"/>
      <c r="D209" s="46"/>
      <c r="G209" s="43"/>
    </row>
    <row r="210" spans="1:7" ht="15.75" customHeight="1">
      <c r="A210" s="7">
        <v>50302</v>
      </c>
      <c r="B210" s="8" t="s">
        <v>275</v>
      </c>
      <c r="C210" s="46"/>
      <c r="D210" s="46"/>
      <c r="G210" s="43"/>
    </row>
    <row r="211" spans="1:7" ht="15.75" customHeight="1">
      <c r="A211" s="7">
        <v>50303</v>
      </c>
      <c r="B211" s="8" t="s">
        <v>276</v>
      </c>
      <c r="C211" s="46"/>
      <c r="D211" s="46"/>
      <c r="G211" s="43"/>
    </row>
    <row r="212" spans="1:7" ht="15.75" customHeight="1">
      <c r="A212" s="7">
        <v>50401</v>
      </c>
      <c r="B212" s="8" t="s">
        <v>277</v>
      </c>
      <c r="C212" s="46"/>
      <c r="D212" s="46"/>
      <c r="G212" s="43"/>
    </row>
    <row r="213" spans="1:7" ht="15.75" customHeight="1">
      <c r="A213" s="7">
        <v>50402</v>
      </c>
      <c r="B213" s="8" t="s">
        <v>278</v>
      </c>
      <c r="C213" s="46"/>
      <c r="D213" s="46"/>
      <c r="G213" s="43"/>
    </row>
    <row r="214" spans="1:7" ht="15.75" customHeight="1">
      <c r="A214" s="7">
        <v>50403</v>
      </c>
      <c r="B214" s="8" t="s">
        <v>279</v>
      </c>
      <c r="C214" s="46"/>
      <c r="D214" s="46"/>
      <c r="G214" s="43"/>
    </row>
    <row r="215" spans="1:7" ht="15.75" customHeight="1">
      <c r="A215" s="7">
        <v>50404</v>
      </c>
      <c r="B215" s="8" t="s">
        <v>280</v>
      </c>
      <c r="C215" s="46"/>
      <c r="D215" s="46"/>
      <c r="G215" s="43"/>
    </row>
    <row r="216" spans="1:7" ht="15.75" customHeight="1">
      <c r="A216" s="7">
        <v>50405</v>
      </c>
      <c r="B216" s="44" t="s">
        <v>281</v>
      </c>
      <c r="C216" s="46"/>
      <c r="D216" s="46"/>
      <c r="G216" s="43"/>
    </row>
    <row r="217" spans="1:7" ht="15.75" customHeight="1">
      <c r="A217" s="7">
        <v>50501</v>
      </c>
      <c r="B217" s="8" t="s">
        <v>283</v>
      </c>
      <c r="C217" s="46"/>
      <c r="D217" s="46"/>
      <c r="G217" s="43"/>
    </row>
    <row r="218" spans="1:7" ht="15.75" customHeight="1">
      <c r="A218" s="7">
        <v>50502</v>
      </c>
      <c r="B218" s="8" t="s">
        <v>284</v>
      </c>
      <c r="C218" s="46"/>
      <c r="D218" s="46"/>
      <c r="G218" s="43"/>
    </row>
    <row r="219" spans="1:7" ht="15.75" customHeight="1">
      <c r="A219" s="7">
        <v>50601</v>
      </c>
      <c r="B219" s="8" t="s">
        <v>286</v>
      </c>
      <c r="C219" s="46"/>
      <c r="D219" s="46"/>
      <c r="G219" s="43"/>
    </row>
    <row r="220" spans="1:7" ht="15.75" customHeight="1">
      <c r="A220" s="7">
        <v>50602</v>
      </c>
      <c r="B220" s="8" t="s">
        <v>287</v>
      </c>
      <c r="C220" s="46"/>
      <c r="D220" s="46"/>
      <c r="G220" s="43"/>
    </row>
    <row r="221" spans="1:7" ht="15.75" customHeight="1">
      <c r="A221" s="7">
        <v>50701</v>
      </c>
      <c r="B221" s="8" t="s">
        <v>289</v>
      </c>
      <c r="C221" s="46"/>
      <c r="D221" s="46"/>
      <c r="G221" s="43"/>
    </row>
    <row r="222" spans="1:7" ht="15.75" customHeight="1">
      <c r="A222" s="7">
        <v>50702</v>
      </c>
      <c r="B222" s="8" t="s">
        <v>290</v>
      </c>
      <c r="C222" s="46"/>
      <c r="D222" s="46"/>
      <c r="G222" s="43"/>
    </row>
    <row r="223" spans="1:7" ht="15.75" customHeight="1">
      <c r="A223" s="7">
        <v>50801</v>
      </c>
      <c r="B223" s="8" t="s">
        <v>292</v>
      </c>
      <c r="C223" s="46"/>
      <c r="D223" s="46"/>
      <c r="G223" s="43"/>
    </row>
    <row r="224" spans="1:7" ht="15.75" customHeight="1">
      <c r="A224" s="7">
        <v>50802</v>
      </c>
      <c r="B224" s="8" t="s">
        <v>293</v>
      </c>
      <c r="C224" s="46"/>
      <c r="D224" s="46"/>
      <c r="G224" s="43"/>
    </row>
    <row r="225" spans="1:7" ht="15.75" customHeight="1">
      <c r="A225" s="7">
        <v>50901</v>
      </c>
      <c r="B225" s="8" t="s">
        <v>295</v>
      </c>
      <c r="C225" s="46"/>
      <c r="D225" s="46"/>
      <c r="G225" s="43"/>
    </row>
    <row r="226" spans="1:7" ht="15.75" customHeight="1">
      <c r="A226" s="7">
        <v>50902</v>
      </c>
      <c r="B226" s="8" t="s">
        <v>296</v>
      </c>
      <c r="C226" s="46"/>
      <c r="D226" s="46"/>
      <c r="G226" s="43"/>
    </row>
    <row r="227" spans="1:7" ht="15.75" customHeight="1">
      <c r="A227" s="7">
        <v>51001</v>
      </c>
      <c r="B227" s="8" t="s">
        <v>298</v>
      </c>
      <c r="C227" s="46"/>
      <c r="D227" s="46"/>
      <c r="G227" s="43"/>
    </row>
    <row r="228" spans="1:7" ht="15.75" customHeight="1">
      <c r="A228" s="7">
        <v>51002</v>
      </c>
      <c r="B228" s="8" t="s">
        <v>299</v>
      </c>
      <c r="C228" s="46"/>
      <c r="D228" s="46"/>
      <c r="G228" s="43"/>
    </row>
    <row r="229" spans="1:7" ht="15.75" customHeight="1">
      <c r="A229" s="7">
        <v>51003</v>
      </c>
      <c r="B229" s="8" t="s">
        <v>300</v>
      </c>
      <c r="C229" s="46"/>
      <c r="D229" s="46"/>
      <c r="G229" s="43"/>
    </row>
    <row r="230" spans="1:7" ht="15.75" customHeight="1">
      <c r="A230" s="7">
        <v>51101</v>
      </c>
      <c r="B230" s="8" t="s">
        <v>302</v>
      </c>
      <c r="C230" s="46"/>
      <c r="D230" s="46"/>
      <c r="G230" s="43"/>
    </row>
    <row r="231" spans="1:7" ht="15.75" customHeight="1">
      <c r="A231" s="7">
        <v>51102</v>
      </c>
      <c r="B231" s="8" t="s">
        <v>303</v>
      </c>
      <c r="C231" s="46"/>
      <c r="D231" s="46"/>
      <c r="G231" s="43"/>
    </row>
    <row r="232" spans="1:7" ht="15.75" customHeight="1">
      <c r="A232" s="7">
        <v>51103</v>
      </c>
      <c r="B232" s="8" t="s">
        <v>304</v>
      </c>
      <c r="C232" s="46"/>
      <c r="D232" s="46"/>
      <c r="G232" s="43"/>
    </row>
    <row r="233" spans="1:7" ht="15.75" customHeight="1">
      <c r="A233" s="7">
        <v>51201</v>
      </c>
      <c r="B233" s="8" t="s">
        <v>306</v>
      </c>
      <c r="C233" s="46"/>
      <c r="D233" s="46"/>
      <c r="G233" s="43"/>
    </row>
    <row r="234" spans="1:7" ht="15.75" customHeight="1">
      <c r="A234" s="7">
        <v>51202</v>
      </c>
      <c r="B234" s="8" t="s">
        <v>307</v>
      </c>
      <c r="C234" s="46"/>
      <c r="D234" s="46"/>
      <c r="G234" s="43"/>
    </row>
    <row r="235" spans="1:7" ht="15.75" customHeight="1">
      <c r="A235" s="7">
        <v>51203</v>
      </c>
      <c r="B235" s="8" t="s">
        <v>308</v>
      </c>
      <c r="C235" s="46"/>
      <c r="D235" s="46"/>
      <c r="G235" s="43"/>
    </row>
    <row r="236" spans="1:7" ht="15.75" customHeight="1">
      <c r="A236" s="7">
        <v>51204</v>
      </c>
      <c r="B236" s="44" t="s">
        <v>309</v>
      </c>
      <c r="C236" s="46"/>
      <c r="D236" s="46"/>
      <c r="G236" s="43"/>
    </row>
    <row r="237" spans="1:7" ht="15.75" customHeight="1">
      <c r="A237" s="7">
        <v>51301</v>
      </c>
      <c r="B237" s="8" t="s">
        <v>311</v>
      </c>
      <c r="C237" s="46"/>
      <c r="D237" s="46"/>
      <c r="G237" s="43"/>
    </row>
    <row r="238" spans="1:7" ht="15.75" customHeight="1">
      <c r="A238" s="7">
        <v>51302</v>
      </c>
      <c r="B238" s="8" t="s">
        <v>312</v>
      </c>
      <c r="C238" s="46"/>
      <c r="D238" s="46"/>
      <c r="G238" s="43"/>
    </row>
    <row r="239" spans="1:7" ht="15.75" customHeight="1">
      <c r="A239" s="7">
        <v>51401</v>
      </c>
      <c r="B239" s="8" t="s">
        <v>314</v>
      </c>
      <c r="C239" s="46"/>
      <c r="D239" s="46"/>
      <c r="G239" s="43"/>
    </row>
    <row r="240" spans="1:7" ht="15.75" customHeight="1">
      <c r="A240" s="7">
        <v>51402</v>
      </c>
      <c r="B240" s="8" t="s">
        <v>315</v>
      </c>
      <c r="C240" s="46"/>
      <c r="D240" s="46"/>
      <c r="G240" s="43"/>
    </row>
    <row r="241" spans="1:7" ht="15.75" customHeight="1">
      <c r="A241" s="7">
        <v>51501</v>
      </c>
      <c r="B241" s="8" t="s">
        <v>317</v>
      </c>
      <c r="C241" s="46"/>
      <c r="D241" s="46"/>
      <c r="G241" s="43"/>
    </row>
    <row r="242" spans="1:7" ht="15.75" customHeight="1">
      <c r="A242" s="7">
        <v>51601</v>
      </c>
      <c r="B242" s="8" t="s">
        <v>319</v>
      </c>
      <c r="C242" s="46"/>
      <c r="D242" s="46"/>
      <c r="G242" s="43"/>
    </row>
    <row r="243" spans="1:7" ht="15.75" customHeight="1">
      <c r="A243" s="7">
        <v>60101</v>
      </c>
      <c r="B243" s="8" t="s">
        <v>25</v>
      </c>
      <c r="C243" s="46"/>
      <c r="D243" s="46"/>
      <c r="G243" s="43"/>
    </row>
    <row r="244" spans="1:7" ht="15.75" customHeight="1">
      <c r="A244" s="7">
        <v>60201</v>
      </c>
      <c r="B244" s="8" t="s">
        <v>321</v>
      </c>
      <c r="C244" s="46"/>
      <c r="D244" s="46"/>
      <c r="G244" s="43"/>
    </row>
    <row r="245" spans="1:7" ht="15.75" customHeight="1">
      <c r="A245" s="7">
        <v>60202</v>
      </c>
      <c r="B245" s="8" t="s">
        <v>322</v>
      </c>
      <c r="C245" s="46"/>
      <c r="D245" s="46"/>
      <c r="G245" s="43"/>
    </row>
    <row r="246" spans="1:7" ht="15.75" customHeight="1">
      <c r="A246" s="7">
        <v>60301</v>
      </c>
      <c r="B246" s="8" t="s">
        <v>324</v>
      </c>
      <c r="C246" s="46"/>
      <c r="D246" s="46"/>
      <c r="G246" s="43"/>
    </row>
    <row r="247" spans="1:7" ht="15.75" customHeight="1">
      <c r="A247" s="7">
        <v>60302</v>
      </c>
      <c r="B247" s="8" t="s">
        <v>325</v>
      </c>
      <c r="C247" s="46"/>
      <c r="D247" s="46"/>
      <c r="G247" s="43"/>
    </row>
    <row r="248" spans="1:7" ht="15.75" customHeight="1">
      <c r="A248" s="7">
        <v>60303</v>
      </c>
      <c r="B248" s="8" t="s">
        <v>326</v>
      </c>
      <c r="C248" s="46"/>
      <c r="D248" s="46"/>
      <c r="G248" s="43"/>
    </row>
    <row r="249" spans="1:7" ht="15.75" customHeight="1">
      <c r="A249" s="7">
        <v>60401</v>
      </c>
      <c r="B249" s="8" t="s">
        <v>328</v>
      </c>
      <c r="C249" s="46"/>
      <c r="D249" s="46"/>
      <c r="G249" s="43"/>
    </row>
    <row r="250" spans="1:7" ht="15.75" customHeight="1">
      <c r="A250" s="7">
        <v>60402</v>
      </c>
      <c r="B250" s="8" t="s">
        <v>329</v>
      </c>
      <c r="C250" s="46"/>
      <c r="D250" s="46"/>
      <c r="G250" s="43"/>
    </row>
    <row r="251" spans="1:7" ht="15.75" customHeight="1">
      <c r="A251" s="7">
        <v>60501</v>
      </c>
      <c r="B251" s="8" t="s">
        <v>331</v>
      </c>
      <c r="C251" s="46"/>
      <c r="D251" s="46"/>
      <c r="G251" s="43"/>
    </row>
    <row r="252" spans="1:7" ht="15.75" customHeight="1">
      <c r="A252" s="7">
        <v>60502</v>
      </c>
      <c r="B252" s="8" t="s">
        <v>332</v>
      </c>
      <c r="C252" s="46"/>
      <c r="D252" s="46"/>
      <c r="G252" s="43"/>
    </row>
    <row r="253" spans="1:7" ht="15.75" customHeight="1">
      <c r="A253" s="7">
        <v>60601</v>
      </c>
      <c r="B253" s="8" t="s">
        <v>205</v>
      </c>
      <c r="C253" s="46"/>
      <c r="D253" s="46"/>
      <c r="G253" s="43"/>
    </row>
    <row r="254" spans="1:7" ht="15.75" customHeight="1">
      <c r="A254" s="7">
        <v>70101</v>
      </c>
      <c r="B254" s="8" t="s">
        <v>335</v>
      </c>
      <c r="C254" s="46"/>
      <c r="D254" s="46"/>
      <c r="G254" s="43"/>
    </row>
    <row r="255" spans="1:7" ht="15.75" customHeight="1">
      <c r="A255" s="7">
        <v>70102</v>
      </c>
      <c r="B255" s="8" t="s">
        <v>336</v>
      </c>
      <c r="C255" s="46"/>
      <c r="D255" s="46"/>
      <c r="G255" s="43"/>
    </row>
    <row r="256" spans="1:7" ht="15.75" customHeight="1">
      <c r="A256" s="7">
        <v>70103</v>
      </c>
      <c r="B256" s="8" t="s">
        <v>337</v>
      </c>
      <c r="C256" s="46"/>
      <c r="D256" s="46"/>
      <c r="G256" s="43"/>
    </row>
    <row r="257" spans="1:7" ht="15.75" customHeight="1">
      <c r="A257" s="7">
        <v>70104</v>
      </c>
      <c r="B257" s="8" t="s">
        <v>338</v>
      </c>
      <c r="C257" s="46"/>
      <c r="D257" s="46"/>
      <c r="G257" s="43"/>
    </row>
    <row r="258" spans="1:7" ht="15.75" customHeight="1">
      <c r="A258" s="7">
        <v>70105</v>
      </c>
      <c r="B258" s="8" t="s">
        <v>339</v>
      </c>
      <c r="C258" s="46"/>
      <c r="D258" s="46"/>
      <c r="G258" s="43"/>
    </row>
    <row r="259" spans="1:7" ht="15.75" customHeight="1">
      <c r="A259" s="7">
        <v>70201</v>
      </c>
      <c r="B259" s="8" t="s">
        <v>340</v>
      </c>
      <c r="C259" s="46"/>
      <c r="D259" s="46"/>
      <c r="G259" s="43"/>
    </row>
    <row r="260" spans="1:7" ht="15.75" customHeight="1">
      <c r="A260" s="7">
        <v>70202</v>
      </c>
      <c r="B260" s="8" t="s">
        <v>341</v>
      </c>
      <c r="C260" s="46"/>
      <c r="D260" s="46"/>
      <c r="G260" s="43"/>
    </row>
    <row r="261" spans="1:7" ht="15.75" customHeight="1">
      <c r="A261" s="7">
        <v>70301</v>
      </c>
      <c r="B261" s="8" t="s">
        <v>343</v>
      </c>
      <c r="C261" s="46"/>
      <c r="D261" s="46"/>
      <c r="G261" s="43"/>
    </row>
    <row r="262" spans="1:7" ht="15.75" customHeight="1">
      <c r="A262" s="7">
        <v>70302</v>
      </c>
      <c r="B262" s="8" t="s">
        <v>344</v>
      </c>
      <c r="C262" s="46"/>
      <c r="D262" s="46"/>
      <c r="G262" s="43"/>
    </row>
    <row r="263" spans="1:7" ht="15.75" customHeight="1">
      <c r="A263" s="7">
        <v>70303</v>
      </c>
      <c r="B263" s="8" t="s">
        <v>345</v>
      </c>
      <c r="C263" s="46"/>
      <c r="D263" s="46"/>
      <c r="G263" s="43"/>
    </row>
    <row r="264" spans="1:7" ht="15.75" customHeight="1">
      <c r="A264" s="7">
        <v>70401</v>
      </c>
      <c r="B264" s="8" t="s">
        <v>347</v>
      </c>
      <c r="C264" s="46"/>
      <c r="D264" s="46"/>
      <c r="G264" s="43"/>
    </row>
    <row r="265" spans="1:7" ht="15.75" customHeight="1">
      <c r="A265" s="7">
        <v>70402</v>
      </c>
      <c r="B265" s="8" t="s">
        <v>348</v>
      </c>
      <c r="C265" s="46"/>
      <c r="D265" s="46"/>
      <c r="G265" s="43"/>
    </row>
    <row r="266" spans="1:7" ht="15.75" customHeight="1">
      <c r="A266" s="7">
        <v>70403</v>
      </c>
      <c r="B266" s="8" t="s">
        <v>349</v>
      </c>
      <c r="C266" s="46"/>
      <c r="D266" s="46"/>
      <c r="G266" s="43"/>
    </row>
    <row r="267" spans="1:7" ht="15.75" customHeight="1">
      <c r="A267" s="7">
        <v>70404</v>
      </c>
      <c r="B267" s="8" t="s">
        <v>350</v>
      </c>
      <c r="C267" s="46"/>
      <c r="D267" s="46"/>
      <c r="G267" s="43"/>
    </row>
    <row r="268" spans="1:7" ht="15.75" customHeight="1">
      <c r="A268" s="7">
        <v>70501</v>
      </c>
      <c r="B268" s="8" t="s">
        <v>352</v>
      </c>
      <c r="C268" s="46"/>
      <c r="D268" s="46"/>
      <c r="G268" s="43"/>
    </row>
    <row r="269" spans="1:7" ht="15.75" customHeight="1">
      <c r="A269" s="7">
        <v>70502</v>
      </c>
      <c r="B269" s="8" t="s">
        <v>353</v>
      </c>
      <c r="C269" s="46"/>
      <c r="D269" s="46"/>
      <c r="G269" s="43"/>
    </row>
    <row r="270" spans="1:7" ht="15.75" customHeight="1">
      <c r="A270" s="7">
        <v>70503</v>
      </c>
      <c r="B270" s="8" t="s">
        <v>354</v>
      </c>
      <c r="C270" s="46"/>
      <c r="D270" s="46"/>
      <c r="G270" s="43"/>
    </row>
    <row r="271" spans="1:7" ht="15.75" customHeight="1">
      <c r="A271" s="7">
        <v>70601</v>
      </c>
      <c r="B271" s="8" t="s">
        <v>356</v>
      </c>
      <c r="C271" s="46"/>
      <c r="D271" s="46"/>
      <c r="G271" s="43"/>
    </row>
    <row r="272" spans="1:7" ht="15.75" customHeight="1">
      <c r="A272" s="7">
        <v>70602</v>
      </c>
      <c r="B272" s="8" t="s">
        <v>357</v>
      </c>
      <c r="C272" s="46"/>
      <c r="D272" s="46"/>
      <c r="G272" s="43"/>
    </row>
    <row r="273" spans="1:7" ht="15.75" customHeight="1">
      <c r="A273" s="7">
        <v>70603</v>
      </c>
      <c r="B273" s="8" t="s">
        <v>358</v>
      </c>
      <c r="C273" s="46"/>
      <c r="D273" s="46"/>
      <c r="G273" s="43"/>
    </row>
    <row r="274" spans="1:7" ht="15.75" customHeight="1">
      <c r="A274" s="7">
        <v>70701</v>
      </c>
      <c r="B274" s="8" t="s">
        <v>360</v>
      </c>
      <c r="C274" s="46"/>
      <c r="D274" s="46"/>
      <c r="G274" s="43"/>
    </row>
    <row r="275" spans="1:7" ht="15.75" customHeight="1">
      <c r="A275" s="7">
        <v>70702</v>
      </c>
      <c r="B275" s="8" t="s">
        <v>361</v>
      </c>
      <c r="C275" s="46"/>
      <c r="D275" s="46"/>
      <c r="G275" s="43"/>
    </row>
    <row r="276" spans="1:7" ht="15.75" customHeight="1">
      <c r="A276" s="7">
        <v>70703</v>
      </c>
      <c r="B276" s="8" t="s">
        <v>362</v>
      </c>
      <c r="C276" s="46"/>
      <c r="D276" s="46"/>
      <c r="G276" s="43"/>
    </row>
    <row r="277" spans="1:7" ht="15.75" customHeight="1">
      <c r="A277" s="7">
        <v>70704</v>
      </c>
      <c r="B277" s="8" t="s">
        <v>363</v>
      </c>
      <c r="C277" s="46"/>
      <c r="D277" s="46"/>
      <c r="G277" s="43"/>
    </row>
    <row r="278" spans="1:7" ht="15.75" customHeight="1">
      <c r="A278" s="7">
        <v>70705</v>
      </c>
      <c r="B278" s="8" t="s">
        <v>364</v>
      </c>
      <c r="C278" s="46"/>
      <c r="D278" s="46"/>
      <c r="G278" s="43"/>
    </row>
    <row r="279" spans="1:7" ht="15.75" customHeight="1">
      <c r="A279" s="7">
        <v>70706</v>
      </c>
      <c r="B279" s="8" t="s">
        <v>365</v>
      </c>
      <c r="C279" s="46"/>
      <c r="D279" s="46"/>
      <c r="G279" s="43"/>
    </row>
    <row r="280" spans="1:7" ht="15.75" customHeight="1">
      <c r="A280" s="7">
        <v>70707</v>
      </c>
      <c r="B280" s="8" t="s">
        <v>366</v>
      </c>
      <c r="C280" s="46"/>
      <c r="D280" s="46"/>
      <c r="G280" s="43"/>
    </row>
    <row r="281" spans="1:7" ht="15.75" customHeight="1">
      <c r="A281" s="7">
        <v>70801</v>
      </c>
      <c r="B281" s="8" t="s">
        <v>367</v>
      </c>
      <c r="C281" s="46"/>
      <c r="D281" s="46"/>
      <c r="G281" s="43"/>
    </row>
    <row r="282" spans="1:7" ht="15.75" customHeight="1">
      <c r="A282" s="7">
        <v>70802</v>
      </c>
      <c r="B282" s="8" t="s">
        <v>368</v>
      </c>
      <c r="C282" s="46"/>
      <c r="D282" s="46"/>
      <c r="G282" s="43"/>
    </row>
    <row r="283" spans="1:7" ht="15.75" customHeight="1">
      <c r="A283" s="7">
        <v>70803</v>
      </c>
      <c r="B283" s="8" t="s">
        <v>369</v>
      </c>
      <c r="C283" s="46"/>
      <c r="D283" s="46"/>
      <c r="G283" s="43"/>
    </row>
    <row r="284" spans="1:7" ht="15.75" customHeight="1">
      <c r="A284" s="7">
        <v>70804</v>
      </c>
      <c r="B284" s="8" t="s">
        <v>370</v>
      </c>
      <c r="C284" s="46"/>
      <c r="D284" s="46"/>
      <c r="G284" s="43"/>
    </row>
    <row r="285" spans="1:7" ht="15.75" customHeight="1">
      <c r="A285" s="7">
        <v>70805</v>
      </c>
      <c r="B285" s="8" t="s">
        <v>371</v>
      </c>
      <c r="C285" s="46"/>
      <c r="D285" s="46"/>
      <c r="G285" s="43"/>
    </row>
    <row r="286" spans="1:7" ht="15.75" customHeight="1">
      <c r="A286" s="7">
        <v>70901</v>
      </c>
      <c r="B286" s="8" t="s">
        <v>373</v>
      </c>
      <c r="C286" s="46"/>
      <c r="D286" s="46"/>
      <c r="G286" s="43"/>
    </row>
    <row r="287" spans="1:7" ht="15.75" customHeight="1">
      <c r="A287" s="7">
        <v>70902</v>
      </c>
      <c r="B287" s="8" t="s">
        <v>374</v>
      </c>
      <c r="C287" s="46"/>
      <c r="D287" s="46"/>
      <c r="G287" s="43"/>
    </row>
    <row r="288" spans="1:7" ht="15.75" customHeight="1">
      <c r="A288" s="7">
        <v>70903</v>
      </c>
      <c r="B288" s="8" t="s">
        <v>375</v>
      </c>
      <c r="C288" s="46"/>
      <c r="D288" s="46"/>
      <c r="G288" s="43"/>
    </row>
    <row r="289" spans="1:7" ht="15.75" customHeight="1">
      <c r="A289" s="7">
        <v>70904</v>
      </c>
      <c r="B289" s="8" t="s">
        <v>376</v>
      </c>
      <c r="C289" s="46"/>
      <c r="D289" s="46"/>
      <c r="G289" s="43"/>
    </row>
    <row r="290" spans="1:7" ht="15.75" customHeight="1">
      <c r="A290" s="7">
        <v>71001</v>
      </c>
      <c r="B290" s="8" t="s">
        <v>378</v>
      </c>
      <c r="C290" s="46"/>
      <c r="D290" s="46"/>
      <c r="G290" s="43"/>
    </row>
    <row r="291" spans="1:7" ht="15.75" customHeight="1">
      <c r="A291" s="7">
        <v>71002</v>
      </c>
      <c r="B291" s="8" t="s">
        <v>379</v>
      </c>
      <c r="C291" s="46"/>
      <c r="D291" s="46"/>
      <c r="G291" s="43"/>
    </row>
    <row r="292" spans="1:7" ht="15.75" customHeight="1">
      <c r="A292" s="7">
        <v>71003</v>
      </c>
      <c r="B292" s="8" t="s">
        <v>380</v>
      </c>
      <c r="C292" s="46"/>
      <c r="D292" s="46"/>
      <c r="G292" s="43"/>
    </row>
    <row r="293" spans="1:7" ht="15.75" customHeight="1">
      <c r="A293" s="7">
        <v>71004</v>
      </c>
      <c r="B293" s="8" t="s">
        <v>381</v>
      </c>
      <c r="C293" s="46"/>
      <c r="D293" s="46"/>
      <c r="G293" s="43"/>
    </row>
    <row r="294" spans="1:7" ht="15.75" customHeight="1">
      <c r="A294" s="7">
        <v>71005</v>
      </c>
      <c r="B294" s="8" t="s">
        <v>382</v>
      </c>
      <c r="C294" s="46"/>
      <c r="D294" s="46"/>
      <c r="G294" s="43"/>
    </row>
    <row r="295" spans="1:7" ht="15.75" customHeight="1">
      <c r="A295" s="7">
        <v>71101</v>
      </c>
      <c r="B295" s="8" t="s">
        <v>384</v>
      </c>
      <c r="C295" s="46"/>
      <c r="D295" s="46"/>
      <c r="G295" s="43"/>
    </row>
    <row r="296" spans="1:7" ht="15.75" customHeight="1">
      <c r="A296" s="7">
        <v>71102</v>
      </c>
      <c r="B296" s="8" t="s">
        <v>385</v>
      </c>
      <c r="C296" s="46"/>
      <c r="D296" s="46"/>
      <c r="G296" s="43"/>
    </row>
    <row r="297" spans="1:7" ht="15.75" customHeight="1">
      <c r="A297" s="7">
        <v>71103</v>
      </c>
      <c r="B297" s="8" t="s">
        <v>386</v>
      </c>
      <c r="C297" s="46"/>
      <c r="D297" s="46"/>
      <c r="G297" s="43"/>
    </row>
    <row r="298" spans="1:7" ht="15.75" customHeight="1">
      <c r="A298" s="7">
        <v>71104</v>
      </c>
      <c r="B298" s="8" t="s">
        <v>387</v>
      </c>
      <c r="C298" s="46"/>
      <c r="D298" s="46"/>
      <c r="G298" s="43"/>
    </row>
    <row r="299" spans="1:7" ht="15.75" customHeight="1">
      <c r="A299" s="7">
        <v>71105</v>
      </c>
      <c r="B299" s="8" t="s">
        <v>388</v>
      </c>
      <c r="C299" s="46"/>
      <c r="D299" s="46"/>
      <c r="G299" s="43"/>
    </row>
    <row r="300" spans="1:7" ht="15.75" customHeight="1">
      <c r="A300" s="7">
        <v>71106</v>
      </c>
      <c r="B300" s="8" t="s">
        <v>389</v>
      </c>
      <c r="C300" s="46"/>
      <c r="D300" s="46"/>
      <c r="G300" s="43"/>
    </row>
    <row r="301" spans="1:7" ht="15.75" customHeight="1">
      <c r="A301" s="7">
        <v>71201</v>
      </c>
      <c r="B301" s="8" t="s">
        <v>391</v>
      </c>
      <c r="C301" s="46"/>
      <c r="D301" s="46"/>
      <c r="G301" s="43"/>
    </row>
    <row r="302" spans="1:7" ht="15.75" customHeight="1">
      <c r="A302" s="7">
        <v>71301</v>
      </c>
      <c r="B302" s="8" t="s">
        <v>393</v>
      </c>
      <c r="C302" s="46"/>
      <c r="D302" s="46"/>
      <c r="G302" s="43"/>
    </row>
    <row r="303" spans="1:7" ht="15.75" customHeight="1">
      <c r="A303" s="7">
        <v>71302</v>
      </c>
      <c r="B303" s="8" t="s">
        <v>394</v>
      </c>
      <c r="C303" s="46"/>
      <c r="D303" s="46"/>
      <c r="G303" s="43"/>
    </row>
    <row r="304" spans="1:7" ht="15.75" customHeight="1">
      <c r="A304" s="7">
        <v>71401</v>
      </c>
      <c r="B304" s="8" t="s">
        <v>396</v>
      </c>
      <c r="C304" s="46"/>
      <c r="D304" s="46"/>
      <c r="G304" s="43"/>
    </row>
    <row r="305" spans="1:7" ht="15.75" customHeight="1">
      <c r="A305" s="7">
        <v>71402</v>
      </c>
      <c r="B305" s="8" t="s">
        <v>397</v>
      </c>
      <c r="C305" s="46"/>
      <c r="D305" s="46"/>
      <c r="G305" s="43"/>
    </row>
    <row r="306" spans="1:7" ht="15.75" customHeight="1">
      <c r="A306" s="7">
        <v>71403</v>
      </c>
      <c r="B306" s="8" t="s">
        <v>398</v>
      </c>
      <c r="C306" s="46"/>
      <c r="D306" s="46"/>
      <c r="G306" s="43"/>
    </row>
    <row r="307" spans="1:7" ht="15.75" customHeight="1">
      <c r="A307" s="7">
        <v>71501</v>
      </c>
      <c r="B307" s="8" t="s">
        <v>400</v>
      </c>
      <c r="C307" s="46"/>
      <c r="D307" s="46"/>
      <c r="G307" s="43"/>
    </row>
    <row r="308" spans="1:7" ht="15.75" customHeight="1">
      <c r="A308" s="7">
        <v>71502</v>
      </c>
      <c r="B308" s="8" t="s">
        <v>401</v>
      </c>
      <c r="C308" s="46"/>
      <c r="D308" s="46"/>
      <c r="G308" s="43"/>
    </row>
    <row r="309" spans="1:7" ht="15.75" customHeight="1">
      <c r="A309" s="7">
        <v>71503</v>
      </c>
      <c r="B309" s="8" t="s">
        <v>332</v>
      </c>
      <c r="C309" s="46"/>
      <c r="D309" s="46"/>
      <c r="G309" s="43"/>
    </row>
    <row r="310" spans="1:7" ht="15.75" customHeight="1">
      <c r="A310" s="7">
        <v>80101</v>
      </c>
      <c r="B310" s="8" t="s">
        <v>402</v>
      </c>
      <c r="C310" s="46"/>
      <c r="D310" s="46"/>
      <c r="G310" s="43"/>
    </row>
    <row r="311" spans="1:7" ht="15.75" customHeight="1">
      <c r="A311" s="7">
        <v>80102</v>
      </c>
      <c r="B311" s="8" t="s">
        <v>385</v>
      </c>
      <c r="C311" s="46"/>
      <c r="D311" s="46"/>
      <c r="G311" s="43"/>
    </row>
    <row r="312" spans="1:7" ht="15.75" customHeight="1">
      <c r="A312" s="7">
        <v>80201</v>
      </c>
      <c r="B312" s="8" t="s">
        <v>404</v>
      </c>
      <c r="C312" s="46"/>
      <c r="D312" s="46"/>
      <c r="G312" s="43"/>
    </row>
    <row r="313" spans="1:7" ht="15.75" customHeight="1">
      <c r="A313" s="7">
        <v>80202</v>
      </c>
      <c r="B313" s="8" t="s">
        <v>405</v>
      </c>
      <c r="C313" s="46"/>
      <c r="D313" s="46"/>
      <c r="G313" s="43"/>
    </row>
    <row r="314" spans="1:7" ht="15.75" customHeight="1">
      <c r="A314" s="7">
        <v>80301</v>
      </c>
      <c r="B314" s="8" t="s">
        <v>407</v>
      </c>
      <c r="C314" s="46"/>
      <c r="D314" s="46"/>
      <c r="G314" s="43"/>
    </row>
    <row r="315" spans="1:7" ht="15.75" customHeight="1">
      <c r="A315" s="7">
        <v>80302</v>
      </c>
      <c r="B315" s="8" t="s">
        <v>408</v>
      </c>
      <c r="C315" s="46"/>
      <c r="D315" s="46"/>
      <c r="G315" s="43"/>
    </row>
    <row r="316" spans="1:7" ht="15.75" customHeight="1">
      <c r="A316" s="7">
        <v>80303</v>
      </c>
      <c r="B316" s="8" t="s">
        <v>409</v>
      </c>
      <c r="C316" s="46"/>
      <c r="D316" s="46"/>
      <c r="G316" s="43"/>
    </row>
    <row r="317" spans="1:7" ht="15.75" customHeight="1">
      <c r="A317" s="7">
        <v>80304</v>
      </c>
      <c r="B317" s="8" t="s">
        <v>410</v>
      </c>
      <c r="C317" s="46"/>
      <c r="D317" s="46"/>
      <c r="G317" s="43"/>
    </row>
    <row r="318" spans="1:7" ht="15.75" customHeight="1">
      <c r="A318" s="7">
        <v>80401</v>
      </c>
      <c r="B318" s="8" t="s">
        <v>412</v>
      </c>
      <c r="C318" s="46"/>
      <c r="D318" s="46"/>
      <c r="G318" s="43"/>
    </row>
    <row r="319" spans="1:7" ht="15.75" customHeight="1">
      <c r="A319" s="7">
        <v>80402</v>
      </c>
      <c r="B319" s="8" t="s">
        <v>413</v>
      </c>
      <c r="C319" s="46"/>
      <c r="D319" s="46"/>
      <c r="G319" s="43"/>
    </row>
    <row r="320" spans="1:7" ht="15.75" customHeight="1">
      <c r="A320" s="7">
        <v>80501</v>
      </c>
      <c r="B320" s="8" t="s">
        <v>415</v>
      </c>
      <c r="C320" s="46"/>
      <c r="D320" s="46"/>
      <c r="G320" s="43"/>
    </row>
    <row r="321" spans="1:7" ht="15.75" customHeight="1">
      <c r="A321" s="7">
        <v>80601</v>
      </c>
      <c r="B321" s="8" t="s">
        <v>417</v>
      </c>
      <c r="C321" s="46"/>
      <c r="D321" s="46"/>
      <c r="G321" s="43"/>
    </row>
    <row r="322" spans="1:7" ht="15.75" customHeight="1">
      <c r="A322" s="7">
        <v>80602</v>
      </c>
      <c r="B322" s="8" t="s">
        <v>418</v>
      </c>
      <c r="C322" s="46"/>
      <c r="D322" s="46"/>
      <c r="G322" s="43"/>
    </row>
    <row r="323" spans="1:7" ht="15.75" customHeight="1">
      <c r="A323" s="7">
        <v>80701</v>
      </c>
      <c r="B323" s="8" t="s">
        <v>420</v>
      </c>
      <c r="C323" s="46"/>
      <c r="D323" s="46"/>
      <c r="G323" s="43"/>
    </row>
    <row r="324" spans="1:7" ht="15.75" customHeight="1">
      <c r="A324" s="7">
        <v>80702</v>
      </c>
      <c r="B324" s="8" t="s">
        <v>386</v>
      </c>
      <c r="C324" s="46"/>
      <c r="D324" s="46"/>
      <c r="G324" s="43"/>
    </row>
    <row r="325" spans="1:7" ht="15.75" customHeight="1">
      <c r="A325" s="7">
        <v>80703</v>
      </c>
      <c r="B325" s="8" t="s">
        <v>421</v>
      </c>
      <c r="C325" s="46"/>
      <c r="D325" s="46"/>
      <c r="G325" s="43"/>
    </row>
    <row r="326" spans="1:7" ht="15.75" customHeight="1">
      <c r="A326" s="7">
        <v>80801</v>
      </c>
      <c r="B326" s="8" t="s">
        <v>423</v>
      </c>
      <c r="C326" s="46"/>
      <c r="D326" s="46"/>
      <c r="G326" s="43"/>
    </row>
    <row r="327" spans="1:7" ht="15.75" customHeight="1">
      <c r="A327" s="7">
        <v>80802</v>
      </c>
      <c r="B327" s="8" t="s">
        <v>424</v>
      </c>
      <c r="C327" s="46"/>
      <c r="D327" s="46"/>
      <c r="G327" s="43"/>
    </row>
    <row r="328" spans="1:7" ht="15.75" customHeight="1">
      <c r="A328" s="7">
        <v>80803</v>
      </c>
      <c r="B328" s="8" t="s">
        <v>425</v>
      </c>
      <c r="C328" s="46"/>
      <c r="D328" s="46"/>
      <c r="G328" s="43"/>
    </row>
    <row r="329" spans="1:7" ht="15.75" customHeight="1">
      <c r="A329" s="7">
        <v>80901</v>
      </c>
      <c r="B329" s="44" t="s">
        <v>426</v>
      </c>
      <c r="C329" s="46"/>
      <c r="D329" s="46"/>
      <c r="G329" s="43"/>
    </row>
    <row r="330" spans="1:7" ht="15.75" customHeight="1">
      <c r="A330" s="7">
        <v>90101</v>
      </c>
      <c r="B330" s="8" t="s">
        <v>428</v>
      </c>
      <c r="C330" s="46"/>
      <c r="D330" s="46"/>
      <c r="G330" s="43"/>
    </row>
    <row r="331" spans="1:7" ht="15.75" customHeight="1">
      <c r="A331" s="7">
        <v>90102</v>
      </c>
      <c r="B331" s="8" t="s">
        <v>429</v>
      </c>
      <c r="C331" s="46"/>
      <c r="D331" s="46"/>
      <c r="G331" s="43"/>
    </row>
    <row r="332" spans="1:7" ht="15.75" customHeight="1">
      <c r="A332" s="7">
        <v>90103</v>
      </c>
      <c r="B332" s="8" t="s">
        <v>430</v>
      </c>
      <c r="C332" s="46"/>
      <c r="D332" s="46"/>
      <c r="G332" s="43"/>
    </row>
    <row r="333" spans="1:7" ht="15.75" customHeight="1">
      <c r="A333" s="7">
        <v>90104</v>
      </c>
      <c r="B333" s="8" t="s">
        <v>431</v>
      </c>
      <c r="C333" s="46"/>
      <c r="D333" s="46"/>
      <c r="G333" s="43"/>
    </row>
    <row r="334" spans="1:7" ht="15.75" customHeight="1">
      <c r="A334" s="7">
        <v>90201</v>
      </c>
      <c r="B334" s="8" t="s">
        <v>433</v>
      </c>
      <c r="C334" s="46"/>
      <c r="D334" s="46"/>
      <c r="G334" s="43"/>
    </row>
    <row r="335" spans="1:7" ht="15.75" customHeight="1">
      <c r="A335" s="7">
        <v>90202</v>
      </c>
      <c r="B335" s="8" t="s">
        <v>382</v>
      </c>
      <c r="C335" s="46"/>
      <c r="D335" s="46"/>
      <c r="G335" s="43"/>
    </row>
    <row r="336" spans="1:7" ht="15.75" customHeight="1">
      <c r="A336" s="7">
        <v>90203</v>
      </c>
      <c r="B336" s="8" t="s">
        <v>434</v>
      </c>
      <c r="C336" s="46"/>
      <c r="D336" s="46"/>
      <c r="G336" s="43"/>
    </row>
    <row r="337" spans="1:7" ht="15.75" customHeight="1">
      <c r="A337" s="7">
        <v>90301</v>
      </c>
      <c r="B337" s="8" t="s">
        <v>436</v>
      </c>
      <c r="C337" s="46"/>
      <c r="D337" s="46"/>
      <c r="G337" s="43"/>
    </row>
    <row r="338" spans="1:7" ht="15.75" customHeight="1">
      <c r="A338" s="7">
        <v>90302</v>
      </c>
      <c r="B338" s="8" t="s">
        <v>437</v>
      </c>
      <c r="C338" s="46"/>
      <c r="D338" s="46"/>
      <c r="G338" s="43"/>
    </row>
    <row r="339" spans="1:7" ht="15.75" customHeight="1">
      <c r="A339" s="7">
        <v>90303</v>
      </c>
      <c r="B339" s="8" t="s">
        <v>438</v>
      </c>
      <c r="C339" s="46"/>
      <c r="D339" s="46"/>
      <c r="G339" s="43"/>
    </row>
    <row r="340" spans="1:7" ht="15.75" customHeight="1">
      <c r="A340" s="7">
        <v>90401</v>
      </c>
      <c r="B340" s="8" t="s">
        <v>440</v>
      </c>
      <c r="C340" s="46"/>
      <c r="D340" s="46"/>
      <c r="G340" s="43"/>
    </row>
    <row r="341" spans="1:7" ht="15.75" customHeight="1">
      <c r="A341" s="7">
        <v>90402</v>
      </c>
      <c r="B341" s="8" t="s">
        <v>102</v>
      </c>
      <c r="C341" s="46"/>
      <c r="D341" s="46"/>
      <c r="G341" s="43"/>
    </row>
    <row r="342" spans="1:7" ht="15.75" customHeight="1">
      <c r="A342" s="7">
        <v>90501</v>
      </c>
      <c r="B342" s="8" t="s">
        <v>442</v>
      </c>
      <c r="C342" s="46"/>
      <c r="D342" s="46"/>
      <c r="G342" s="43"/>
    </row>
    <row r="343" spans="1:7" ht="15.75" customHeight="1">
      <c r="A343" s="7">
        <v>90502</v>
      </c>
      <c r="B343" s="8" t="s">
        <v>443</v>
      </c>
      <c r="C343" s="46"/>
      <c r="D343" s="46"/>
      <c r="G343" s="43"/>
    </row>
    <row r="344" spans="1:7" ht="15.75" customHeight="1">
      <c r="A344" s="7">
        <v>90503</v>
      </c>
      <c r="B344" s="8" t="s">
        <v>444</v>
      </c>
      <c r="C344" s="46"/>
      <c r="D344" s="46"/>
      <c r="G344" s="43"/>
    </row>
    <row r="345" spans="1:7" ht="15.75" customHeight="1">
      <c r="A345" s="24"/>
      <c r="B345" s="25"/>
      <c r="C345" s="48"/>
      <c r="D345" s="48"/>
    </row>
    <row r="346" spans="1:7" ht="15.75" customHeight="1">
      <c r="A346" s="24"/>
      <c r="B346" s="25"/>
      <c r="C346" s="48"/>
      <c r="D346" s="48"/>
    </row>
    <row r="347" spans="1:7" ht="15.75" customHeight="1">
      <c r="A347" s="24"/>
      <c r="B347" s="25"/>
      <c r="C347" s="36"/>
      <c r="D347" s="33"/>
    </row>
    <row r="348" spans="1:7" ht="15.75" customHeight="1">
      <c r="A348" s="24"/>
      <c r="B348" s="25"/>
      <c r="C348" s="36"/>
    </row>
    <row r="349" spans="1:7" ht="15.75" customHeight="1">
      <c r="A349" s="24"/>
      <c r="B349" s="25"/>
      <c r="C349" s="36"/>
    </row>
    <row r="350" spans="1:7" ht="15.75" customHeight="1">
      <c r="A350" s="24"/>
      <c r="B350" s="25"/>
      <c r="C350" s="36"/>
      <c r="D350" s="36"/>
    </row>
    <row r="351" spans="1:7" ht="15.75" customHeight="1">
      <c r="A351" s="24"/>
      <c r="B351" s="25"/>
      <c r="C351" s="36"/>
      <c r="D351" s="36"/>
    </row>
    <row r="352" spans="1:7" ht="15.75" customHeight="1">
      <c r="A352" s="24"/>
      <c r="B352" s="25"/>
      <c r="C352" s="36"/>
      <c r="D352" s="36"/>
    </row>
    <row r="353" spans="1:4" ht="15.75" customHeight="1">
      <c r="A353" s="24"/>
      <c r="B353" s="37"/>
      <c r="C353" s="36"/>
      <c r="D353" s="36"/>
    </row>
    <row r="354" spans="1:4" ht="15.75" customHeight="1">
      <c r="A354" s="24"/>
      <c r="B354" s="37"/>
      <c r="D354" s="33"/>
    </row>
    <row r="355" spans="1:4" ht="15.75" customHeight="1">
      <c r="A355" s="24"/>
      <c r="B355" s="37"/>
    </row>
    <row r="356" spans="1:4" ht="15.75" customHeight="1">
      <c r="A356" s="24"/>
      <c r="B356" s="37"/>
    </row>
    <row r="357" spans="1:4" ht="15.75" customHeight="1">
      <c r="A357" s="24"/>
      <c r="B357" s="37"/>
    </row>
    <row r="358" spans="1:4" ht="15.75" customHeight="1">
      <c r="A358" s="24"/>
      <c r="B358" s="37"/>
    </row>
    <row r="359" spans="1:4" ht="15.75" customHeight="1">
      <c r="A359" s="24"/>
      <c r="B359" s="37"/>
    </row>
    <row r="360" spans="1:4" ht="15.75" customHeight="1">
      <c r="A360" s="24"/>
      <c r="B360" s="37"/>
    </row>
    <row r="361" spans="1:4" ht="15.75" customHeight="1">
      <c r="A361" s="24"/>
      <c r="B361" s="37"/>
    </row>
    <row r="362" spans="1:4" ht="15.75" customHeight="1">
      <c r="A362" s="24"/>
      <c r="B362" s="37"/>
    </row>
    <row r="363" spans="1:4" ht="15.75" customHeight="1">
      <c r="A363" s="24"/>
      <c r="B363" s="37"/>
    </row>
    <row r="364" spans="1:4" ht="15.75" customHeight="1">
      <c r="A364" s="24"/>
      <c r="B364" s="37"/>
    </row>
    <row r="365" spans="1:4" ht="15.75" customHeight="1">
      <c r="A365" s="24"/>
      <c r="B365" s="37"/>
    </row>
    <row r="366" spans="1:4" ht="15.75" customHeight="1">
      <c r="A366" s="24"/>
      <c r="B366" s="37"/>
    </row>
    <row r="367" spans="1:4" ht="15.75" customHeight="1">
      <c r="A367" s="24"/>
      <c r="B367" s="37"/>
    </row>
    <row r="368" spans="1:4" ht="15.75" customHeight="1">
      <c r="A368" s="24"/>
      <c r="B368" s="37"/>
    </row>
    <row r="369" spans="1:2" ht="15.75" customHeight="1">
      <c r="A369" s="24"/>
      <c r="B369" s="37"/>
    </row>
    <row r="370" spans="1:2" ht="15.75" customHeight="1">
      <c r="A370" s="24"/>
      <c r="B370" s="37"/>
    </row>
    <row r="371" spans="1:2" ht="15.75" customHeight="1">
      <c r="A371" s="24"/>
      <c r="B371" s="37"/>
    </row>
    <row r="372" spans="1:2" ht="15.75" customHeight="1">
      <c r="A372" s="24"/>
      <c r="B372" s="37"/>
    </row>
    <row r="373" spans="1:2" ht="15.75" customHeight="1">
      <c r="A373" s="24"/>
      <c r="B373" s="37"/>
    </row>
    <row r="374" spans="1:2" ht="15.75" customHeight="1">
      <c r="A374" s="24"/>
      <c r="B374" s="37"/>
    </row>
    <row r="375" spans="1:2" ht="15.75" customHeight="1">
      <c r="A375" s="24"/>
      <c r="B375" s="37"/>
    </row>
    <row r="376" spans="1:2" ht="15.75" customHeight="1">
      <c r="A376" s="24"/>
      <c r="B376" s="37"/>
    </row>
    <row r="377" spans="1:2" ht="15.75" customHeight="1">
      <c r="A377" s="24"/>
      <c r="B377" s="37"/>
    </row>
    <row r="378" spans="1:2" ht="15.75" customHeight="1">
      <c r="A378" s="24"/>
      <c r="B378" s="37"/>
    </row>
    <row r="379" spans="1:2" ht="15.75" customHeight="1">
      <c r="A379" s="24"/>
      <c r="B379" s="37"/>
    </row>
    <row r="380" spans="1:2" ht="15.75" customHeight="1">
      <c r="A380" s="24"/>
      <c r="B380" s="37"/>
    </row>
    <row r="381" spans="1:2" ht="15.75" customHeight="1">
      <c r="A381" s="24"/>
      <c r="B381" s="37"/>
    </row>
    <row r="382" spans="1:2" ht="15.75" customHeight="1">
      <c r="A382" s="24"/>
      <c r="B382" s="37"/>
    </row>
    <row r="383" spans="1:2" ht="15.75" customHeight="1">
      <c r="A383" s="24"/>
      <c r="B383" s="37"/>
    </row>
    <row r="384" spans="1:2" ht="15.75" customHeight="1">
      <c r="A384" s="24"/>
      <c r="B384" s="37"/>
    </row>
    <row r="385" spans="1:2" ht="15.75" customHeight="1">
      <c r="A385" s="24"/>
      <c r="B385" s="37"/>
    </row>
    <row r="386" spans="1:2" ht="15.75" customHeight="1">
      <c r="A386" s="24"/>
      <c r="B386" s="37"/>
    </row>
    <row r="387" spans="1:2" ht="15.75" customHeight="1">
      <c r="A387" s="24"/>
      <c r="B387" s="37"/>
    </row>
    <row r="388" spans="1:2" ht="15.75" customHeight="1">
      <c r="A388" s="24"/>
      <c r="B388" s="37"/>
    </row>
    <row r="389" spans="1:2" ht="15.75" customHeight="1">
      <c r="A389" s="24"/>
      <c r="B389" s="37"/>
    </row>
    <row r="390" spans="1:2" ht="15.75" customHeight="1">
      <c r="A390" s="24"/>
      <c r="B390" s="37"/>
    </row>
    <row r="391" spans="1:2" ht="15.75" customHeight="1">
      <c r="A391" s="24"/>
      <c r="B391" s="37"/>
    </row>
    <row r="392" spans="1:2" ht="15.75" customHeight="1">
      <c r="A392" s="24"/>
      <c r="B392" s="37"/>
    </row>
    <row r="393" spans="1:2" ht="15.75" customHeight="1">
      <c r="A393" s="24"/>
      <c r="B393" s="37"/>
    </row>
    <row r="394" spans="1:2" ht="15.75" customHeight="1">
      <c r="A394" s="24"/>
      <c r="B394" s="37"/>
    </row>
    <row r="395" spans="1:2" ht="15.75" customHeight="1">
      <c r="A395" s="24"/>
      <c r="B395" s="37"/>
    </row>
    <row r="396" spans="1:2" ht="15.75" customHeight="1">
      <c r="A396" s="24"/>
      <c r="B396" s="37"/>
    </row>
    <row r="397" spans="1:2" ht="15.75" customHeight="1">
      <c r="A397" s="24"/>
      <c r="B397" s="37"/>
    </row>
    <row r="398" spans="1:2" ht="15.75" customHeight="1">
      <c r="A398" s="24"/>
      <c r="B398" s="37"/>
    </row>
    <row r="399" spans="1:2" ht="15.75" customHeight="1">
      <c r="A399" s="24"/>
      <c r="B399" s="37"/>
    </row>
    <row r="400" spans="1:2" ht="15.75" customHeight="1">
      <c r="A400" s="24"/>
      <c r="B400" s="37"/>
    </row>
    <row r="401" spans="1:2" ht="15.75" customHeight="1">
      <c r="A401" s="24"/>
      <c r="B401" s="37"/>
    </row>
    <row r="402" spans="1:2" ht="15.75" customHeight="1">
      <c r="A402" s="24"/>
      <c r="B402" s="37"/>
    </row>
    <row r="403" spans="1:2" ht="15.75" customHeight="1">
      <c r="A403" s="24"/>
      <c r="B403" s="37"/>
    </row>
    <row r="404" spans="1:2" ht="15.75" customHeight="1">
      <c r="A404" s="24"/>
      <c r="B404" s="37"/>
    </row>
    <row r="405" spans="1:2" ht="15.75" customHeight="1">
      <c r="A405" s="24"/>
      <c r="B405" s="37"/>
    </row>
    <row r="406" spans="1:2" ht="15.75" customHeight="1">
      <c r="A406" s="24"/>
      <c r="B406" s="37"/>
    </row>
    <row r="407" spans="1:2" ht="15.75" customHeight="1">
      <c r="A407" s="24"/>
      <c r="B407" s="37"/>
    </row>
    <row r="408" spans="1:2" ht="15.75" customHeight="1">
      <c r="A408" s="24"/>
      <c r="B408" s="37"/>
    </row>
    <row r="409" spans="1:2" ht="15.75" customHeight="1">
      <c r="A409" s="24"/>
      <c r="B409" s="37"/>
    </row>
    <row r="410" spans="1:2" ht="15.75" customHeight="1">
      <c r="A410" s="24"/>
      <c r="B410" s="37"/>
    </row>
    <row r="411" spans="1:2" ht="15.75" customHeight="1">
      <c r="A411" s="24"/>
      <c r="B411" s="37"/>
    </row>
    <row r="412" spans="1:2" ht="15.75" customHeight="1">
      <c r="A412" s="24"/>
      <c r="B412" s="37"/>
    </row>
    <row r="413" spans="1:2" ht="15.75" customHeight="1">
      <c r="A413" s="24"/>
      <c r="B413" s="37"/>
    </row>
    <row r="414" spans="1:2" ht="15.75" customHeight="1">
      <c r="A414" s="24"/>
      <c r="B414" s="37"/>
    </row>
    <row r="415" spans="1:2" ht="15.75" customHeight="1">
      <c r="A415" s="24"/>
      <c r="B415" s="37"/>
    </row>
    <row r="416" spans="1:2" ht="15.75" customHeight="1">
      <c r="A416" s="24"/>
      <c r="B416" s="37"/>
    </row>
    <row r="417" spans="1:2" ht="15.75" customHeight="1">
      <c r="A417" s="24"/>
      <c r="B417" s="37"/>
    </row>
    <row r="418" spans="1:2" ht="15.75" customHeight="1">
      <c r="A418" s="24"/>
      <c r="B418" s="37"/>
    </row>
    <row r="419" spans="1:2" ht="15.75" customHeight="1">
      <c r="A419" s="24"/>
      <c r="B419" s="37"/>
    </row>
    <row r="420" spans="1:2" ht="15.75" customHeight="1">
      <c r="A420" s="24"/>
      <c r="B420" s="37"/>
    </row>
    <row r="421" spans="1:2" ht="15.75" customHeight="1">
      <c r="A421" s="24"/>
      <c r="B421" s="37"/>
    </row>
    <row r="422" spans="1:2" ht="15.75" customHeight="1">
      <c r="A422" s="24"/>
      <c r="B422" s="37"/>
    </row>
    <row r="423" spans="1:2" ht="15.75" customHeight="1">
      <c r="A423" s="24"/>
      <c r="B423" s="37"/>
    </row>
    <row r="424" spans="1:2" ht="15.75" customHeight="1">
      <c r="A424" s="24"/>
      <c r="B424" s="37"/>
    </row>
    <row r="425" spans="1:2" ht="15.75" customHeight="1">
      <c r="A425" s="24"/>
      <c r="B425" s="37"/>
    </row>
    <row r="426" spans="1:2" ht="15.75" customHeight="1">
      <c r="A426" s="24"/>
      <c r="B426" s="37"/>
    </row>
    <row r="427" spans="1:2" ht="15.75" customHeight="1">
      <c r="A427" s="24"/>
      <c r="B427" s="37"/>
    </row>
    <row r="428" spans="1:2" ht="15.75" customHeight="1">
      <c r="A428" s="24"/>
      <c r="B428" s="37"/>
    </row>
    <row r="429" spans="1:2" ht="15.75" customHeight="1">
      <c r="A429" s="24"/>
      <c r="B429" s="37"/>
    </row>
    <row r="430" spans="1:2" ht="15.75" customHeight="1">
      <c r="A430" s="24"/>
      <c r="B430" s="37"/>
    </row>
    <row r="431" spans="1:2" ht="15.75" customHeight="1">
      <c r="A431" s="24"/>
      <c r="B431" s="37"/>
    </row>
    <row r="432" spans="1:2" ht="15.75" customHeight="1">
      <c r="A432" s="24"/>
      <c r="B432" s="37"/>
    </row>
    <row r="433" spans="1:2" ht="15.75" customHeight="1">
      <c r="A433" s="24"/>
      <c r="B433" s="37"/>
    </row>
    <row r="434" spans="1:2" ht="15.75" customHeight="1">
      <c r="A434" s="24"/>
      <c r="B434" s="37"/>
    </row>
    <row r="435" spans="1:2" ht="15.75" customHeight="1">
      <c r="A435" s="24"/>
      <c r="B435" s="37"/>
    </row>
    <row r="436" spans="1:2" ht="15.75" customHeight="1">
      <c r="A436" s="24"/>
      <c r="B436" s="37"/>
    </row>
    <row r="437" spans="1:2" ht="15.75" customHeight="1">
      <c r="A437" s="24"/>
      <c r="B437" s="37"/>
    </row>
    <row r="438" spans="1:2" ht="15.75" customHeight="1">
      <c r="A438" s="24"/>
      <c r="B438" s="37"/>
    </row>
    <row r="439" spans="1:2" ht="15.75" customHeight="1">
      <c r="A439" s="24"/>
      <c r="B439" s="37"/>
    </row>
    <row r="440" spans="1:2" ht="15.75" customHeight="1">
      <c r="A440" s="24"/>
      <c r="B440" s="37"/>
    </row>
    <row r="441" spans="1:2" ht="15.75" customHeight="1">
      <c r="A441" s="24"/>
      <c r="B441" s="37"/>
    </row>
    <row r="442" spans="1:2" ht="15.75" customHeight="1">
      <c r="A442" s="24"/>
      <c r="B442" s="37"/>
    </row>
    <row r="443" spans="1:2" ht="15.75" customHeight="1">
      <c r="A443" s="24"/>
      <c r="B443" s="37"/>
    </row>
    <row r="444" spans="1:2" ht="15.75" customHeight="1">
      <c r="A444" s="24"/>
      <c r="B444" s="37"/>
    </row>
    <row r="445" spans="1:2" ht="15.75" customHeight="1">
      <c r="A445" s="24"/>
      <c r="B445" s="37"/>
    </row>
    <row r="446" spans="1:2" ht="15.75" customHeight="1">
      <c r="A446" s="24"/>
      <c r="B446" s="37"/>
    </row>
    <row r="447" spans="1:2" ht="15.75" customHeight="1">
      <c r="A447" s="24"/>
      <c r="B447" s="37"/>
    </row>
    <row r="448" spans="1:2" ht="15.75" customHeight="1">
      <c r="A448" s="24"/>
      <c r="B448" s="37"/>
    </row>
    <row r="449" spans="1:2" ht="15.75" customHeight="1">
      <c r="A449" s="24"/>
      <c r="B449" s="37"/>
    </row>
    <row r="450" spans="1:2" ht="15.75" customHeight="1">
      <c r="A450" s="24"/>
      <c r="B450" s="37"/>
    </row>
    <row r="451" spans="1:2" ht="15.75" customHeight="1">
      <c r="A451" s="24"/>
      <c r="B451" s="37"/>
    </row>
    <row r="452" spans="1:2" ht="15.75" customHeight="1">
      <c r="A452" s="24"/>
      <c r="B452" s="37"/>
    </row>
    <row r="453" spans="1:2" ht="15.75" customHeight="1">
      <c r="A453" s="24"/>
      <c r="B453" s="37"/>
    </row>
    <row r="454" spans="1:2" ht="15.75" customHeight="1">
      <c r="A454" s="24"/>
      <c r="B454" s="37"/>
    </row>
    <row r="455" spans="1:2" ht="15.75" customHeight="1">
      <c r="A455" s="24"/>
      <c r="B455" s="37"/>
    </row>
    <row r="456" spans="1:2" ht="15.75" customHeight="1">
      <c r="A456" s="24"/>
      <c r="B456" s="37"/>
    </row>
    <row r="457" spans="1:2" ht="15.75" customHeight="1">
      <c r="A457" s="24"/>
      <c r="B457" s="37"/>
    </row>
    <row r="458" spans="1:2" ht="15.75" customHeight="1">
      <c r="A458" s="24"/>
      <c r="B458" s="37"/>
    </row>
    <row r="459" spans="1:2" ht="15.75" customHeight="1">
      <c r="A459" s="24"/>
      <c r="B459" s="37"/>
    </row>
    <row r="460" spans="1:2" ht="15.75" customHeight="1">
      <c r="A460" s="24"/>
      <c r="B460" s="37"/>
    </row>
    <row r="461" spans="1:2" ht="15.75" customHeight="1">
      <c r="A461" s="24"/>
      <c r="B461" s="37"/>
    </row>
    <row r="462" spans="1:2" ht="15.75" customHeight="1">
      <c r="A462" s="24"/>
      <c r="B462" s="37"/>
    </row>
    <row r="463" spans="1:2" ht="15.75" customHeight="1">
      <c r="A463" s="24"/>
      <c r="B463" s="37"/>
    </row>
    <row r="464" spans="1:2" ht="15.75" customHeight="1">
      <c r="A464" s="24"/>
      <c r="B464" s="37"/>
    </row>
    <row r="465" spans="1:2" ht="15.75" customHeight="1">
      <c r="A465" s="24"/>
      <c r="B465" s="37"/>
    </row>
    <row r="466" spans="1:2" ht="15.75" customHeight="1">
      <c r="A466" s="24"/>
      <c r="B466" s="37"/>
    </row>
    <row r="467" spans="1:2" ht="15.75" customHeight="1">
      <c r="A467" s="24"/>
      <c r="B467" s="37"/>
    </row>
    <row r="468" spans="1:2" ht="15.75" customHeight="1">
      <c r="A468" s="24"/>
      <c r="B468" s="37"/>
    </row>
    <row r="469" spans="1:2" ht="15.75" customHeight="1">
      <c r="A469" s="24"/>
      <c r="B469" s="37"/>
    </row>
    <row r="470" spans="1:2" ht="15.75" customHeight="1">
      <c r="A470" s="24"/>
      <c r="B470" s="37"/>
    </row>
    <row r="471" spans="1:2" ht="15.75" customHeight="1">
      <c r="A471" s="24"/>
      <c r="B471" s="37"/>
    </row>
    <row r="472" spans="1:2" ht="15.75" customHeight="1">
      <c r="A472" s="24"/>
      <c r="B472" s="37"/>
    </row>
    <row r="473" spans="1:2" ht="15.75" customHeight="1">
      <c r="A473" s="24"/>
      <c r="B473" s="37"/>
    </row>
    <row r="474" spans="1:2" ht="15.75" customHeight="1">
      <c r="A474" s="24"/>
      <c r="B474" s="37"/>
    </row>
    <row r="475" spans="1:2" ht="15.75" customHeight="1">
      <c r="A475" s="24"/>
      <c r="B475" s="37"/>
    </row>
    <row r="476" spans="1:2" ht="15.75" customHeight="1">
      <c r="A476" s="24"/>
      <c r="B476" s="37"/>
    </row>
    <row r="477" spans="1:2" ht="15.75" customHeight="1">
      <c r="A477" s="24"/>
      <c r="B477" s="37"/>
    </row>
    <row r="478" spans="1:2" ht="15.75" customHeight="1">
      <c r="A478" s="24"/>
      <c r="B478" s="37"/>
    </row>
    <row r="479" spans="1:2" ht="15.75" customHeight="1">
      <c r="A479" s="24"/>
      <c r="B479" s="37"/>
    </row>
    <row r="480" spans="1:2" ht="15.75" customHeight="1">
      <c r="A480" s="24"/>
      <c r="B480" s="37"/>
    </row>
    <row r="481" spans="1:2" ht="15.75" customHeight="1">
      <c r="A481" s="24"/>
      <c r="B481" s="37"/>
    </row>
    <row r="482" spans="1:2" ht="15.75" customHeight="1">
      <c r="A482" s="24"/>
      <c r="B482" s="37"/>
    </row>
    <row r="483" spans="1:2" ht="15.75" customHeight="1">
      <c r="A483" s="24"/>
      <c r="B483" s="37"/>
    </row>
    <row r="484" spans="1:2" ht="15.75" customHeight="1">
      <c r="A484" s="24"/>
      <c r="B484" s="37"/>
    </row>
    <row r="485" spans="1:2" ht="15.75" customHeight="1">
      <c r="A485" s="24"/>
      <c r="B485" s="37"/>
    </row>
    <row r="486" spans="1:2" ht="15.75" customHeight="1">
      <c r="A486" s="24"/>
      <c r="B486" s="37"/>
    </row>
    <row r="487" spans="1:2" ht="15.75" customHeight="1">
      <c r="A487" s="24"/>
      <c r="B487" s="37"/>
    </row>
    <row r="488" spans="1:2" ht="15.75" customHeight="1">
      <c r="A488" s="24"/>
      <c r="B488" s="37"/>
    </row>
    <row r="489" spans="1:2" ht="15.75" customHeight="1">
      <c r="A489" s="24"/>
      <c r="B489" s="37"/>
    </row>
    <row r="490" spans="1:2" ht="15.75" customHeight="1">
      <c r="A490" s="24"/>
      <c r="B490" s="37"/>
    </row>
    <row r="491" spans="1:2" ht="15.75" customHeight="1">
      <c r="A491" s="24"/>
      <c r="B491" s="37"/>
    </row>
    <row r="492" spans="1:2" ht="15.75" customHeight="1">
      <c r="A492" s="24"/>
      <c r="B492" s="37"/>
    </row>
    <row r="493" spans="1:2" ht="15.75" customHeight="1">
      <c r="A493" s="24"/>
      <c r="B493" s="37"/>
    </row>
    <row r="494" spans="1:2" ht="15.75" customHeight="1">
      <c r="A494" s="24"/>
      <c r="B494" s="37"/>
    </row>
    <row r="495" spans="1:2" ht="15.75" customHeight="1">
      <c r="A495" s="24"/>
      <c r="B495" s="37"/>
    </row>
    <row r="496" spans="1:2" ht="15.75" customHeight="1">
      <c r="A496" s="24"/>
      <c r="B496" s="37"/>
    </row>
    <row r="497" spans="1:2" ht="15.75" customHeight="1">
      <c r="A497" s="24"/>
      <c r="B497" s="37"/>
    </row>
    <row r="498" spans="1:2" ht="15.75" customHeight="1">
      <c r="A498" s="24"/>
      <c r="B498" s="37"/>
    </row>
    <row r="499" spans="1:2" ht="15.75" customHeight="1">
      <c r="A499" s="24"/>
      <c r="B499" s="37"/>
    </row>
    <row r="500" spans="1:2" ht="15.75" customHeight="1">
      <c r="A500" s="24"/>
      <c r="B500" s="37"/>
    </row>
    <row r="501" spans="1:2" ht="15.75" customHeight="1">
      <c r="A501" s="24"/>
      <c r="B501" s="37"/>
    </row>
    <row r="502" spans="1:2" ht="15.75" customHeight="1">
      <c r="A502" s="24"/>
      <c r="B502" s="37"/>
    </row>
    <row r="503" spans="1:2" ht="15.75" customHeight="1">
      <c r="A503" s="24"/>
      <c r="B503" s="37"/>
    </row>
    <row r="504" spans="1:2" ht="15.75" customHeight="1">
      <c r="A504" s="24"/>
      <c r="B504" s="37"/>
    </row>
    <row r="505" spans="1:2" ht="15.75" customHeight="1">
      <c r="A505" s="24"/>
      <c r="B505" s="37"/>
    </row>
    <row r="506" spans="1:2" ht="15.75" customHeight="1">
      <c r="A506" s="24"/>
      <c r="B506" s="37"/>
    </row>
    <row r="507" spans="1:2" ht="15.75" customHeight="1">
      <c r="A507" s="24"/>
      <c r="B507" s="37"/>
    </row>
    <row r="508" spans="1:2" ht="15.75" customHeight="1">
      <c r="A508" s="24"/>
      <c r="B508" s="37"/>
    </row>
    <row r="509" spans="1:2" ht="15.75" customHeight="1">
      <c r="A509" s="24"/>
      <c r="B509" s="37"/>
    </row>
    <row r="510" spans="1:2" ht="15.75" customHeight="1">
      <c r="A510" s="24"/>
      <c r="B510" s="37"/>
    </row>
    <row r="511" spans="1:2" ht="15.75" customHeight="1">
      <c r="A511" s="24"/>
      <c r="B511" s="37"/>
    </row>
    <row r="512" spans="1:2" ht="15.75" customHeight="1">
      <c r="A512" s="24"/>
      <c r="B512" s="37"/>
    </row>
    <row r="513" spans="1:2" ht="15.75" customHeight="1">
      <c r="A513" s="24"/>
      <c r="B513" s="37"/>
    </row>
    <row r="514" spans="1:2" ht="15.75" customHeight="1">
      <c r="A514" s="24"/>
      <c r="B514" s="37"/>
    </row>
    <row r="515" spans="1:2" ht="15.75" customHeight="1">
      <c r="A515" s="24"/>
      <c r="B515" s="37"/>
    </row>
    <row r="516" spans="1:2" ht="15.75" customHeight="1">
      <c r="A516" s="24"/>
      <c r="B516" s="37"/>
    </row>
    <row r="517" spans="1:2" ht="15.75" customHeight="1">
      <c r="A517" s="24"/>
      <c r="B517" s="37"/>
    </row>
    <row r="518" spans="1:2" ht="15.75" customHeight="1">
      <c r="A518" s="24"/>
      <c r="B518" s="37"/>
    </row>
    <row r="519" spans="1:2" ht="15.75" customHeight="1">
      <c r="A519" s="24"/>
      <c r="B519" s="37"/>
    </row>
    <row r="520" spans="1:2" ht="15.75" customHeight="1">
      <c r="A520" s="24"/>
      <c r="B520" s="37"/>
    </row>
    <row r="521" spans="1:2" ht="15.75" customHeight="1">
      <c r="A521" s="24"/>
      <c r="B521" s="37"/>
    </row>
    <row r="522" spans="1:2" ht="15.75" customHeight="1">
      <c r="A522" s="24"/>
      <c r="B522" s="37"/>
    </row>
    <row r="523" spans="1:2" ht="15.75" customHeight="1">
      <c r="A523" s="24"/>
      <c r="B523" s="37"/>
    </row>
    <row r="524" spans="1:2" ht="15.75" customHeight="1">
      <c r="A524" s="24"/>
      <c r="B524" s="37"/>
    </row>
    <row r="525" spans="1:2" ht="15.75" customHeight="1">
      <c r="A525" s="24"/>
      <c r="B525" s="37"/>
    </row>
    <row r="526" spans="1:2" ht="15.75" customHeight="1">
      <c r="A526" s="24"/>
      <c r="B526" s="37"/>
    </row>
    <row r="527" spans="1:2" ht="15.75" customHeight="1">
      <c r="A527" s="24"/>
      <c r="B527" s="37"/>
    </row>
    <row r="528" spans="1:2" ht="15.75" customHeight="1">
      <c r="A528" s="24"/>
      <c r="B528" s="37"/>
    </row>
    <row r="529" spans="1:2" ht="15.75" customHeight="1">
      <c r="A529" s="24"/>
      <c r="B529" s="37"/>
    </row>
    <row r="530" spans="1:2" ht="15.75" customHeight="1">
      <c r="A530" s="24"/>
      <c r="B530" s="37"/>
    </row>
    <row r="531" spans="1:2" ht="15.75" customHeight="1">
      <c r="A531" s="24"/>
      <c r="B531" s="37"/>
    </row>
    <row r="532" spans="1:2" ht="15.75" customHeight="1">
      <c r="A532" s="24"/>
      <c r="B532" s="37"/>
    </row>
    <row r="533" spans="1:2" ht="15.75" customHeight="1">
      <c r="A533" s="24"/>
      <c r="B533" s="37"/>
    </row>
    <row r="534" spans="1:2" ht="15.75" customHeight="1">
      <c r="A534" s="24"/>
      <c r="B534" s="37"/>
    </row>
    <row r="535" spans="1:2" ht="15.75" customHeight="1">
      <c r="A535" s="24"/>
      <c r="B535" s="37"/>
    </row>
    <row r="536" spans="1:2" ht="15.75" customHeight="1">
      <c r="A536" s="24"/>
      <c r="B536" s="37"/>
    </row>
    <row r="537" spans="1:2" ht="15.75" customHeight="1">
      <c r="A537" s="24"/>
      <c r="B537" s="37"/>
    </row>
    <row r="538" spans="1:2" ht="15.75" customHeight="1">
      <c r="A538" s="24"/>
      <c r="B538" s="37"/>
    </row>
    <row r="539" spans="1:2" ht="15.75" customHeight="1">
      <c r="A539" s="24"/>
      <c r="B539" s="37"/>
    </row>
    <row r="540" spans="1:2" ht="15.75" customHeight="1">
      <c r="A540" s="24"/>
      <c r="B540" s="37"/>
    </row>
    <row r="541" spans="1:2" ht="15.75" customHeight="1">
      <c r="A541" s="24"/>
      <c r="B541" s="37"/>
    </row>
    <row r="542" spans="1:2" ht="15.75" customHeight="1">
      <c r="A542" s="24"/>
      <c r="B542" s="37"/>
    </row>
    <row r="543" spans="1:2" ht="15.75" customHeight="1">
      <c r="A543" s="24"/>
      <c r="B543" s="37"/>
    </row>
    <row r="544" spans="1:2" ht="15.75" customHeight="1">
      <c r="A544" s="24"/>
      <c r="B544" s="37"/>
    </row>
    <row r="545" spans="1:2" ht="15.75" customHeight="1">
      <c r="A545" s="24"/>
      <c r="B545" s="37"/>
    </row>
    <row r="546" spans="1:2" ht="15.75" customHeight="1">
      <c r="A546" s="24"/>
      <c r="B546" s="37"/>
    </row>
    <row r="547" spans="1:2" ht="15.75" customHeight="1">
      <c r="A547" s="24"/>
    </row>
    <row r="548" spans="1:2" ht="15.75" customHeight="1">
      <c r="A548" s="24"/>
    </row>
    <row r="549" spans="1:2" ht="15.75" customHeight="1">
      <c r="A549" s="24"/>
    </row>
    <row r="550" spans="1:2" ht="15.75" customHeight="1">
      <c r="A550" s="24"/>
    </row>
    <row r="551" spans="1:2" ht="15.75" customHeight="1">
      <c r="A551" s="24"/>
    </row>
    <row r="552" spans="1:2" ht="15.75" customHeight="1">
      <c r="A552" s="24"/>
    </row>
    <row r="553" spans="1:2" ht="15.75" customHeight="1">
      <c r="A553" s="24"/>
    </row>
    <row r="554" spans="1:2" ht="15.75" customHeight="1">
      <c r="A554" s="24"/>
    </row>
    <row r="555" spans="1:2" ht="15.75" customHeight="1">
      <c r="A555" s="24"/>
    </row>
    <row r="556" spans="1:2" ht="15.75" customHeight="1">
      <c r="A556" s="24"/>
    </row>
    <row r="557" spans="1:2" ht="15.75" customHeight="1">
      <c r="A557" s="24"/>
    </row>
    <row r="558" spans="1:2" ht="15.75" customHeight="1">
      <c r="A558" s="24"/>
    </row>
    <row r="559" spans="1:2" ht="15.75" customHeight="1">
      <c r="A559" s="24"/>
    </row>
    <row r="560" spans="1:2" ht="15.75" customHeight="1">
      <c r="A560" s="24"/>
    </row>
    <row r="561" spans="1:1" ht="15.75" customHeight="1">
      <c r="A561" s="24"/>
    </row>
    <row r="562" spans="1:1" ht="15.75" customHeight="1">
      <c r="A562" s="24"/>
    </row>
    <row r="563" spans="1:1" ht="15.75" customHeight="1">
      <c r="A563" s="24"/>
    </row>
    <row r="564" spans="1:1" ht="15.75" customHeight="1">
      <c r="A564" s="24"/>
    </row>
    <row r="565" spans="1:1" ht="15.75" customHeight="1">
      <c r="A565" s="24"/>
    </row>
    <row r="566" spans="1:1" ht="15.75" customHeight="1">
      <c r="A566" s="24"/>
    </row>
    <row r="567" spans="1:1" ht="15.75" customHeight="1">
      <c r="A567" s="24"/>
    </row>
    <row r="568" spans="1:1" ht="15.75" customHeight="1">
      <c r="A568" s="24"/>
    </row>
    <row r="569" spans="1:1" ht="15.75" customHeight="1">
      <c r="A569" s="24"/>
    </row>
    <row r="570" spans="1:1" ht="15.75" customHeight="1">
      <c r="A570" s="24"/>
    </row>
    <row r="571" spans="1:1" ht="15.75" customHeight="1">
      <c r="A571" s="24"/>
    </row>
    <row r="572" spans="1:1" ht="15.75" customHeight="1">
      <c r="A572" s="24"/>
    </row>
    <row r="573" spans="1:1" ht="15.75" customHeight="1">
      <c r="A573" s="24"/>
    </row>
    <row r="574" spans="1:1" ht="15.75" customHeight="1">
      <c r="A574" s="24"/>
    </row>
    <row r="575" spans="1:1" ht="15.75" customHeight="1">
      <c r="A575" s="24"/>
    </row>
    <row r="576" spans="1:1" ht="15.75" customHeight="1">
      <c r="A576" s="24"/>
    </row>
    <row r="577" spans="1:1" ht="15.75" customHeight="1">
      <c r="A577" s="24"/>
    </row>
    <row r="578" spans="1:1" ht="15.75" customHeight="1">
      <c r="A578" s="24"/>
    </row>
    <row r="579" spans="1:1" ht="15.75" customHeight="1">
      <c r="A579" s="24"/>
    </row>
    <row r="580" spans="1:1" ht="15.75" customHeight="1">
      <c r="A580" s="24"/>
    </row>
    <row r="581" spans="1:1" ht="15.75" customHeight="1">
      <c r="A581" s="24"/>
    </row>
    <row r="582" spans="1:1" ht="15.75" customHeight="1">
      <c r="A582" s="24"/>
    </row>
    <row r="583" spans="1:1" ht="15.75" customHeight="1">
      <c r="A583" s="24"/>
    </row>
    <row r="584" spans="1:1" ht="15.75" customHeight="1">
      <c r="A584" s="24"/>
    </row>
    <row r="585" spans="1:1" ht="15.75" customHeight="1">
      <c r="A585" s="24"/>
    </row>
    <row r="586" spans="1:1" ht="15.75" customHeight="1">
      <c r="A586" s="24"/>
    </row>
    <row r="587" spans="1:1" ht="15.75" customHeight="1">
      <c r="A587" s="24"/>
    </row>
    <row r="588" spans="1:1" ht="15.75" customHeight="1">
      <c r="A588" s="24"/>
    </row>
    <row r="589" spans="1:1" ht="15.75" customHeight="1">
      <c r="A589" s="24"/>
    </row>
    <row r="590" spans="1:1" ht="15.75" customHeight="1">
      <c r="A590" s="24"/>
    </row>
    <row r="591" spans="1:1" ht="15.75" customHeight="1">
      <c r="A591" s="24"/>
    </row>
    <row r="592" spans="1:1" ht="15.75" customHeight="1">
      <c r="A592" s="24"/>
    </row>
    <row r="593" spans="1:1" ht="15.75" customHeight="1">
      <c r="A593" s="24"/>
    </row>
    <row r="594" spans="1:1" ht="15.75" customHeight="1">
      <c r="A594" s="24"/>
    </row>
    <row r="595" spans="1:1" ht="15.75" customHeight="1">
      <c r="A595" s="24"/>
    </row>
    <row r="596" spans="1:1" ht="15.75" customHeight="1">
      <c r="A596" s="24"/>
    </row>
    <row r="597" spans="1:1" ht="15.75" customHeight="1">
      <c r="A597" s="24"/>
    </row>
    <row r="598" spans="1:1" ht="15.75" customHeight="1">
      <c r="A598" s="24"/>
    </row>
    <row r="599" spans="1:1" ht="15.75" customHeight="1">
      <c r="A599" s="24"/>
    </row>
    <row r="600" spans="1:1" ht="15.75" customHeight="1">
      <c r="A600" s="24"/>
    </row>
    <row r="601" spans="1:1" ht="15.75" customHeight="1">
      <c r="A601" s="24"/>
    </row>
    <row r="602" spans="1:1" ht="15.75" customHeight="1">
      <c r="A602" s="24"/>
    </row>
    <row r="603" spans="1:1" ht="15.75" customHeight="1">
      <c r="A603" s="24"/>
    </row>
    <row r="604" spans="1:1" ht="15.75" customHeight="1">
      <c r="A604" s="24"/>
    </row>
    <row r="605" spans="1:1" ht="15.75" customHeight="1">
      <c r="A605" s="24"/>
    </row>
    <row r="606" spans="1:1" ht="15.75" customHeight="1">
      <c r="A606" s="24"/>
    </row>
    <row r="607" spans="1:1" ht="15.75" customHeight="1">
      <c r="A607" s="24"/>
    </row>
    <row r="608" spans="1:1" ht="15.75" customHeight="1">
      <c r="A608" s="24"/>
    </row>
    <row r="609" spans="1:1" ht="15.75" customHeight="1">
      <c r="A609" s="24"/>
    </row>
    <row r="610" spans="1:1" ht="15.75" customHeight="1">
      <c r="A610" s="24"/>
    </row>
    <row r="611" spans="1:1" ht="15.75" customHeight="1">
      <c r="A611" s="24"/>
    </row>
    <row r="612" spans="1:1" ht="15.75" customHeight="1">
      <c r="A612" s="24"/>
    </row>
    <row r="613" spans="1:1" ht="15.75" customHeight="1">
      <c r="A613" s="24"/>
    </row>
    <row r="614" spans="1:1" ht="15.75" customHeight="1">
      <c r="A614" s="24"/>
    </row>
    <row r="615" spans="1:1" ht="15.75" customHeight="1">
      <c r="A615" s="24"/>
    </row>
    <row r="616" spans="1:1" ht="15.75" customHeight="1">
      <c r="A616" s="24"/>
    </row>
    <row r="617" spans="1:1" ht="15.75" customHeight="1">
      <c r="A617" s="24"/>
    </row>
    <row r="618" spans="1:1" ht="15.75" customHeight="1">
      <c r="A618" s="24"/>
    </row>
    <row r="619" spans="1:1" ht="15.75" customHeight="1">
      <c r="A619" s="24"/>
    </row>
    <row r="620" spans="1:1" ht="15.75" customHeight="1">
      <c r="A620" s="24"/>
    </row>
    <row r="621" spans="1:1" ht="15.75" customHeight="1">
      <c r="A621" s="24"/>
    </row>
    <row r="622" spans="1:1" ht="15.75" customHeight="1">
      <c r="A622" s="24"/>
    </row>
    <row r="623" spans="1:1" ht="15.75" customHeight="1">
      <c r="A623" s="24"/>
    </row>
    <row r="624" spans="1:1" ht="15.75" customHeight="1">
      <c r="A624" s="24"/>
    </row>
    <row r="625" spans="1:1" ht="15.75" customHeight="1">
      <c r="A625" s="24"/>
    </row>
    <row r="626" spans="1:1" ht="15.75" customHeight="1">
      <c r="A626" s="24"/>
    </row>
    <row r="627" spans="1:1" ht="15.75" customHeight="1">
      <c r="A627" s="24"/>
    </row>
    <row r="628" spans="1:1" ht="15.75" customHeight="1">
      <c r="A628" s="24"/>
    </row>
    <row r="629" spans="1:1" ht="15.75" customHeight="1">
      <c r="A629" s="24"/>
    </row>
    <row r="630" spans="1:1" ht="15.75" customHeight="1">
      <c r="A630" s="24"/>
    </row>
    <row r="631" spans="1:1" ht="15.75" customHeight="1">
      <c r="A631" s="24"/>
    </row>
    <row r="632" spans="1:1" ht="15.75" customHeight="1">
      <c r="A632" s="24"/>
    </row>
    <row r="633" spans="1:1" ht="15.75" customHeight="1">
      <c r="A633" s="24"/>
    </row>
    <row r="634" spans="1:1" ht="15.75" customHeight="1">
      <c r="A634" s="24"/>
    </row>
    <row r="635" spans="1:1" ht="15.75" customHeight="1">
      <c r="A635" s="24"/>
    </row>
    <row r="636" spans="1:1" ht="15.75" customHeight="1">
      <c r="A636" s="24"/>
    </row>
    <row r="637" spans="1:1" ht="15.75" customHeight="1">
      <c r="A637" s="24"/>
    </row>
    <row r="638" spans="1:1" ht="15.75" customHeight="1">
      <c r="A638" s="24"/>
    </row>
    <row r="639" spans="1:1" ht="15.75" customHeight="1">
      <c r="A639" s="24"/>
    </row>
    <row r="640" spans="1:1" ht="15.75" customHeight="1">
      <c r="A640" s="24"/>
    </row>
    <row r="641" spans="1:1" ht="15.75" customHeight="1">
      <c r="A641" s="24"/>
    </row>
    <row r="642" spans="1:1" ht="15.75" customHeight="1">
      <c r="A642" s="24"/>
    </row>
    <row r="643" spans="1:1" ht="15.75" customHeight="1">
      <c r="A643" s="24"/>
    </row>
    <row r="644" spans="1:1" ht="15.75" customHeight="1">
      <c r="A644" s="24"/>
    </row>
    <row r="645" spans="1:1" ht="15.75" customHeight="1">
      <c r="A645" s="24"/>
    </row>
    <row r="646" spans="1:1" ht="15.75" customHeight="1">
      <c r="A646" s="24"/>
    </row>
    <row r="647" spans="1:1" ht="15.75" customHeight="1">
      <c r="A647" s="24"/>
    </row>
    <row r="648" spans="1:1" ht="15.75" customHeight="1">
      <c r="A648" s="24"/>
    </row>
    <row r="649" spans="1:1" ht="15.75" customHeight="1">
      <c r="A649" s="24"/>
    </row>
    <row r="650" spans="1:1" ht="15.75" customHeight="1">
      <c r="A650" s="24"/>
    </row>
    <row r="651" spans="1:1" ht="15.75" customHeight="1">
      <c r="A651" s="24"/>
    </row>
    <row r="652" spans="1:1" ht="15.75" customHeight="1">
      <c r="A652" s="24"/>
    </row>
    <row r="653" spans="1:1" ht="15.75" customHeight="1">
      <c r="A653" s="24"/>
    </row>
    <row r="654" spans="1:1" ht="15.75" customHeight="1">
      <c r="A654" s="24"/>
    </row>
    <row r="655" spans="1:1" ht="15.75" customHeight="1">
      <c r="A655" s="24"/>
    </row>
    <row r="656" spans="1:1" ht="15.75" customHeight="1">
      <c r="A656" s="24"/>
    </row>
    <row r="657" spans="1:1" ht="15.75" customHeight="1">
      <c r="A657" s="24"/>
    </row>
    <row r="658" spans="1:1" ht="15.75" customHeight="1">
      <c r="A658" s="24"/>
    </row>
    <row r="659" spans="1:1" ht="15.75" customHeight="1">
      <c r="A659" s="24"/>
    </row>
    <row r="660" spans="1:1" ht="15.75" customHeight="1">
      <c r="A660" s="24"/>
    </row>
    <row r="661" spans="1:1" ht="15.75" customHeight="1">
      <c r="A661" s="24"/>
    </row>
    <row r="662" spans="1:1" ht="15.75" customHeight="1">
      <c r="A662" s="24"/>
    </row>
    <row r="663" spans="1:1" ht="15.75" customHeight="1">
      <c r="A663" s="24"/>
    </row>
    <row r="664" spans="1:1" ht="15.75" customHeight="1">
      <c r="A664" s="24"/>
    </row>
    <row r="665" spans="1:1" ht="15.75" customHeight="1">
      <c r="A665" s="24"/>
    </row>
    <row r="666" spans="1:1" ht="15.75" customHeight="1">
      <c r="A666" s="24"/>
    </row>
    <row r="667" spans="1:1" ht="15.75" customHeight="1">
      <c r="A667" s="24"/>
    </row>
    <row r="668" spans="1:1" ht="15.75" customHeight="1">
      <c r="A668" s="24"/>
    </row>
    <row r="669" spans="1:1" ht="15.75" customHeight="1">
      <c r="A669" s="24"/>
    </row>
    <row r="670" spans="1:1" ht="15.75" customHeight="1">
      <c r="A670" s="24"/>
    </row>
    <row r="671" spans="1:1" ht="15.75" customHeight="1">
      <c r="A671" s="24"/>
    </row>
    <row r="672" spans="1:1" ht="15.75" customHeight="1">
      <c r="A672" s="24"/>
    </row>
    <row r="673" spans="1:1" ht="15.75" customHeight="1">
      <c r="A673" s="24"/>
    </row>
    <row r="674" spans="1:1" ht="15.75" customHeight="1">
      <c r="A674" s="24"/>
    </row>
    <row r="675" spans="1:1" ht="15.75" customHeight="1">
      <c r="A675" s="24"/>
    </row>
    <row r="676" spans="1:1" ht="15.75" customHeight="1">
      <c r="A676" s="24"/>
    </row>
    <row r="677" spans="1:1" ht="15.75" customHeight="1">
      <c r="A677" s="24"/>
    </row>
    <row r="678" spans="1:1" ht="15.75" customHeight="1">
      <c r="A678" s="24"/>
    </row>
    <row r="679" spans="1:1" ht="15.75" customHeight="1">
      <c r="A679" s="24"/>
    </row>
    <row r="680" spans="1:1" ht="15.75" customHeight="1">
      <c r="A680" s="24"/>
    </row>
    <row r="681" spans="1:1" ht="15.75" customHeight="1">
      <c r="A681" s="24"/>
    </row>
    <row r="682" spans="1:1" ht="15.75" customHeight="1">
      <c r="A682" s="24"/>
    </row>
    <row r="683" spans="1:1" ht="15.75" customHeight="1">
      <c r="A683" s="24"/>
    </row>
    <row r="684" spans="1:1" ht="15.75" customHeight="1">
      <c r="A684" s="24"/>
    </row>
    <row r="685" spans="1:1" ht="15.75" customHeight="1">
      <c r="A685" s="24"/>
    </row>
    <row r="686" spans="1:1" ht="15.75" customHeight="1">
      <c r="A686" s="24"/>
    </row>
    <row r="687" spans="1:1" ht="15.75" customHeight="1">
      <c r="A687" s="24"/>
    </row>
    <row r="688" spans="1:1" ht="15.75" customHeight="1">
      <c r="A688" s="24"/>
    </row>
    <row r="689" spans="1:1" ht="15.75" customHeight="1">
      <c r="A689" s="24"/>
    </row>
    <row r="690" spans="1:1" ht="15.75" customHeight="1">
      <c r="A690" s="24"/>
    </row>
    <row r="691" spans="1:1" ht="15.75" customHeight="1">
      <c r="A691" s="24"/>
    </row>
    <row r="692" spans="1:1" ht="15.75" customHeight="1">
      <c r="A692" s="24"/>
    </row>
    <row r="693" spans="1:1" ht="15.75" customHeight="1">
      <c r="A693" s="24"/>
    </row>
    <row r="694" spans="1:1" ht="15.75" customHeight="1">
      <c r="A694" s="24"/>
    </row>
    <row r="695" spans="1:1" ht="15.75" customHeight="1">
      <c r="A695" s="24"/>
    </row>
    <row r="696" spans="1:1" ht="15.75" customHeight="1">
      <c r="A696" s="24"/>
    </row>
    <row r="697" spans="1:1" ht="15.75" customHeight="1">
      <c r="A697" s="24"/>
    </row>
    <row r="698" spans="1:1" ht="15.75" customHeight="1">
      <c r="A698" s="24"/>
    </row>
    <row r="699" spans="1:1" ht="15.75" customHeight="1">
      <c r="A699" s="24"/>
    </row>
    <row r="700" spans="1:1" ht="15.75" customHeight="1">
      <c r="A700" s="24"/>
    </row>
    <row r="701" spans="1:1" ht="15.75" customHeight="1">
      <c r="A701" s="24"/>
    </row>
    <row r="702" spans="1:1" ht="15.75" customHeight="1">
      <c r="A702" s="24"/>
    </row>
    <row r="703" spans="1:1" ht="15.75" customHeight="1">
      <c r="A703" s="24"/>
    </row>
    <row r="704" spans="1:1" ht="15.75" customHeight="1">
      <c r="A704" s="24"/>
    </row>
    <row r="705" spans="1:1" ht="15.75" customHeight="1">
      <c r="A705" s="24"/>
    </row>
    <row r="706" spans="1:1" ht="15.75" customHeight="1">
      <c r="A706" s="24"/>
    </row>
    <row r="707" spans="1:1" ht="15.75" customHeight="1">
      <c r="A707" s="24"/>
    </row>
    <row r="708" spans="1:1" ht="15.75" customHeight="1">
      <c r="A708" s="24"/>
    </row>
    <row r="709" spans="1:1" ht="15.75" customHeight="1">
      <c r="A709" s="24"/>
    </row>
    <row r="710" spans="1:1" ht="15.75" customHeight="1">
      <c r="A710" s="24"/>
    </row>
    <row r="711" spans="1:1" ht="15.75" customHeight="1">
      <c r="A711" s="24"/>
    </row>
    <row r="712" spans="1:1" ht="15.75" customHeight="1">
      <c r="A712" s="24"/>
    </row>
    <row r="713" spans="1:1" ht="15.75" customHeight="1">
      <c r="A713" s="24"/>
    </row>
    <row r="714" spans="1:1" ht="15.75" customHeight="1">
      <c r="A714" s="24"/>
    </row>
    <row r="715" spans="1:1" ht="15.75" customHeight="1">
      <c r="A715" s="24"/>
    </row>
    <row r="716" spans="1:1" ht="15.75" customHeight="1">
      <c r="A716" s="24"/>
    </row>
    <row r="717" spans="1:1" ht="15.75" customHeight="1">
      <c r="A717" s="24"/>
    </row>
    <row r="718" spans="1:1" ht="15.75" customHeight="1">
      <c r="A718" s="24"/>
    </row>
    <row r="719" spans="1:1" ht="15.75" customHeight="1">
      <c r="A719" s="24"/>
    </row>
    <row r="720" spans="1:1" ht="15.75" customHeight="1">
      <c r="A720" s="24"/>
    </row>
    <row r="721" spans="1:1" ht="15.75" customHeight="1">
      <c r="A721" s="24"/>
    </row>
    <row r="722" spans="1:1" ht="15.75" customHeight="1">
      <c r="A722" s="24"/>
    </row>
    <row r="723" spans="1:1" ht="15.75" customHeight="1">
      <c r="A723" s="24"/>
    </row>
    <row r="724" spans="1:1" ht="15.75" customHeight="1">
      <c r="A724" s="24"/>
    </row>
    <row r="725" spans="1:1" ht="15.75" customHeight="1">
      <c r="A725" s="24"/>
    </row>
    <row r="726" spans="1:1" ht="15.75" customHeight="1">
      <c r="A726" s="24"/>
    </row>
    <row r="727" spans="1:1" ht="15.75" customHeight="1">
      <c r="A727" s="24"/>
    </row>
    <row r="728" spans="1:1" ht="15.75" customHeight="1">
      <c r="A728" s="24"/>
    </row>
    <row r="729" spans="1:1" ht="15.75" customHeight="1">
      <c r="A729" s="24"/>
    </row>
    <row r="730" spans="1:1" ht="15.75" customHeight="1">
      <c r="A730" s="24"/>
    </row>
    <row r="731" spans="1:1" ht="15.75" customHeight="1">
      <c r="A731" s="24"/>
    </row>
    <row r="732" spans="1:1" ht="15.75" customHeight="1">
      <c r="A732" s="24"/>
    </row>
    <row r="733" spans="1:1" ht="15.75" customHeight="1">
      <c r="A733" s="24"/>
    </row>
    <row r="734" spans="1:1" ht="15.75" customHeight="1">
      <c r="A734" s="24"/>
    </row>
    <row r="735" spans="1:1" ht="15.75" customHeight="1">
      <c r="A735" s="24"/>
    </row>
    <row r="736" spans="1:1" ht="15.75" customHeight="1">
      <c r="A736" s="24"/>
    </row>
    <row r="737" spans="1:1" ht="15.75" customHeight="1">
      <c r="A737" s="24"/>
    </row>
    <row r="738" spans="1:1" ht="15.75" customHeight="1">
      <c r="A738" s="24"/>
    </row>
    <row r="739" spans="1:1" ht="15.75" customHeight="1">
      <c r="A739" s="24"/>
    </row>
    <row r="740" spans="1:1" ht="15.75" customHeight="1">
      <c r="A740" s="24"/>
    </row>
    <row r="741" spans="1:1" ht="15.75" customHeight="1">
      <c r="A741" s="24"/>
    </row>
    <row r="742" spans="1:1" ht="15.75" customHeight="1">
      <c r="A742" s="24"/>
    </row>
    <row r="743" spans="1:1" ht="15.75" customHeight="1">
      <c r="A743" s="24"/>
    </row>
    <row r="744" spans="1:1" ht="15.75" customHeight="1">
      <c r="A744" s="24"/>
    </row>
    <row r="745" spans="1:1" ht="15.75" customHeight="1">
      <c r="A745" s="24"/>
    </row>
    <row r="746" spans="1:1" ht="15.75" customHeight="1">
      <c r="A746" s="24"/>
    </row>
    <row r="747" spans="1:1" ht="15.75" customHeight="1">
      <c r="A747" s="24"/>
    </row>
    <row r="748" spans="1:1" ht="15.75" customHeight="1">
      <c r="A748" s="24"/>
    </row>
    <row r="749" spans="1:1" ht="15.75" customHeight="1">
      <c r="A749" s="24"/>
    </row>
    <row r="750" spans="1:1" ht="15.75" customHeight="1">
      <c r="A750" s="24"/>
    </row>
    <row r="751" spans="1:1" ht="15.75" customHeight="1">
      <c r="A751" s="24"/>
    </row>
    <row r="752" spans="1:1" ht="15.75" customHeight="1">
      <c r="A752" s="24"/>
    </row>
    <row r="753" spans="1:1" ht="15.75" customHeight="1">
      <c r="A753" s="24"/>
    </row>
    <row r="754" spans="1:1" ht="15.75" customHeight="1">
      <c r="A754" s="24"/>
    </row>
    <row r="755" spans="1:1" ht="15.75" customHeight="1">
      <c r="A755" s="24"/>
    </row>
    <row r="756" spans="1:1" ht="15.75" customHeight="1">
      <c r="A756" s="24"/>
    </row>
    <row r="757" spans="1:1" ht="15.75" customHeight="1">
      <c r="A757" s="24"/>
    </row>
    <row r="758" spans="1:1" ht="15.75" customHeight="1">
      <c r="A758" s="24"/>
    </row>
    <row r="759" spans="1:1" ht="15.75" customHeight="1">
      <c r="A759" s="24"/>
    </row>
    <row r="760" spans="1:1" ht="15.75" customHeight="1">
      <c r="A760" s="24"/>
    </row>
    <row r="761" spans="1:1" ht="15.75" customHeight="1">
      <c r="A761" s="24"/>
    </row>
    <row r="762" spans="1:1" ht="15.75" customHeight="1">
      <c r="A762" s="24"/>
    </row>
    <row r="763" spans="1:1" ht="15.75" customHeight="1">
      <c r="A763" s="24"/>
    </row>
    <row r="764" spans="1:1" ht="15.75" customHeight="1">
      <c r="A764" s="24"/>
    </row>
    <row r="765" spans="1:1" ht="15.75" customHeight="1">
      <c r="A765" s="24"/>
    </row>
    <row r="766" spans="1:1" ht="15.75" customHeight="1">
      <c r="A766" s="24"/>
    </row>
    <row r="767" spans="1:1" ht="15.75" customHeight="1">
      <c r="A767" s="24"/>
    </row>
    <row r="768" spans="1:1" ht="15.75" customHeight="1">
      <c r="A768" s="24"/>
    </row>
    <row r="769" spans="1:1" ht="15.75" customHeight="1">
      <c r="A769" s="24"/>
    </row>
    <row r="770" spans="1:1" ht="15.75" customHeight="1">
      <c r="A770" s="24"/>
    </row>
    <row r="771" spans="1:1" ht="15.75" customHeight="1">
      <c r="A771" s="24"/>
    </row>
    <row r="772" spans="1:1" ht="15.75" customHeight="1">
      <c r="A772" s="24"/>
    </row>
    <row r="773" spans="1:1" ht="15.75" customHeight="1">
      <c r="A773" s="24"/>
    </row>
    <row r="774" spans="1:1" ht="15.75" customHeight="1">
      <c r="A774" s="24"/>
    </row>
    <row r="775" spans="1:1" ht="15.75" customHeight="1">
      <c r="A775" s="24"/>
    </row>
    <row r="776" spans="1:1" ht="15.75" customHeight="1">
      <c r="A776" s="24"/>
    </row>
    <row r="777" spans="1:1" ht="15.75" customHeight="1">
      <c r="A777" s="24"/>
    </row>
    <row r="778" spans="1:1" ht="15.75" customHeight="1">
      <c r="A778" s="24"/>
    </row>
    <row r="779" spans="1:1" ht="15.75" customHeight="1">
      <c r="A779" s="24"/>
    </row>
    <row r="780" spans="1:1" ht="15.75" customHeight="1">
      <c r="A780" s="24"/>
    </row>
    <row r="781" spans="1:1" ht="15.75" customHeight="1">
      <c r="A781" s="24"/>
    </row>
    <row r="782" spans="1:1" ht="15.75" customHeight="1">
      <c r="A782" s="24"/>
    </row>
    <row r="783" spans="1:1" ht="15.75" customHeight="1">
      <c r="A783" s="24"/>
    </row>
    <row r="784" spans="1:1" ht="15.75" customHeight="1">
      <c r="A784" s="24"/>
    </row>
    <row r="785" spans="1:1" ht="15.75" customHeight="1">
      <c r="A785" s="24"/>
    </row>
    <row r="786" spans="1:1" ht="15.75" customHeight="1">
      <c r="A786" s="24"/>
    </row>
    <row r="787" spans="1:1" ht="15.75" customHeight="1">
      <c r="A787" s="24"/>
    </row>
    <row r="788" spans="1:1" ht="15.75" customHeight="1">
      <c r="A788" s="24"/>
    </row>
    <row r="789" spans="1:1" ht="15.75" customHeight="1">
      <c r="A789" s="24"/>
    </row>
    <row r="790" spans="1:1" ht="15.75" customHeight="1">
      <c r="A790" s="24"/>
    </row>
    <row r="791" spans="1:1" ht="15.75" customHeight="1">
      <c r="A791" s="24"/>
    </row>
    <row r="792" spans="1:1" ht="15.75" customHeight="1">
      <c r="A792" s="24"/>
    </row>
    <row r="793" spans="1:1" ht="15.75" customHeight="1">
      <c r="A793" s="24"/>
    </row>
    <row r="794" spans="1:1" ht="15.75" customHeight="1">
      <c r="A794" s="24"/>
    </row>
    <row r="795" spans="1:1" ht="15.75" customHeight="1">
      <c r="A795" s="24"/>
    </row>
    <row r="796" spans="1:1" ht="15.75" customHeight="1">
      <c r="A796" s="24"/>
    </row>
    <row r="797" spans="1:1" ht="15.75" customHeight="1">
      <c r="A797" s="24"/>
    </row>
    <row r="798" spans="1:1" ht="15.75" customHeight="1">
      <c r="A798" s="24"/>
    </row>
    <row r="799" spans="1:1" ht="15.75" customHeight="1">
      <c r="A799" s="24"/>
    </row>
    <row r="800" spans="1:1" ht="15.75" customHeight="1">
      <c r="A800" s="24"/>
    </row>
    <row r="801" spans="1:1" ht="15.75" customHeight="1">
      <c r="A801" s="24"/>
    </row>
    <row r="802" spans="1:1" ht="15.75" customHeight="1">
      <c r="A802" s="24"/>
    </row>
    <row r="803" spans="1:1" ht="15.75" customHeight="1">
      <c r="A803" s="24"/>
    </row>
    <row r="804" spans="1:1" ht="15.75" customHeight="1">
      <c r="A804" s="24"/>
    </row>
    <row r="805" spans="1:1" ht="15.75" customHeight="1">
      <c r="A805" s="24"/>
    </row>
    <row r="806" spans="1:1" ht="15.75" customHeight="1">
      <c r="A806" s="24"/>
    </row>
    <row r="807" spans="1:1" ht="15.75" customHeight="1">
      <c r="A807" s="24"/>
    </row>
    <row r="808" spans="1:1" ht="15.75" customHeight="1">
      <c r="A808" s="24"/>
    </row>
    <row r="809" spans="1:1" ht="15.75" customHeight="1">
      <c r="A809" s="24"/>
    </row>
    <row r="810" spans="1:1" ht="15.75" customHeight="1">
      <c r="A810" s="24"/>
    </row>
    <row r="811" spans="1:1" ht="15.75" customHeight="1">
      <c r="A811" s="24"/>
    </row>
    <row r="812" spans="1:1" ht="15.75" customHeight="1">
      <c r="A812" s="24"/>
    </row>
    <row r="813" spans="1:1" ht="15.75" customHeight="1">
      <c r="A813" s="24"/>
    </row>
    <row r="814" spans="1:1" ht="15.75" customHeight="1">
      <c r="A814" s="24"/>
    </row>
    <row r="815" spans="1:1" ht="15.75" customHeight="1">
      <c r="A815" s="24"/>
    </row>
    <row r="816" spans="1:1" ht="15.75" customHeight="1">
      <c r="A816" s="24"/>
    </row>
    <row r="817" spans="1:1" ht="15.75" customHeight="1">
      <c r="A817" s="24"/>
    </row>
    <row r="818" spans="1:1" ht="15.75" customHeight="1">
      <c r="A818" s="24"/>
    </row>
    <row r="819" spans="1:1" ht="15.75" customHeight="1">
      <c r="A819" s="24"/>
    </row>
    <row r="820" spans="1:1" ht="15.75" customHeight="1">
      <c r="A820" s="24"/>
    </row>
    <row r="821" spans="1:1" ht="15.75" customHeight="1">
      <c r="A821" s="24"/>
    </row>
    <row r="822" spans="1:1" ht="15.75" customHeight="1">
      <c r="A822" s="24"/>
    </row>
    <row r="823" spans="1:1" ht="15.75" customHeight="1">
      <c r="A823" s="24"/>
    </row>
    <row r="824" spans="1:1" ht="15.75" customHeight="1">
      <c r="A824" s="24"/>
    </row>
    <row r="825" spans="1:1" ht="15.75" customHeight="1">
      <c r="A825" s="24"/>
    </row>
    <row r="826" spans="1:1" ht="15.75" customHeight="1">
      <c r="A826" s="24"/>
    </row>
    <row r="827" spans="1:1" ht="15.75" customHeight="1">
      <c r="A827" s="24"/>
    </row>
    <row r="828" spans="1:1" ht="15.75" customHeight="1">
      <c r="A828" s="24"/>
    </row>
    <row r="829" spans="1:1" ht="15.75" customHeight="1">
      <c r="A829" s="24"/>
    </row>
    <row r="830" spans="1:1" ht="15.75" customHeight="1">
      <c r="A830" s="24"/>
    </row>
    <row r="831" spans="1:1" ht="15.75" customHeight="1">
      <c r="A831" s="24"/>
    </row>
    <row r="832" spans="1:1" ht="15.75" customHeight="1">
      <c r="A832" s="24"/>
    </row>
    <row r="833" spans="1:1" ht="15.75" customHeight="1">
      <c r="A833" s="24"/>
    </row>
    <row r="834" spans="1:1" ht="15.75" customHeight="1">
      <c r="A834" s="24"/>
    </row>
    <row r="835" spans="1:1" ht="15.75" customHeight="1">
      <c r="A835" s="24"/>
    </row>
    <row r="836" spans="1:1" ht="15.75" customHeight="1">
      <c r="A836" s="24"/>
    </row>
    <row r="837" spans="1:1" ht="15.75" customHeight="1">
      <c r="A837" s="24"/>
    </row>
    <row r="838" spans="1:1" ht="15.75" customHeight="1">
      <c r="A838" s="24"/>
    </row>
    <row r="839" spans="1:1" ht="15.75" customHeight="1">
      <c r="A839" s="24"/>
    </row>
    <row r="840" spans="1:1" ht="15.75" customHeight="1">
      <c r="A840" s="24"/>
    </row>
    <row r="841" spans="1:1" ht="15.75" customHeight="1">
      <c r="A841" s="24"/>
    </row>
    <row r="842" spans="1:1" ht="15.75" customHeight="1">
      <c r="A842" s="24"/>
    </row>
    <row r="843" spans="1:1" ht="15.75" customHeight="1">
      <c r="A843" s="24"/>
    </row>
    <row r="844" spans="1:1" ht="15.75" customHeight="1">
      <c r="A844" s="24"/>
    </row>
    <row r="845" spans="1:1" ht="15.75" customHeight="1">
      <c r="A845" s="24"/>
    </row>
    <row r="846" spans="1:1" ht="15.75" customHeight="1">
      <c r="A846" s="24"/>
    </row>
    <row r="847" spans="1:1" ht="15.75" customHeight="1">
      <c r="A847" s="24"/>
    </row>
    <row r="848" spans="1:1" ht="15.75" customHeight="1">
      <c r="A848" s="24"/>
    </row>
    <row r="849" spans="1:1" ht="15.75" customHeight="1">
      <c r="A849" s="24"/>
    </row>
    <row r="850" spans="1:1" ht="15.75" customHeight="1">
      <c r="A850" s="24"/>
    </row>
    <row r="851" spans="1:1" ht="15.75" customHeight="1">
      <c r="A851" s="24"/>
    </row>
    <row r="852" spans="1:1" ht="15.75" customHeight="1">
      <c r="A852" s="24"/>
    </row>
    <row r="853" spans="1:1" ht="15.75" customHeight="1">
      <c r="A853" s="24"/>
    </row>
    <row r="854" spans="1:1" ht="15.75" customHeight="1">
      <c r="A854" s="24"/>
    </row>
    <row r="855" spans="1:1" ht="15.75" customHeight="1">
      <c r="A855" s="24"/>
    </row>
    <row r="856" spans="1:1" ht="15.75" customHeight="1">
      <c r="A856" s="24"/>
    </row>
    <row r="857" spans="1:1" ht="15.75" customHeight="1">
      <c r="A857" s="24"/>
    </row>
    <row r="858" spans="1:1" ht="15.75" customHeight="1">
      <c r="A858" s="24"/>
    </row>
    <row r="859" spans="1:1" ht="15.75" customHeight="1">
      <c r="A859" s="24"/>
    </row>
    <row r="860" spans="1:1" ht="15.75" customHeight="1">
      <c r="A860" s="24"/>
    </row>
    <row r="861" spans="1:1" ht="15.75" customHeight="1">
      <c r="A861" s="24"/>
    </row>
    <row r="862" spans="1:1" ht="15.75" customHeight="1">
      <c r="A862" s="24"/>
    </row>
    <row r="863" spans="1:1" ht="15.75" customHeight="1">
      <c r="A863" s="24"/>
    </row>
    <row r="864" spans="1:1" ht="15.75" customHeight="1">
      <c r="A864" s="24"/>
    </row>
    <row r="865" spans="1:1" ht="15.75" customHeight="1">
      <c r="A865" s="24"/>
    </row>
    <row r="866" spans="1:1" ht="15.75" customHeight="1">
      <c r="A866" s="24"/>
    </row>
    <row r="867" spans="1:1" ht="15.75" customHeight="1">
      <c r="A867" s="24"/>
    </row>
    <row r="868" spans="1:1" ht="15.75" customHeight="1">
      <c r="A868" s="24"/>
    </row>
    <row r="869" spans="1:1" ht="15.75" customHeight="1">
      <c r="A869" s="24"/>
    </row>
    <row r="870" spans="1:1" ht="15.75" customHeight="1">
      <c r="A870" s="24"/>
    </row>
    <row r="871" spans="1:1" ht="15.75" customHeight="1">
      <c r="A871" s="24"/>
    </row>
    <row r="872" spans="1:1" ht="15.75" customHeight="1">
      <c r="A872" s="24"/>
    </row>
    <row r="873" spans="1:1" ht="15.75" customHeight="1">
      <c r="A873" s="24"/>
    </row>
    <row r="874" spans="1:1" ht="15.75" customHeight="1">
      <c r="A874" s="24"/>
    </row>
    <row r="875" spans="1:1" ht="15.75" customHeight="1">
      <c r="A875" s="24"/>
    </row>
    <row r="876" spans="1:1" ht="15.75" customHeight="1">
      <c r="A876" s="24"/>
    </row>
    <row r="877" spans="1:1" ht="15.75" customHeight="1">
      <c r="A877" s="24"/>
    </row>
    <row r="878" spans="1:1" ht="15.75" customHeight="1">
      <c r="A878" s="24"/>
    </row>
    <row r="879" spans="1:1" ht="15.75" customHeight="1">
      <c r="A879" s="24"/>
    </row>
    <row r="880" spans="1:1" ht="15.75" customHeight="1">
      <c r="A880" s="24"/>
    </row>
    <row r="881" spans="1:1" ht="15.75" customHeight="1">
      <c r="A881" s="24"/>
    </row>
    <row r="882" spans="1:1" ht="15.75" customHeight="1">
      <c r="A882" s="24"/>
    </row>
    <row r="883" spans="1:1" ht="15.75" customHeight="1">
      <c r="A883" s="24"/>
    </row>
    <row r="884" spans="1:1" ht="15.75" customHeight="1">
      <c r="A884" s="24"/>
    </row>
    <row r="885" spans="1:1" ht="15.75" customHeight="1">
      <c r="A885" s="24"/>
    </row>
    <row r="886" spans="1:1" ht="15.75" customHeight="1">
      <c r="A886" s="24"/>
    </row>
    <row r="887" spans="1:1" ht="15.75" customHeight="1">
      <c r="A887" s="24"/>
    </row>
    <row r="888" spans="1:1" ht="15.75" customHeight="1">
      <c r="A888" s="24"/>
    </row>
    <row r="889" spans="1:1" ht="15.75" customHeight="1">
      <c r="A889" s="24"/>
    </row>
    <row r="890" spans="1:1" ht="15.75" customHeight="1">
      <c r="A890" s="24"/>
    </row>
    <row r="891" spans="1:1" ht="15.75" customHeight="1">
      <c r="A891" s="24"/>
    </row>
    <row r="892" spans="1:1" ht="15.75" customHeight="1">
      <c r="A892" s="24"/>
    </row>
    <row r="893" spans="1:1" ht="15.75" customHeight="1">
      <c r="A893" s="24"/>
    </row>
    <row r="894" spans="1:1" ht="15.75" customHeight="1">
      <c r="A894" s="24"/>
    </row>
    <row r="895" spans="1:1" ht="15.75" customHeight="1">
      <c r="A895" s="24"/>
    </row>
    <row r="896" spans="1:1" ht="15.75" customHeight="1">
      <c r="A896" s="24"/>
    </row>
    <row r="897" spans="1:1" ht="15.75" customHeight="1">
      <c r="A897" s="24"/>
    </row>
    <row r="898" spans="1:1" ht="15.75" customHeight="1">
      <c r="A898" s="24"/>
    </row>
    <row r="899" spans="1:1" ht="15.75" customHeight="1">
      <c r="A899" s="24"/>
    </row>
    <row r="900" spans="1:1" ht="15.75" customHeight="1">
      <c r="A900" s="24"/>
    </row>
    <row r="901" spans="1:1" ht="15.75" customHeight="1">
      <c r="A901" s="24"/>
    </row>
    <row r="902" spans="1:1" ht="15.75" customHeight="1">
      <c r="A902" s="24"/>
    </row>
    <row r="903" spans="1:1" ht="15.75" customHeight="1">
      <c r="A903" s="24"/>
    </row>
    <row r="904" spans="1:1" ht="15.75" customHeight="1">
      <c r="A904" s="24"/>
    </row>
    <row r="905" spans="1:1" ht="15.75" customHeight="1">
      <c r="A905" s="24"/>
    </row>
    <row r="906" spans="1:1" ht="15.75" customHeight="1">
      <c r="A906" s="24"/>
    </row>
    <row r="907" spans="1:1" ht="15.75" customHeight="1">
      <c r="A907" s="24"/>
    </row>
    <row r="908" spans="1:1" ht="15.75" customHeight="1">
      <c r="A908" s="24"/>
    </row>
    <row r="909" spans="1:1" ht="15.75" customHeight="1">
      <c r="A909" s="24"/>
    </row>
    <row r="910" spans="1:1" ht="15.75" customHeight="1">
      <c r="A910" s="24"/>
    </row>
    <row r="911" spans="1:1" ht="15.75" customHeight="1">
      <c r="A911" s="24"/>
    </row>
    <row r="912" spans="1:1" ht="15.75" customHeight="1">
      <c r="A912" s="24"/>
    </row>
    <row r="913" spans="1:1" ht="15.75" customHeight="1">
      <c r="A913" s="24"/>
    </row>
    <row r="914" spans="1:1" ht="15.75" customHeight="1">
      <c r="A914" s="24"/>
    </row>
    <row r="915" spans="1:1" ht="15.75" customHeight="1">
      <c r="A915" s="24"/>
    </row>
    <row r="916" spans="1:1" ht="15.75" customHeight="1">
      <c r="A916" s="24"/>
    </row>
    <row r="917" spans="1:1" ht="15.75" customHeight="1">
      <c r="A917" s="24"/>
    </row>
    <row r="918" spans="1:1" ht="15.75" customHeight="1">
      <c r="A918" s="24"/>
    </row>
    <row r="919" spans="1:1" ht="15.75" customHeight="1">
      <c r="A919" s="24"/>
    </row>
    <row r="920" spans="1:1" ht="15.75" customHeight="1">
      <c r="A920" s="24"/>
    </row>
    <row r="921" spans="1:1" ht="15.75" customHeight="1">
      <c r="A921" s="24"/>
    </row>
    <row r="922" spans="1:1" ht="15.75" customHeight="1">
      <c r="A922" s="24"/>
    </row>
    <row r="923" spans="1:1" ht="15.75" customHeight="1">
      <c r="A923" s="24"/>
    </row>
    <row r="924" spans="1:1" ht="15.75" customHeight="1">
      <c r="A924" s="24"/>
    </row>
    <row r="925" spans="1:1" ht="15.75" customHeight="1">
      <c r="A925" s="24"/>
    </row>
    <row r="926" spans="1:1" ht="15.75" customHeight="1">
      <c r="A926" s="24"/>
    </row>
    <row r="927" spans="1:1" ht="15.75" customHeight="1">
      <c r="A927" s="24"/>
    </row>
    <row r="928" spans="1:1" ht="15.75" customHeight="1">
      <c r="A928" s="24"/>
    </row>
    <row r="929" spans="1:1" ht="15.75" customHeight="1">
      <c r="A929" s="24"/>
    </row>
    <row r="930" spans="1:1" ht="15.75" customHeight="1">
      <c r="A930" s="24"/>
    </row>
    <row r="931" spans="1:1" ht="15.75" customHeight="1">
      <c r="A931" s="24"/>
    </row>
    <row r="932" spans="1:1" ht="15.75" customHeight="1">
      <c r="A932" s="24"/>
    </row>
    <row r="933" spans="1:1" ht="15.75" customHeight="1">
      <c r="A933" s="24"/>
    </row>
    <row r="934" spans="1:1" ht="15.75" customHeight="1">
      <c r="A934" s="24"/>
    </row>
    <row r="935" spans="1:1" ht="15.75" customHeight="1">
      <c r="A935" s="24"/>
    </row>
    <row r="936" spans="1:1" ht="15.75" customHeight="1">
      <c r="A936" s="24"/>
    </row>
    <row r="937" spans="1:1" ht="15.75" customHeight="1">
      <c r="A937" s="24"/>
    </row>
    <row r="938" spans="1:1" ht="15.75" customHeight="1">
      <c r="A938" s="24"/>
    </row>
    <row r="939" spans="1:1" ht="15.75" customHeight="1">
      <c r="A939" s="24"/>
    </row>
    <row r="940" spans="1:1" ht="15.75" customHeight="1">
      <c r="A940" s="24"/>
    </row>
    <row r="941" spans="1:1" ht="15.75" customHeight="1">
      <c r="A941" s="24"/>
    </row>
    <row r="942" spans="1:1" ht="15.75" customHeight="1">
      <c r="A942" s="24"/>
    </row>
    <row r="943" spans="1:1" ht="15.75" customHeight="1">
      <c r="A943" s="24"/>
    </row>
    <row r="944" spans="1:1" ht="15.75" customHeight="1">
      <c r="A944" s="24"/>
    </row>
    <row r="945" spans="1:1" ht="15.75" customHeight="1">
      <c r="A945" s="24"/>
    </row>
    <row r="946" spans="1:1" ht="15.75" customHeight="1">
      <c r="A946" s="24"/>
    </row>
    <row r="947" spans="1:1" ht="15.75" customHeight="1">
      <c r="A947" s="24"/>
    </row>
    <row r="948" spans="1:1" ht="15.75" customHeight="1">
      <c r="A948" s="24"/>
    </row>
    <row r="949" spans="1:1" ht="15.75" customHeight="1">
      <c r="A949" s="24"/>
    </row>
    <row r="950" spans="1:1" ht="15.75" customHeight="1">
      <c r="A950" s="24"/>
    </row>
    <row r="951" spans="1:1" ht="15.75" customHeight="1">
      <c r="A951" s="24"/>
    </row>
    <row r="952" spans="1:1" ht="15.75" customHeight="1">
      <c r="A952" s="24"/>
    </row>
    <row r="953" spans="1:1" ht="15.75" customHeight="1">
      <c r="A953" s="24"/>
    </row>
    <row r="954" spans="1:1" ht="15.75" customHeight="1">
      <c r="A954" s="24"/>
    </row>
    <row r="955" spans="1:1" ht="15.75" customHeight="1">
      <c r="A955" s="24"/>
    </row>
    <row r="956" spans="1:1" ht="15.75" customHeight="1">
      <c r="A956" s="24"/>
    </row>
    <row r="957" spans="1:1" ht="15.75" customHeight="1">
      <c r="A957" s="24"/>
    </row>
    <row r="958" spans="1:1" ht="15.75" customHeight="1">
      <c r="A958" s="24"/>
    </row>
    <row r="959" spans="1:1" ht="15.75" customHeight="1">
      <c r="A959" s="24"/>
    </row>
    <row r="960" spans="1:1" ht="15.75" customHeight="1">
      <c r="A960" s="24"/>
    </row>
    <row r="961" spans="1:1" ht="15.75" customHeight="1">
      <c r="A961" s="24"/>
    </row>
    <row r="962" spans="1:1" ht="15.75" customHeight="1">
      <c r="A962" s="24"/>
    </row>
    <row r="963" spans="1:1" ht="15.75" customHeight="1">
      <c r="A963" s="24"/>
    </row>
    <row r="964" spans="1:1" ht="15.75" customHeight="1">
      <c r="A964" s="24"/>
    </row>
    <row r="965" spans="1:1" ht="15.75" customHeight="1">
      <c r="A965" s="24"/>
    </row>
    <row r="966" spans="1:1" ht="15.75" customHeight="1">
      <c r="A966" s="24"/>
    </row>
    <row r="967" spans="1:1" ht="15.75" customHeight="1">
      <c r="A967" s="24"/>
    </row>
    <row r="968" spans="1:1" ht="15.75" customHeight="1">
      <c r="A968" s="24"/>
    </row>
    <row r="969" spans="1:1" ht="15.75" customHeight="1">
      <c r="A969" s="24"/>
    </row>
    <row r="970" spans="1:1" ht="15.75" customHeight="1">
      <c r="A970" s="24"/>
    </row>
    <row r="971" spans="1:1" ht="15.75" customHeight="1">
      <c r="A971" s="24"/>
    </row>
    <row r="972" spans="1:1" ht="15.75" customHeight="1">
      <c r="A972" s="24"/>
    </row>
    <row r="973" spans="1:1" ht="15.75" customHeight="1">
      <c r="A973" s="24"/>
    </row>
    <row r="974" spans="1:1" ht="15.75" customHeight="1">
      <c r="A974" s="24"/>
    </row>
    <row r="975" spans="1:1" ht="15.75" customHeight="1">
      <c r="A975" s="24"/>
    </row>
    <row r="976" spans="1:1" ht="15.75" customHeight="1">
      <c r="A976" s="24"/>
    </row>
    <row r="977" spans="1:1" ht="15.75" customHeight="1">
      <c r="A977" s="24"/>
    </row>
    <row r="978" spans="1:1" ht="15.75" customHeight="1">
      <c r="A978" s="24"/>
    </row>
    <row r="979" spans="1:1" ht="15.75" customHeight="1">
      <c r="A979" s="24"/>
    </row>
    <row r="980" spans="1:1" ht="15.75" customHeight="1">
      <c r="A980" s="24"/>
    </row>
    <row r="981" spans="1:1" ht="15.75" customHeight="1">
      <c r="A981" s="24"/>
    </row>
    <row r="982" spans="1:1" ht="15.75" customHeight="1">
      <c r="A982" s="24"/>
    </row>
    <row r="983" spans="1:1" ht="15.75" customHeight="1">
      <c r="A983" s="24"/>
    </row>
    <row r="984" spans="1:1" ht="15.75" customHeight="1">
      <c r="A984" s="24"/>
    </row>
    <row r="985" spans="1:1" ht="15.75" customHeight="1">
      <c r="A985" s="24"/>
    </row>
    <row r="986" spans="1:1" ht="15.75" customHeight="1">
      <c r="A986" s="24"/>
    </row>
    <row r="987" spans="1:1" ht="15.75" customHeight="1">
      <c r="A987" s="24"/>
    </row>
    <row r="988" spans="1:1" ht="15.75" customHeight="1">
      <c r="A988" s="24"/>
    </row>
    <row r="989" spans="1:1" ht="15.75" customHeight="1">
      <c r="A989" s="24"/>
    </row>
    <row r="990" spans="1:1" ht="15.75" customHeight="1">
      <c r="A990" s="24"/>
    </row>
    <row r="991" spans="1:1" ht="15.75" customHeight="1">
      <c r="A991" s="24"/>
    </row>
    <row r="992" spans="1:1" ht="15.75" customHeight="1">
      <c r="A992" s="24"/>
    </row>
    <row r="993" spans="1:1" ht="15.75" customHeight="1">
      <c r="A993" s="24"/>
    </row>
    <row r="994" spans="1:1" ht="15.75" customHeight="1">
      <c r="A994" s="24"/>
    </row>
    <row r="995" spans="1:1" ht="15.75" customHeight="1">
      <c r="A995" s="24"/>
    </row>
    <row r="996" spans="1:1" ht="15.75" customHeight="1">
      <c r="A996" s="24"/>
    </row>
    <row r="997" spans="1:1" ht="15.75" customHeight="1">
      <c r="A997" s="24"/>
    </row>
    <row r="998" spans="1:1" ht="15.75" customHeight="1">
      <c r="A998" s="24"/>
    </row>
    <row r="999" spans="1:1" ht="15.75" customHeight="1">
      <c r="A999" s="24"/>
    </row>
    <row r="1000" spans="1:1" ht="15.75" customHeight="1">
      <c r="A1000" s="24"/>
    </row>
  </sheetData>
  <autoFilter ref="A1:D1" xr:uid="{00000000-0009-0000-0000-000005000000}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Q1000"/>
  <sheetViews>
    <sheetView workbookViewId="0">
      <selection activeCell="C1" sqref="C1:D1"/>
    </sheetView>
  </sheetViews>
  <sheetFormatPr baseColWidth="10" defaultColWidth="12.59765625" defaultRowHeight="15" customHeight="1"/>
  <cols>
    <col min="1" max="1" width="14.09765625" customWidth="1"/>
    <col min="2" max="2" width="13" customWidth="1"/>
    <col min="3" max="3" width="21" customWidth="1"/>
    <col min="4" max="4" width="21.5" customWidth="1"/>
    <col min="5" max="17" width="11" customWidth="1"/>
  </cols>
  <sheetData>
    <row r="1" spans="1:17" ht="45" customHeight="1">
      <c r="A1" s="2" t="s">
        <v>463</v>
      </c>
      <c r="B1" s="2" t="s">
        <v>7</v>
      </c>
      <c r="C1" s="2" t="s">
        <v>507</v>
      </c>
      <c r="D1" s="2" t="s">
        <v>505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ht="14.25" customHeight="1">
      <c r="A2" s="50">
        <v>1</v>
      </c>
      <c r="B2" s="8" t="s">
        <v>11</v>
      </c>
      <c r="C2" s="9">
        <v>31</v>
      </c>
      <c r="D2" s="9">
        <v>8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ht="14.25" customHeight="1">
      <c r="A3" s="50">
        <v>2</v>
      </c>
      <c r="B3" s="8" t="s">
        <v>15</v>
      </c>
      <c r="C3" s="9">
        <v>70</v>
      </c>
      <c r="D3" s="9">
        <v>17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17" ht="14.25" customHeight="1">
      <c r="A4" s="50">
        <v>3</v>
      </c>
      <c r="B4" s="8" t="s">
        <v>17</v>
      </c>
      <c r="C4" s="9">
        <v>75</v>
      </c>
      <c r="D4" s="9">
        <v>11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5" spans="1:17" ht="14.25" customHeight="1">
      <c r="A5" s="50">
        <v>4</v>
      </c>
      <c r="B5" s="8" t="s">
        <v>20</v>
      </c>
      <c r="C5" s="9">
        <v>62</v>
      </c>
      <c r="D5" s="9">
        <v>31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ht="14.25" customHeight="1">
      <c r="A6" s="50">
        <v>5</v>
      </c>
      <c r="B6" s="8" t="s">
        <v>263</v>
      </c>
      <c r="C6" s="9">
        <v>110</v>
      </c>
      <c r="D6" s="9">
        <v>42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</row>
    <row r="7" spans="1:17" ht="14.25" customHeight="1">
      <c r="A7" s="50">
        <v>6</v>
      </c>
      <c r="B7" s="8" t="s">
        <v>25</v>
      </c>
      <c r="C7" s="9">
        <v>40</v>
      </c>
      <c r="D7" s="9">
        <v>25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</row>
    <row r="8" spans="1:17" ht="14.25" customHeight="1">
      <c r="A8" s="50">
        <v>7</v>
      </c>
      <c r="B8" s="8" t="s">
        <v>27</v>
      </c>
      <c r="C8" s="9">
        <v>31</v>
      </c>
      <c r="D8" s="9">
        <v>8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</row>
    <row r="9" spans="1:17" ht="14.25" customHeight="1">
      <c r="A9" s="50">
        <v>8</v>
      </c>
      <c r="B9" s="8" t="s">
        <v>29</v>
      </c>
      <c r="C9" s="9">
        <v>50</v>
      </c>
      <c r="D9" s="9">
        <v>24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</row>
    <row r="10" spans="1:17" ht="14.25" customHeight="1">
      <c r="A10" s="50">
        <v>9</v>
      </c>
      <c r="B10" s="8" t="s">
        <v>31</v>
      </c>
      <c r="C10" s="9">
        <v>59</v>
      </c>
      <c r="D10" s="9">
        <v>10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</row>
    <row r="11" spans="1:17" ht="14.25" customHeight="1">
      <c r="A11" s="50">
        <v>10</v>
      </c>
      <c r="B11" s="8" t="s">
        <v>323</v>
      </c>
      <c r="C11" s="9">
        <v>52.327143460859631</v>
      </c>
      <c r="D11" s="9">
        <v>28.793240109882085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</row>
    <row r="12" spans="1:17" ht="14.25" customHeight="1">
      <c r="A12" s="50">
        <v>11</v>
      </c>
      <c r="B12" s="8" t="s">
        <v>34</v>
      </c>
      <c r="C12" s="9">
        <v>63</v>
      </c>
      <c r="D12" s="9">
        <v>16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</row>
    <row r="13" spans="1:17" ht="14.25" customHeight="1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</row>
    <row r="14" spans="1:17" ht="14.2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</row>
    <row r="15" spans="1:17" ht="14.25" customHeight="1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</row>
    <row r="16" spans="1:17" ht="14.2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</row>
    <row r="17" spans="1:17" ht="14.2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</row>
    <row r="18" spans="1:17" ht="14.2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</row>
    <row r="19" spans="1:17" ht="14.2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</row>
    <row r="20" spans="1:17" ht="14.2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</row>
    <row r="21" spans="1:17" ht="14.2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</row>
    <row r="22" spans="1:17" ht="14.2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</row>
    <row r="23" spans="1:17" ht="14.2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</row>
    <row r="24" spans="1:17" ht="14.2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</row>
    <row r="25" spans="1:17" ht="14.2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</row>
    <row r="26" spans="1:17" ht="14.2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4.2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</row>
    <row r="28" spans="1:17" ht="14.2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</row>
    <row r="29" spans="1:17" ht="14.2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</row>
    <row r="30" spans="1:17" ht="14.2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</row>
    <row r="31" spans="1:17" ht="14.2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</row>
    <row r="32" spans="1:17" ht="14.2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</row>
    <row r="33" spans="1:17" ht="14.2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</row>
    <row r="34" spans="1:17" ht="14.2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</row>
    <row r="35" spans="1:17" ht="14.2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</row>
    <row r="36" spans="1:17" ht="14.2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</row>
    <row r="37" spans="1:17" ht="14.2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</row>
    <row r="38" spans="1:17" ht="14.2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</row>
    <row r="39" spans="1:17" ht="14.2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</row>
    <row r="40" spans="1:17" ht="14.2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</row>
    <row r="41" spans="1:17" ht="14.2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</row>
    <row r="42" spans="1:17" ht="14.2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</row>
    <row r="43" spans="1:17" ht="14.2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</row>
    <row r="44" spans="1:17" ht="14.2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</row>
    <row r="45" spans="1:17" ht="14.2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</row>
    <row r="46" spans="1:17" ht="14.2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</row>
    <row r="47" spans="1:17" ht="14.2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</row>
    <row r="48" spans="1:17" ht="14.2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</row>
    <row r="49" spans="1:17" ht="14.2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</row>
    <row r="50" spans="1:17" ht="14.2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</row>
    <row r="51" spans="1:17" ht="14.2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</row>
    <row r="52" spans="1:17" ht="14.2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</row>
    <row r="53" spans="1:17" ht="14.2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</row>
    <row r="54" spans="1:17" ht="14.2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</row>
    <row r="55" spans="1:17" ht="14.2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</row>
    <row r="56" spans="1:17" ht="14.2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</row>
    <row r="57" spans="1:17" ht="14.2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</row>
    <row r="58" spans="1:17" ht="14.2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</row>
    <row r="59" spans="1:17" ht="14.2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</row>
    <row r="60" spans="1:17" ht="14.2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</row>
    <row r="61" spans="1:17" ht="14.2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</row>
    <row r="62" spans="1:17" ht="14.2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</row>
    <row r="63" spans="1:17" ht="14.2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</row>
    <row r="64" spans="1:17" ht="14.2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</row>
    <row r="65" spans="1:17" ht="14.2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</row>
    <row r="66" spans="1:17" ht="14.2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</row>
    <row r="67" spans="1:17" ht="14.2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</row>
    <row r="68" spans="1:17" ht="14.2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</row>
    <row r="69" spans="1:17" ht="14.2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</row>
    <row r="70" spans="1:17" ht="14.2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</row>
    <row r="71" spans="1:17" ht="14.2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</row>
    <row r="72" spans="1:17" ht="14.2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</row>
    <row r="73" spans="1:17" ht="14.2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</row>
    <row r="74" spans="1:17" ht="14.2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</row>
    <row r="75" spans="1:17" ht="14.2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</row>
    <row r="76" spans="1:17" ht="14.2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</row>
    <row r="77" spans="1:17" ht="14.2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</row>
    <row r="78" spans="1:17" ht="14.2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</row>
    <row r="79" spans="1:17" ht="14.2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</row>
    <row r="80" spans="1:17" ht="14.2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</row>
    <row r="81" spans="1:17" ht="14.2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</row>
    <row r="82" spans="1:17" ht="14.2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</row>
    <row r="83" spans="1:17" ht="14.2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</row>
    <row r="84" spans="1:17" ht="14.2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</row>
    <row r="85" spans="1:17" ht="14.2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</row>
    <row r="86" spans="1:17" ht="14.2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</row>
    <row r="87" spans="1:17" ht="14.2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</row>
    <row r="88" spans="1:17" ht="14.2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</row>
    <row r="89" spans="1:17" ht="14.2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</row>
    <row r="90" spans="1:17" ht="14.2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</row>
    <row r="91" spans="1:17" ht="14.2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</row>
    <row r="92" spans="1:17" ht="14.2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</row>
    <row r="93" spans="1:17" ht="14.2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</row>
    <row r="94" spans="1:17" ht="14.2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</row>
    <row r="95" spans="1:17" ht="14.2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</row>
    <row r="96" spans="1:17" ht="14.2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</row>
    <row r="97" spans="1:17" ht="14.2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</row>
    <row r="98" spans="1:17" ht="14.2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</row>
    <row r="99" spans="1:17" ht="14.2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</row>
    <row r="100" spans="1:17" ht="14.2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</row>
    <row r="101" spans="1:17" ht="14.2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</row>
    <row r="102" spans="1:17" ht="14.2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</row>
    <row r="103" spans="1:17" ht="14.2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</row>
    <row r="104" spans="1:17" ht="14.2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</row>
    <row r="105" spans="1:17" ht="14.2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</row>
    <row r="106" spans="1:17" ht="14.2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</row>
    <row r="107" spans="1:17" ht="14.2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</row>
    <row r="108" spans="1:17" ht="14.2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</row>
    <row r="109" spans="1:17" ht="14.2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</row>
    <row r="110" spans="1:17" ht="14.2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</row>
    <row r="111" spans="1:17" ht="14.2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</row>
    <row r="112" spans="1:17" ht="14.2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</row>
    <row r="113" spans="1:17" ht="14.2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</row>
    <row r="114" spans="1:17" ht="14.2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</row>
    <row r="115" spans="1:17" ht="14.2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</row>
    <row r="116" spans="1:17" ht="14.2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</row>
    <row r="117" spans="1:17" ht="14.2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</row>
    <row r="118" spans="1:17" ht="14.2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</row>
    <row r="119" spans="1:17" ht="14.2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</row>
    <row r="120" spans="1:17" ht="14.2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</row>
    <row r="121" spans="1:17" ht="14.2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</row>
    <row r="122" spans="1:17" ht="14.2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</row>
    <row r="123" spans="1:17" ht="14.2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</row>
    <row r="124" spans="1:17" ht="14.2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</row>
    <row r="125" spans="1:17" ht="14.2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</row>
    <row r="126" spans="1:17" ht="14.2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</row>
    <row r="127" spans="1:17" ht="14.2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</row>
    <row r="128" spans="1:17" ht="14.2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</row>
    <row r="129" spans="1:17" ht="14.2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</row>
    <row r="130" spans="1:17" ht="14.2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</row>
    <row r="131" spans="1:17" ht="14.2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</row>
    <row r="132" spans="1:17" ht="14.2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</row>
    <row r="133" spans="1:17" ht="14.2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</row>
    <row r="134" spans="1:17" ht="14.2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</row>
    <row r="135" spans="1:17" ht="14.2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</row>
    <row r="136" spans="1:17" ht="14.2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</row>
    <row r="137" spans="1:17" ht="14.2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</row>
    <row r="138" spans="1:17" ht="14.2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</row>
    <row r="139" spans="1:17" ht="14.2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</row>
    <row r="140" spans="1:17" ht="14.2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</row>
    <row r="141" spans="1:17" ht="14.2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</row>
    <row r="142" spans="1:17" ht="14.2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</row>
    <row r="143" spans="1:17" ht="14.2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</row>
    <row r="144" spans="1:17" ht="14.2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</row>
    <row r="145" spans="1:17" ht="14.2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</row>
    <row r="146" spans="1:17" ht="14.2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</row>
    <row r="147" spans="1:17" ht="14.2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</row>
    <row r="148" spans="1:17" ht="14.2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</row>
    <row r="149" spans="1:17" ht="14.2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</row>
    <row r="150" spans="1:17" ht="14.2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</row>
    <row r="151" spans="1:17" ht="14.2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</row>
    <row r="152" spans="1:17" ht="14.2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</row>
    <row r="153" spans="1:17" ht="14.2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</row>
    <row r="154" spans="1:17" ht="14.2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</row>
    <row r="155" spans="1:17" ht="14.2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</row>
    <row r="156" spans="1:17" ht="14.2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</row>
    <row r="157" spans="1:17" ht="14.2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</row>
    <row r="158" spans="1:17" ht="14.2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</row>
    <row r="159" spans="1:17" ht="14.2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</row>
    <row r="160" spans="1:17" ht="14.2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</row>
    <row r="161" spans="1:17" ht="14.2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</row>
    <row r="162" spans="1:17" ht="14.2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</row>
    <row r="163" spans="1:17" ht="14.2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</row>
    <row r="164" spans="1:17" ht="14.2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</row>
    <row r="165" spans="1:17" ht="14.2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</row>
    <row r="166" spans="1:17" ht="14.2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</row>
    <row r="167" spans="1:17" ht="14.2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</row>
    <row r="168" spans="1:17" ht="14.2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</row>
    <row r="169" spans="1:17" ht="14.2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</row>
    <row r="170" spans="1:17" ht="14.2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</row>
    <row r="171" spans="1:17" ht="14.2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</row>
    <row r="172" spans="1:17" ht="14.2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</row>
    <row r="173" spans="1:17" ht="14.2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</row>
    <row r="174" spans="1:17" ht="14.2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</row>
    <row r="175" spans="1:17" ht="14.2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</row>
    <row r="176" spans="1:17" ht="14.2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</row>
    <row r="177" spans="1:17" ht="14.2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</row>
    <row r="178" spans="1:17" ht="14.2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</row>
    <row r="179" spans="1:17" ht="14.2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</row>
    <row r="180" spans="1:17" ht="14.2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</row>
    <row r="181" spans="1:17" ht="14.2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</row>
    <row r="182" spans="1:17" ht="14.2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</row>
    <row r="183" spans="1:17" ht="14.2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</row>
    <row r="184" spans="1:17" ht="14.2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</row>
    <row r="185" spans="1:17" ht="14.2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</row>
    <row r="186" spans="1:17" ht="14.2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</row>
    <row r="187" spans="1:17" ht="14.2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</row>
    <row r="188" spans="1:17" ht="14.2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</row>
    <row r="189" spans="1:17" ht="14.2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</row>
    <row r="190" spans="1:17" ht="14.2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</row>
    <row r="191" spans="1:17" ht="14.2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</row>
    <row r="192" spans="1:17" ht="14.2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</row>
    <row r="193" spans="1:17" ht="14.2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</row>
    <row r="194" spans="1:17" ht="14.2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</row>
    <row r="195" spans="1:17" ht="14.2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</row>
    <row r="196" spans="1:17" ht="14.2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</row>
    <row r="197" spans="1:17" ht="14.2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</row>
    <row r="198" spans="1:17" ht="14.2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</row>
    <row r="199" spans="1:17" ht="14.2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</row>
    <row r="200" spans="1:17" ht="14.2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</row>
    <row r="201" spans="1:17" ht="14.2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</row>
    <row r="202" spans="1:17" ht="14.2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</row>
    <row r="203" spans="1:17" ht="14.2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</row>
    <row r="204" spans="1:17" ht="14.2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</row>
    <row r="205" spans="1:17" ht="14.2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</row>
    <row r="206" spans="1:17" ht="14.2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</row>
    <row r="207" spans="1:17" ht="14.2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</row>
    <row r="208" spans="1:17" ht="14.2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</row>
    <row r="209" spans="1:17" ht="14.2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</row>
    <row r="210" spans="1:17" ht="14.2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</row>
    <row r="211" spans="1:17" ht="14.2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</row>
    <row r="212" spans="1:17" ht="14.2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</row>
    <row r="213" spans="1:17" ht="14.2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</row>
    <row r="214" spans="1:17" ht="14.2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</row>
    <row r="215" spans="1:17" ht="14.2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</row>
    <row r="216" spans="1:17" ht="14.2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</row>
    <row r="217" spans="1:17" ht="14.2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</row>
    <row r="218" spans="1:17" ht="14.2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</row>
    <row r="219" spans="1:17" ht="14.2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</row>
    <row r="220" spans="1:17" ht="14.2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</row>
    <row r="221" spans="1:17" ht="14.2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</row>
    <row r="222" spans="1:17" ht="14.2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</row>
    <row r="223" spans="1:17" ht="14.2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</row>
    <row r="224" spans="1:17" ht="14.2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</row>
    <row r="225" spans="1:17" ht="14.2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</row>
    <row r="226" spans="1:17" ht="14.2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</row>
    <row r="227" spans="1:17" ht="14.2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</row>
    <row r="228" spans="1:17" ht="14.2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</row>
    <row r="229" spans="1:17" ht="14.2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</row>
    <row r="230" spans="1:17" ht="14.2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</row>
    <row r="231" spans="1:17" ht="14.2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</row>
    <row r="232" spans="1:17" ht="14.2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</row>
    <row r="233" spans="1:17" ht="14.2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</row>
    <row r="234" spans="1:17" ht="14.2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</row>
    <row r="235" spans="1:17" ht="14.2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</row>
    <row r="236" spans="1:17" ht="14.2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</row>
    <row r="237" spans="1:17" ht="14.2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</row>
    <row r="238" spans="1:17" ht="14.2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</row>
    <row r="239" spans="1:17" ht="14.2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</row>
    <row r="240" spans="1:17" ht="14.2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</row>
    <row r="241" spans="1:17" ht="14.2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</row>
    <row r="242" spans="1:17" ht="14.2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</row>
    <row r="243" spans="1:17" ht="14.2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</row>
    <row r="244" spans="1:17" ht="14.2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</row>
    <row r="245" spans="1:17" ht="14.2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</row>
    <row r="246" spans="1:17" ht="14.2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</row>
    <row r="247" spans="1:17" ht="14.2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</row>
    <row r="248" spans="1:17" ht="14.2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</row>
    <row r="249" spans="1:17" ht="14.2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</row>
    <row r="250" spans="1:17" ht="14.2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</row>
    <row r="251" spans="1:17" ht="14.2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</row>
    <row r="252" spans="1:17" ht="14.2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</row>
    <row r="253" spans="1:17" ht="14.2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</row>
    <row r="254" spans="1:17" ht="14.2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</row>
    <row r="255" spans="1:17" ht="14.2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</row>
    <row r="256" spans="1:17" ht="14.2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</row>
    <row r="257" spans="1:17" ht="14.2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</row>
    <row r="258" spans="1:17" ht="14.2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</row>
    <row r="259" spans="1:17" ht="14.2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</row>
    <row r="260" spans="1:17" ht="14.2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</row>
    <row r="261" spans="1:17" ht="14.2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</row>
    <row r="262" spans="1:17" ht="14.2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</row>
    <row r="263" spans="1:17" ht="14.2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</row>
    <row r="264" spans="1:17" ht="14.2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</row>
    <row r="265" spans="1:17" ht="14.2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</row>
    <row r="266" spans="1:17" ht="14.2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</row>
    <row r="267" spans="1:17" ht="14.2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</row>
    <row r="268" spans="1:17" ht="14.2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</row>
    <row r="269" spans="1:17" ht="14.2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</row>
    <row r="270" spans="1:17" ht="14.2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</row>
    <row r="271" spans="1:17" ht="14.2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</row>
    <row r="272" spans="1:17" ht="14.2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</row>
    <row r="273" spans="1:17" ht="14.2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</row>
    <row r="274" spans="1:17" ht="14.2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</row>
    <row r="275" spans="1:17" ht="14.2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</row>
    <row r="276" spans="1:17" ht="14.2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</row>
    <row r="277" spans="1:17" ht="14.2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</row>
    <row r="278" spans="1:17" ht="14.2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</row>
    <row r="279" spans="1:17" ht="14.2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</row>
    <row r="280" spans="1:17" ht="14.2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</row>
    <row r="281" spans="1:17" ht="14.2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</row>
    <row r="282" spans="1:17" ht="14.2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</row>
    <row r="283" spans="1:17" ht="14.2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</row>
    <row r="284" spans="1:17" ht="14.2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</row>
    <row r="285" spans="1:17" ht="14.2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</row>
    <row r="286" spans="1:17" ht="14.2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</row>
    <row r="287" spans="1:17" ht="14.2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</row>
    <row r="288" spans="1:17" ht="14.2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</row>
    <row r="289" spans="1:17" ht="14.2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</row>
    <row r="290" spans="1:17" ht="14.2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</row>
    <row r="291" spans="1:17" ht="14.2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</row>
    <row r="292" spans="1:17" ht="14.2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</row>
    <row r="293" spans="1:17" ht="14.2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</row>
    <row r="294" spans="1:17" ht="14.2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</row>
    <row r="295" spans="1:17" ht="14.2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</row>
    <row r="296" spans="1:17" ht="14.2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</row>
    <row r="297" spans="1:17" ht="14.2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</row>
    <row r="298" spans="1:17" ht="14.2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</row>
    <row r="299" spans="1:17" ht="14.2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</row>
    <row r="300" spans="1:17" ht="14.2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</row>
    <row r="301" spans="1:17" ht="14.2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</row>
    <row r="302" spans="1:17" ht="14.2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</row>
    <row r="303" spans="1:17" ht="14.2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</row>
    <row r="304" spans="1:17" ht="14.2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</row>
    <row r="305" spans="1:17" ht="14.2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</row>
    <row r="306" spans="1:17" ht="14.2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</row>
    <row r="307" spans="1:17" ht="14.2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</row>
    <row r="308" spans="1:17" ht="14.2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</row>
    <row r="309" spans="1:17" ht="14.2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</row>
    <row r="310" spans="1:17" ht="14.2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</row>
    <row r="311" spans="1:17" ht="14.2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</row>
    <row r="312" spans="1:17" ht="14.2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</row>
    <row r="313" spans="1:17" ht="14.2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</row>
    <row r="314" spans="1:17" ht="14.2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</row>
    <row r="315" spans="1:17" ht="14.2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</row>
    <row r="316" spans="1:17" ht="14.2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</row>
    <row r="317" spans="1:17" ht="14.2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</row>
    <row r="318" spans="1:17" ht="14.2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</row>
    <row r="319" spans="1:17" ht="14.2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</row>
    <row r="320" spans="1:17" ht="14.2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</row>
    <row r="321" spans="1:17" ht="14.2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</row>
    <row r="322" spans="1:17" ht="14.2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</row>
    <row r="323" spans="1:17" ht="14.2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</row>
    <row r="324" spans="1:17" ht="14.2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</row>
    <row r="325" spans="1:17" ht="14.2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</row>
    <row r="326" spans="1:17" ht="14.2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</row>
    <row r="327" spans="1:17" ht="14.2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</row>
    <row r="328" spans="1:17" ht="14.2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</row>
    <row r="329" spans="1:17" ht="14.2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</row>
    <row r="330" spans="1:17" ht="14.2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</row>
    <row r="331" spans="1:17" ht="14.2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</row>
    <row r="332" spans="1:17" ht="14.2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</row>
    <row r="333" spans="1:17" ht="14.2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</row>
    <row r="334" spans="1:17" ht="14.2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</row>
    <row r="335" spans="1:17" ht="14.2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</row>
    <row r="336" spans="1:17" ht="14.2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</row>
    <row r="337" spans="1:17" ht="14.2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</row>
    <row r="338" spans="1:17" ht="14.2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</row>
    <row r="339" spans="1:17" ht="14.2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</row>
    <row r="340" spans="1:17" ht="14.2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</row>
    <row r="341" spans="1:17" ht="14.2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</row>
    <row r="342" spans="1:17" ht="14.2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</row>
    <row r="343" spans="1:17" ht="14.2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</row>
    <row r="344" spans="1:17" ht="14.2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</row>
    <row r="345" spans="1:17" ht="14.2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</row>
    <row r="346" spans="1:17" ht="14.2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</row>
    <row r="347" spans="1:17" ht="14.2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</row>
    <row r="348" spans="1:17" ht="14.2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</row>
    <row r="349" spans="1:17" ht="14.2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</row>
    <row r="350" spans="1:17" ht="14.2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</row>
    <row r="351" spans="1:17" ht="14.2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</row>
    <row r="352" spans="1:17" ht="14.2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</row>
    <row r="353" spans="1:17" ht="14.2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</row>
    <row r="354" spans="1:17" ht="14.2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</row>
    <row r="355" spans="1:17" ht="14.2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</row>
    <row r="356" spans="1:17" ht="14.2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</row>
    <row r="357" spans="1:17" ht="14.2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</row>
    <row r="358" spans="1:17" ht="14.2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</row>
    <row r="359" spans="1:17" ht="14.2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</row>
    <row r="360" spans="1:17" ht="14.2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</row>
    <row r="361" spans="1:17" ht="14.2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</row>
    <row r="362" spans="1:17" ht="14.2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</row>
    <row r="363" spans="1:17" ht="14.2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</row>
    <row r="364" spans="1:17" ht="14.2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</row>
    <row r="365" spans="1:17" ht="14.2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</row>
    <row r="366" spans="1:17" ht="14.2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</row>
    <row r="367" spans="1:17" ht="14.2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</row>
    <row r="368" spans="1:17" ht="14.2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</row>
    <row r="369" spans="1:17" ht="14.2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</row>
    <row r="370" spans="1:17" ht="14.2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</row>
    <row r="371" spans="1:17" ht="14.2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</row>
    <row r="372" spans="1:17" ht="14.2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</row>
    <row r="373" spans="1:17" ht="14.2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</row>
    <row r="374" spans="1:17" ht="14.2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</row>
    <row r="375" spans="1:17" ht="14.2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</row>
    <row r="376" spans="1:17" ht="14.2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</row>
    <row r="377" spans="1:17" ht="14.2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</row>
    <row r="378" spans="1:17" ht="14.2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</row>
    <row r="379" spans="1:17" ht="14.2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</row>
    <row r="380" spans="1:17" ht="14.2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</row>
    <row r="381" spans="1:17" ht="14.2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</row>
    <row r="382" spans="1:17" ht="14.2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</row>
    <row r="383" spans="1:17" ht="14.2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</row>
    <row r="384" spans="1:17" ht="14.2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</row>
    <row r="385" spans="1:17" ht="14.2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</row>
    <row r="386" spans="1:17" ht="14.2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</row>
    <row r="387" spans="1:17" ht="14.2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</row>
    <row r="388" spans="1:17" ht="14.2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</row>
    <row r="389" spans="1:17" ht="14.2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</row>
    <row r="390" spans="1:17" ht="14.2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</row>
    <row r="391" spans="1:17" ht="14.2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</row>
    <row r="392" spans="1:17" ht="14.2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</row>
    <row r="393" spans="1:17" ht="14.2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</row>
    <row r="394" spans="1:17" ht="14.2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</row>
    <row r="395" spans="1:17" ht="14.2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</row>
    <row r="396" spans="1:17" ht="14.2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</row>
    <row r="397" spans="1:17" ht="14.2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</row>
    <row r="398" spans="1:17" ht="14.2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</row>
    <row r="399" spans="1:17" ht="14.2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</row>
    <row r="400" spans="1:17" ht="14.2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</row>
    <row r="401" spans="1:17" ht="14.2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</row>
    <row r="402" spans="1:17" ht="14.2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</row>
    <row r="403" spans="1:17" ht="14.2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</row>
    <row r="404" spans="1:17" ht="14.2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</row>
    <row r="405" spans="1:17" ht="14.2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</row>
    <row r="406" spans="1:17" ht="14.2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</row>
    <row r="407" spans="1:17" ht="14.2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</row>
    <row r="408" spans="1:17" ht="14.2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</row>
    <row r="409" spans="1:17" ht="14.2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</row>
    <row r="410" spans="1:17" ht="14.2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</row>
    <row r="411" spans="1:17" ht="14.2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</row>
    <row r="412" spans="1:17" ht="14.2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</row>
    <row r="413" spans="1:17" ht="14.2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</row>
    <row r="414" spans="1:17" ht="14.2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</row>
    <row r="415" spans="1:17" ht="14.2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</row>
    <row r="416" spans="1:17" ht="14.2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</row>
    <row r="417" spans="1:17" ht="14.2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</row>
    <row r="418" spans="1:17" ht="14.2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</row>
    <row r="419" spans="1:17" ht="14.2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</row>
    <row r="420" spans="1:17" ht="14.2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</row>
    <row r="421" spans="1:17" ht="14.2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</row>
    <row r="422" spans="1:17" ht="14.2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</row>
    <row r="423" spans="1:17" ht="14.2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</row>
    <row r="424" spans="1:17" ht="14.2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</row>
    <row r="425" spans="1:17" ht="14.2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</row>
    <row r="426" spans="1:17" ht="14.2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</row>
    <row r="427" spans="1:17" ht="14.2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</row>
    <row r="428" spans="1:17" ht="14.2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</row>
    <row r="429" spans="1:17" ht="14.2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</row>
    <row r="430" spans="1:17" ht="14.2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</row>
    <row r="431" spans="1:17" ht="14.2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</row>
    <row r="432" spans="1:17" ht="14.2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</row>
    <row r="433" spans="1:17" ht="14.2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</row>
    <row r="434" spans="1:17" ht="14.2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</row>
    <row r="435" spans="1:17" ht="14.2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</row>
    <row r="436" spans="1:17" ht="14.2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</row>
    <row r="437" spans="1:17" ht="14.2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</row>
    <row r="438" spans="1:17" ht="14.2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</row>
    <row r="439" spans="1:17" ht="14.2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</row>
    <row r="440" spans="1:17" ht="14.2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</row>
    <row r="441" spans="1:17" ht="14.2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</row>
    <row r="442" spans="1:17" ht="14.2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</row>
    <row r="443" spans="1:17" ht="14.2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</row>
    <row r="444" spans="1:17" ht="14.2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</row>
    <row r="445" spans="1:17" ht="14.2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</row>
    <row r="446" spans="1:17" ht="14.2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</row>
    <row r="447" spans="1:17" ht="14.2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</row>
    <row r="448" spans="1:17" ht="14.2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</row>
    <row r="449" spans="1:17" ht="14.2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</row>
    <row r="450" spans="1:17" ht="14.2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</row>
    <row r="451" spans="1:17" ht="14.2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</row>
    <row r="452" spans="1:17" ht="14.2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</row>
    <row r="453" spans="1:17" ht="14.2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</row>
    <row r="454" spans="1:17" ht="14.2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</row>
    <row r="455" spans="1:17" ht="14.2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</row>
    <row r="456" spans="1:17" ht="14.2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</row>
    <row r="457" spans="1:17" ht="14.2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</row>
    <row r="458" spans="1:17" ht="14.2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</row>
    <row r="459" spans="1:17" ht="14.2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</row>
    <row r="460" spans="1:17" ht="14.2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</row>
    <row r="461" spans="1:17" ht="14.2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</row>
    <row r="462" spans="1:17" ht="14.2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</row>
    <row r="463" spans="1:17" ht="14.2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</row>
    <row r="464" spans="1:17" ht="14.2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</row>
    <row r="465" spans="1:17" ht="14.2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</row>
    <row r="466" spans="1:17" ht="14.2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</row>
    <row r="467" spans="1:17" ht="14.2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</row>
    <row r="468" spans="1:17" ht="14.2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</row>
    <row r="469" spans="1:17" ht="14.2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</row>
    <row r="470" spans="1:17" ht="14.2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</row>
    <row r="471" spans="1:17" ht="14.2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</row>
    <row r="472" spans="1:17" ht="14.2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</row>
    <row r="473" spans="1:17" ht="14.2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</row>
    <row r="474" spans="1:17" ht="14.2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</row>
    <row r="475" spans="1:17" ht="14.2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</row>
    <row r="476" spans="1:17" ht="14.2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</row>
    <row r="477" spans="1:17" ht="14.2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</row>
    <row r="478" spans="1:17" ht="14.2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</row>
    <row r="479" spans="1:17" ht="14.2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</row>
    <row r="480" spans="1:17" ht="14.2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</row>
    <row r="481" spans="1:17" ht="14.2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</row>
    <row r="482" spans="1:17" ht="14.2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</row>
    <row r="483" spans="1:17" ht="14.2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</row>
    <row r="484" spans="1:17" ht="14.2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</row>
    <row r="485" spans="1:17" ht="14.2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</row>
    <row r="486" spans="1:17" ht="14.2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</row>
    <row r="487" spans="1:17" ht="14.2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</row>
    <row r="488" spans="1:17" ht="14.2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</row>
    <row r="489" spans="1:17" ht="14.2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</row>
    <row r="490" spans="1:17" ht="14.2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</row>
    <row r="491" spans="1:17" ht="14.2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</row>
    <row r="492" spans="1:17" ht="14.2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</row>
    <row r="493" spans="1:17" ht="14.2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</row>
    <row r="494" spans="1:17" ht="14.2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</row>
    <row r="495" spans="1:17" ht="14.2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</row>
    <row r="496" spans="1:17" ht="14.2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</row>
    <row r="497" spans="1:17" ht="14.2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</row>
    <row r="498" spans="1:17" ht="14.2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</row>
    <row r="499" spans="1:17" ht="14.2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</row>
    <row r="500" spans="1:17" ht="14.2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</row>
    <row r="501" spans="1:17" ht="14.2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</row>
    <row r="502" spans="1:17" ht="14.2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</row>
    <row r="503" spans="1:17" ht="14.2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</row>
    <row r="504" spans="1:17" ht="14.2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</row>
    <row r="505" spans="1:17" ht="14.2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</row>
    <row r="506" spans="1:17" ht="14.2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</row>
    <row r="507" spans="1:17" ht="14.2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</row>
    <row r="508" spans="1:17" ht="14.2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</row>
    <row r="509" spans="1:17" ht="14.2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</row>
    <row r="510" spans="1:17" ht="14.2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</row>
    <row r="511" spans="1:17" ht="14.2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</row>
    <row r="512" spans="1:17" ht="14.2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</row>
    <row r="513" spans="1:17" ht="14.2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</row>
    <row r="514" spans="1:17" ht="14.2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</row>
    <row r="515" spans="1:17" ht="14.2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</row>
    <row r="516" spans="1:17" ht="14.2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</row>
    <row r="517" spans="1:17" ht="14.2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</row>
    <row r="518" spans="1:17" ht="14.2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</row>
    <row r="519" spans="1:17" ht="14.2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</row>
    <row r="520" spans="1:17" ht="14.2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</row>
    <row r="521" spans="1:17" ht="14.2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</row>
    <row r="522" spans="1:17" ht="14.2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</row>
    <row r="523" spans="1:17" ht="14.2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</row>
    <row r="524" spans="1:17" ht="14.2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</row>
    <row r="525" spans="1:17" ht="14.2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</row>
    <row r="526" spans="1:17" ht="14.2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</row>
    <row r="527" spans="1:17" ht="14.2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</row>
    <row r="528" spans="1:17" ht="14.2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</row>
    <row r="529" spans="1:17" ht="14.2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</row>
    <row r="530" spans="1:17" ht="14.2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</row>
    <row r="531" spans="1:17" ht="14.2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</row>
    <row r="532" spans="1:17" ht="14.2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</row>
    <row r="533" spans="1:17" ht="14.2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</row>
    <row r="534" spans="1:17" ht="14.2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</row>
    <row r="535" spans="1:17" ht="14.2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</row>
    <row r="536" spans="1:17" ht="14.2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</row>
    <row r="537" spans="1:17" ht="14.2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</row>
    <row r="538" spans="1:17" ht="14.2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</row>
    <row r="539" spans="1:17" ht="14.2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</row>
    <row r="540" spans="1:17" ht="14.2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</row>
    <row r="541" spans="1:17" ht="14.2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</row>
    <row r="542" spans="1:17" ht="14.2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</row>
    <row r="543" spans="1:17" ht="14.2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</row>
    <row r="544" spans="1:17" ht="14.2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</row>
    <row r="545" spans="1:17" ht="14.2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</row>
    <row r="546" spans="1:17" ht="14.2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</row>
    <row r="547" spans="1:17" ht="14.2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</row>
    <row r="548" spans="1:17" ht="14.2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</row>
    <row r="549" spans="1:17" ht="14.2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</row>
    <row r="550" spans="1:17" ht="14.2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</row>
    <row r="551" spans="1:17" ht="14.2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</row>
    <row r="552" spans="1:17" ht="14.2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</row>
    <row r="553" spans="1:17" ht="14.2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</row>
    <row r="554" spans="1:17" ht="14.2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</row>
    <row r="555" spans="1:17" ht="14.2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</row>
    <row r="556" spans="1:17" ht="14.2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</row>
    <row r="557" spans="1:17" ht="14.2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</row>
    <row r="558" spans="1:17" ht="14.2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</row>
    <row r="559" spans="1:17" ht="14.2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</row>
    <row r="560" spans="1:17" ht="14.2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</row>
    <row r="561" spans="1:17" ht="14.2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</row>
    <row r="562" spans="1:17" ht="14.2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</row>
    <row r="563" spans="1:17" ht="14.2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</row>
    <row r="564" spans="1:17" ht="14.2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</row>
    <row r="565" spans="1:17" ht="14.2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</row>
    <row r="566" spans="1:17" ht="14.2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</row>
    <row r="567" spans="1:17" ht="14.2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</row>
    <row r="568" spans="1:17" ht="14.2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</row>
    <row r="569" spans="1:17" ht="14.2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</row>
    <row r="570" spans="1:17" ht="14.2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</row>
    <row r="571" spans="1:17" ht="14.2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</row>
    <row r="572" spans="1:17" ht="14.2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</row>
    <row r="573" spans="1:17" ht="14.2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</row>
    <row r="574" spans="1:17" ht="14.2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</row>
    <row r="575" spans="1:17" ht="14.2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</row>
    <row r="576" spans="1:17" ht="14.2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</row>
    <row r="577" spans="1:17" ht="14.2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</row>
    <row r="578" spans="1:17" ht="14.2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</row>
    <row r="579" spans="1:17" ht="14.2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</row>
    <row r="580" spans="1:17" ht="14.2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</row>
    <row r="581" spans="1:17" ht="14.2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</row>
    <row r="582" spans="1:17" ht="14.2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</row>
    <row r="583" spans="1:17" ht="14.2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</row>
    <row r="584" spans="1:17" ht="14.2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</row>
    <row r="585" spans="1:17" ht="14.2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</row>
    <row r="586" spans="1:17" ht="14.2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</row>
    <row r="587" spans="1:17" ht="14.2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</row>
    <row r="588" spans="1:17" ht="14.2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</row>
    <row r="589" spans="1:17" ht="14.2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</row>
    <row r="590" spans="1:17" ht="14.2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</row>
    <row r="591" spans="1:17" ht="14.2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</row>
    <row r="592" spans="1:17" ht="14.2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</row>
    <row r="593" spans="1:17" ht="14.2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</row>
    <row r="594" spans="1:17" ht="14.2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</row>
    <row r="595" spans="1:17" ht="14.2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</row>
    <row r="596" spans="1:17" ht="14.2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</row>
    <row r="597" spans="1:17" ht="14.2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</row>
    <row r="598" spans="1:17" ht="14.2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</row>
    <row r="599" spans="1:17" ht="14.2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</row>
    <row r="600" spans="1:17" ht="14.2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</row>
    <row r="601" spans="1:17" ht="14.2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</row>
    <row r="602" spans="1:17" ht="14.2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</row>
    <row r="603" spans="1:17" ht="14.2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</row>
    <row r="604" spans="1:17" ht="14.2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</row>
    <row r="605" spans="1:17" ht="14.2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</row>
    <row r="606" spans="1:17" ht="14.2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</row>
    <row r="607" spans="1:17" ht="14.2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</row>
    <row r="608" spans="1:17" ht="14.2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</row>
    <row r="609" spans="1:17" ht="14.2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</row>
    <row r="610" spans="1:17" ht="14.2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</row>
    <row r="611" spans="1:17" ht="14.2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</row>
    <row r="612" spans="1:17" ht="14.2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</row>
    <row r="613" spans="1:17" ht="14.2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</row>
    <row r="614" spans="1:17" ht="14.2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</row>
    <row r="615" spans="1:17" ht="14.2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</row>
    <row r="616" spans="1:17" ht="14.2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</row>
    <row r="617" spans="1:17" ht="14.2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</row>
    <row r="618" spans="1:17" ht="14.2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</row>
    <row r="619" spans="1:17" ht="14.2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</row>
    <row r="620" spans="1:17" ht="14.2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</row>
    <row r="621" spans="1:17" ht="14.2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</row>
    <row r="622" spans="1:17" ht="14.2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</row>
    <row r="623" spans="1:17" ht="14.2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</row>
    <row r="624" spans="1:17" ht="14.2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</row>
    <row r="625" spans="1:17" ht="14.2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</row>
    <row r="626" spans="1:17" ht="14.2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</row>
    <row r="627" spans="1:17" ht="14.2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</row>
    <row r="628" spans="1:17" ht="14.2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</row>
    <row r="629" spans="1:17" ht="14.2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</row>
    <row r="630" spans="1:17" ht="14.2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</row>
    <row r="631" spans="1:17" ht="14.2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</row>
    <row r="632" spans="1:17" ht="14.2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</row>
    <row r="633" spans="1:17" ht="14.2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</row>
    <row r="634" spans="1:17" ht="14.2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</row>
    <row r="635" spans="1:17" ht="14.2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</row>
    <row r="636" spans="1:17" ht="14.2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</row>
    <row r="637" spans="1:17" ht="14.2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</row>
    <row r="638" spans="1:17" ht="14.2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</row>
    <row r="639" spans="1:17" ht="14.2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</row>
    <row r="640" spans="1:17" ht="14.2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</row>
    <row r="641" spans="1:17" ht="14.2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</row>
    <row r="642" spans="1:17" ht="14.2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</row>
    <row r="643" spans="1:17" ht="14.2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</row>
    <row r="644" spans="1:17" ht="14.2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</row>
    <row r="645" spans="1:17" ht="14.2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</row>
    <row r="646" spans="1:17" ht="14.2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</row>
    <row r="647" spans="1:17" ht="14.2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</row>
    <row r="648" spans="1:17" ht="14.2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</row>
    <row r="649" spans="1:17" ht="14.2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</row>
    <row r="650" spans="1:17" ht="14.2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</row>
    <row r="651" spans="1:17" ht="14.2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</row>
    <row r="652" spans="1:17" ht="14.2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</row>
    <row r="653" spans="1:17" ht="14.2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</row>
    <row r="654" spans="1:17" ht="14.2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</row>
    <row r="655" spans="1:17" ht="14.2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</row>
    <row r="656" spans="1:17" ht="14.2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</row>
    <row r="657" spans="1:17" ht="14.2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</row>
    <row r="658" spans="1:17" ht="14.2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</row>
    <row r="659" spans="1:17" ht="14.2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</row>
    <row r="660" spans="1:17" ht="14.2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</row>
    <row r="661" spans="1:17" ht="14.2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</row>
    <row r="662" spans="1:17" ht="14.2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</row>
    <row r="663" spans="1:17" ht="14.2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</row>
    <row r="664" spans="1:17" ht="14.2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</row>
    <row r="665" spans="1:17" ht="14.2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</row>
    <row r="666" spans="1:17" ht="14.2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</row>
    <row r="667" spans="1:17" ht="14.2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</row>
    <row r="668" spans="1:17" ht="14.2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</row>
    <row r="669" spans="1:17" ht="14.2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</row>
    <row r="670" spans="1:17" ht="14.2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</row>
    <row r="671" spans="1:17" ht="14.2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</row>
    <row r="672" spans="1:17" ht="14.2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</row>
    <row r="673" spans="1:17" ht="14.2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</row>
    <row r="674" spans="1:17" ht="14.2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</row>
    <row r="675" spans="1:17" ht="14.2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</row>
    <row r="676" spans="1:17" ht="14.2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</row>
    <row r="677" spans="1:17" ht="14.2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</row>
    <row r="678" spans="1:17" ht="14.2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</row>
    <row r="679" spans="1:17" ht="14.2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</row>
    <row r="680" spans="1:17" ht="14.2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</row>
    <row r="681" spans="1:17" ht="14.2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</row>
    <row r="682" spans="1:17" ht="14.2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</row>
    <row r="683" spans="1:17" ht="14.2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</row>
    <row r="684" spans="1:17" ht="14.2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</row>
    <row r="685" spans="1:17" ht="14.2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</row>
    <row r="686" spans="1:17" ht="14.2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</row>
    <row r="687" spans="1:17" ht="14.2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</row>
    <row r="688" spans="1:17" ht="14.2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</row>
    <row r="689" spans="1:17" ht="14.2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</row>
    <row r="690" spans="1:17" ht="14.2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</row>
    <row r="691" spans="1:17" ht="14.2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</row>
    <row r="692" spans="1:17" ht="14.2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</row>
    <row r="693" spans="1:17" ht="14.2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</row>
    <row r="694" spans="1:17" ht="14.2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</row>
    <row r="695" spans="1:17" ht="14.2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</row>
    <row r="696" spans="1:17" ht="14.2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</row>
    <row r="697" spans="1:17" ht="14.2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</row>
    <row r="698" spans="1:17" ht="14.2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</row>
    <row r="699" spans="1:17" ht="14.2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</row>
    <row r="700" spans="1:17" ht="14.2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</row>
    <row r="701" spans="1:17" ht="14.2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</row>
    <row r="702" spans="1:17" ht="14.2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</row>
    <row r="703" spans="1:17" ht="14.2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</row>
    <row r="704" spans="1:17" ht="14.2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</row>
    <row r="705" spans="1:17" ht="14.2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</row>
    <row r="706" spans="1:17" ht="14.2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</row>
    <row r="707" spans="1:17" ht="14.2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</row>
    <row r="708" spans="1:17" ht="14.2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</row>
    <row r="709" spans="1:17" ht="14.2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</row>
    <row r="710" spans="1:17" ht="14.2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</row>
    <row r="711" spans="1:17" ht="14.2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</row>
    <row r="712" spans="1:17" ht="14.2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</row>
    <row r="713" spans="1:17" ht="14.2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</row>
    <row r="714" spans="1:17" ht="14.2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</row>
    <row r="715" spans="1:17" ht="14.2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</row>
    <row r="716" spans="1:17" ht="14.2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</row>
    <row r="717" spans="1:17" ht="14.2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</row>
    <row r="718" spans="1:17" ht="14.2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</row>
    <row r="719" spans="1:17" ht="14.2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</row>
    <row r="720" spans="1:17" ht="14.2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</row>
    <row r="721" spans="1:17" ht="14.2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</row>
    <row r="722" spans="1:17" ht="14.2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</row>
    <row r="723" spans="1:17" ht="14.2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</row>
    <row r="724" spans="1:17" ht="14.2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</row>
    <row r="725" spans="1:17" ht="14.2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</row>
    <row r="726" spans="1:17" ht="14.2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</row>
    <row r="727" spans="1:17" ht="14.2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</row>
    <row r="728" spans="1:17" ht="14.2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</row>
    <row r="729" spans="1:17" ht="14.2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</row>
    <row r="730" spans="1:17" ht="14.2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</row>
    <row r="731" spans="1:17" ht="14.2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</row>
    <row r="732" spans="1:17" ht="14.2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</row>
    <row r="733" spans="1:17" ht="14.2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</row>
    <row r="734" spans="1:17" ht="14.2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</row>
    <row r="735" spans="1:17" ht="14.2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</row>
    <row r="736" spans="1:17" ht="14.2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</row>
    <row r="737" spans="1:17" ht="14.2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</row>
    <row r="738" spans="1:17" ht="14.2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</row>
    <row r="739" spans="1:17" ht="14.2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</row>
    <row r="740" spans="1:17" ht="14.2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</row>
    <row r="741" spans="1:17" ht="14.2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</row>
    <row r="742" spans="1:17" ht="14.2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</row>
    <row r="743" spans="1:17" ht="14.2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</row>
    <row r="744" spans="1:17" ht="14.2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</row>
    <row r="745" spans="1:17" ht="14.2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</row>
    <row r="746" spans="1:17" ht="14.2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</row>
    <row r="747" spans="1:17" ht="14.2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</row>
    <row r="748" spans="1:17" ht="14.2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</row>
    <row r="749" spans="1:17" ht="14.2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</row>
    <row r="750" spans="1:17" ht="14.2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</row>
    <row r="751" spans="1:17" ht="14.2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</row>
    <row r="752" spans="1:17" ht="14.2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</row>
    <row r="753" spans="1:17" ht="14.2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</row>
    <row r="754" spans="1:17" ht="14.2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</row>
    <row r="755" spans="1:17" ht="14.2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</row>
    <row r="756" spans="1:17" ht="14.2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</row>
    <row r="757" spans="1:17" ht="14.2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</row>
    <row r="758" spans="1:17" ht="14.2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</row>
    <row r="759" spans="1:17" ht="14.2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</row>
    <row r="760" spans="1:17" ht="14.2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</row>
    <row r="761" spans="1:17" ht="14.2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</row>
    <row r="762" spans="1:17" ht="14.2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</row>
    <row r="763" spans="1:17" ht="14.2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</row>
    <row r="764" spans="1:17" ht="14.2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</row>
    <row r="765" spans="1:17" ht="14.2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</row>
    <row r="766" spans="1:17" ht="14.2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</row>
    <row r="767" spans="1:17" ht="14.2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</row>
    <row r="768" spans="1:17" ht="14.2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</row>
    <row r="769" spans="1:17" ht="14.2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</row>
    <row r="770" spans="1:17" ht="14.2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</row>
    <row r="771" spans="1:17" ht="14.2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</row>
    <row r="772" spans="1:17" ht="14.2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</row>
    <row r="773" spans="1:17" ht="14.2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</row>
    <row r="774" spans="1:17" ht="14.2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</row>
    <row r="775" spans="1:17" ht="14.2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</row>
    <row r="776" spans="1:17" ht="14.2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</row>
    <row r="777" spans="1:17" ht="14.2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</row>
    <row r="778" spans="1:17" ht="14.2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</row>
    <row r="779" spans="1:17" ht="14.2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</row>
    <row r="780" spans="1:17" ht="14.2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</row>
    <row r="781" spans="1:17" ht="14.2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</row>
    <row r="782" spans="1:17" ht="14.2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</row>
    <row r="783" spans="1:17" ht="14.2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</row>
    <row r="784" spans="1:17" ht="14.2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</row>
    <row r="785" spans="1:17" ht="14.2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</row>
    <row r="786" spans="1:17" ht="14.2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</row>
    <row r="787" spans="1:17" ht="14.2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</row>
    <row r="788" spans="1:17" ht="14.2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</row>
    <row r="789" spans="1:17" ht="14.2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</row>
    <row r="790" spans="1:17" ht="14.2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</row>
    <row r="791" spans="1:17" ht="14.2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</row>
    <row r="792" spans="1:17" ht="14.2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</row>
    <row r="793" spans="1:17" ht="14.2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</row>
    <row r="794" spans="1:17" ht="14.2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</row>
    <row r="795" spans="1:17" ht="14.2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</row>
    <row r="796" spans="1:17" ht="14.2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</row>
    <row r="797" spans="1:17" ht="14.2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</row>
    <row r="798" spans="1:17" ht="14.2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</row>
    <row r="799" spans="1:17" ht="14.2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</row>
    <row r="800" spans="1:17" ht="14.2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</row>
    <row r="801" spans="1:17" ht="14.2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</row>
    <row r="802" spans="1:17" ht="14.2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</row>
    <row r="803" spans="1:17" ht="14.2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</row>
    <row r="804" spans="1:17" ht="14.2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</row>
    <row r="805" spans="1:17" ht="14.2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</row>
    <row r="806" spans="1:17" ht="14.2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</row>
    <row r="807" spans="1:17" ht="14.2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</row>
    <row r="808" spans="1:17" ht="14.2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</row>
    <row r="809" spans="1:17" ht="14.2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</row>
    <row r="810" spans="1:17" ht="14.2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</row>
    <row r="811" spans="1:17" ht="14.2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</row>
    <row r="812" spans="1:17" ht="14.2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</row>
    <row r="813" spans="1:17" ht="14.2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</row>
    <row r="814" spans="1:17" ht="14.2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</row>
    <row r="815" spans="1:17" ht="14.2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</row>
    <row r="816" spans="1:17" ht="14.2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</row>
    <row r="817" spans="1:17" ht="14.2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</row>
    <row r="818" spans="1:17" ht="14.2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</row>
    <row r="819" spans="1:17" ht="14.2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</row>
    <row r="820" spans="1:17" ht="14.2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</row>
    <row r="821" spans="1:17" ht="14.2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</row>
    <row r="822" spans="1:17" ht="14.2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</row>
    <row r="823" spans="1:17" ht="14.2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</row>
    <row r="824" spans="1:17" ht="14.2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</row>
    <row r="825" spans="1:17" ht="14.2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</row>
    <row r="826" spans="1:17" ht="14.2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</row>
    <row r="827" spans="1:17" ht="14.2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</row>
    <row r="828" spans="1:17" ht="14.2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</row>
    <row r="829" spans="1:17" ht="14.2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</row>
    <row r="830" spans="1:17" ht="14.2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</row>
    <row r="831" spans="1:17" ht="14.2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</row>
    <row r="832" spans="1:17" ht="14.2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</row>
    <row r="833" spans="1:17" ht="14.2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</row>
    <row r="834" spans="1:17" ht="14.2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</row>
    <row r="835" spans="1:17" ht="14.2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</row>
    <row r="836" spans="1:17" ht="14.2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</row>
    <row r="837" spans="1:17" ht="14.2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</row>
    <row r="838" spans="1:17" ht="14.2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</row>
    <row r="839" spans="1:17" ht="14.2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</row>
    <row r="840" spans="1:17" ht="14.2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</row>
    <row r="841" spans="1:17" ht="14.2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</row>
    <row r="842" spans="1:17" ht="14.2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</row>
    <row r="843" spans="1:17" ht="14.2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</row>
    <row r="844" spans="1:17" ht="14.2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</row>
    <row r="845" spans="1:17" ht="14.2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</row>
    <row r="846" spans="1:17" ht="14.2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</row>
    <row r="847" spans="1:17" ht="14.2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</row>
    <row r="848" spans="1:17" ht="14.2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</row>
    <row r="849" spans="1:17" ht="14.2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</row>
    <row r="850" spans="1:17" ht="14.2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</row>
    <row r="851" spans="1:17" ht="14.2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</row>
    <row r="852" spans="1:17" ht="14.2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</row>
    <row r="853" spans="1:17" ht="14.2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</row>
    <row r="854" spans="1:17" ht="14.2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</row>
    <row r="855" spans="1:17" ht="14.2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</row>
    <row r="856" spans="1:17" ht="14.2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</row>
    <row r="857" spans="1:17" ht="14.2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</row>
    <row r="858" spans="1:17" ht="14.2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</row>
    <row r="859" spans="1:17" ht="14.2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</row>
    <row r="860" spans="1:17" ht="14.2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</row>
    <row r="861" spans="1:17" ht="14.2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</row>
    <row r="862" spans="1:17" ht="14.2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</row>
    <row r="863" spans="1:17" ht="14.2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</row>
    <row r="864" spans="1:17" ht="14.2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</row>
    <row r="865" spans="1:17" ht="14.2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</row>
    <row r="866" spans="1:17" ht="14.2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</row>
    <row r="867" spans="1:17" ht="14.2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</row>
    <row r="868" spans="1:17" ht="14.2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</row>
    <row r="869" spans="1:17" ht="14.2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</row>
    <row r="870" spans="1:17" ht="14.2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</row>
    <row r="871" spans="1:17" ht="14.2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</row>
    <row r="872" spans="1:17" ht="14.2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</row>
    <row r="873" spans="1:17" ht="14.2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</row>
    <row r="874" spans="1:17" ht="14.2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</row>
    <row r="875" spans="1:17" ht="14.2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</row>
    <row r="876" spans="1:17" ht="14.2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</row>
    <row r="877" spans="1:17" ht="14.2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</row>
    <row r="878" spans="1:17" ht="14.2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</row>
    <row r="879" spans="1:17" ht="14.2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</row>
    <row r="880" spans="1:17" ht="14.2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</row>
    <row r="881" spans="1:17" ht="14.2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</row>
    <row r="882" spans="1:17" ht="14.2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</row>
    <row r="883" spans="1:17" ht="14.2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</row>
    <row r="884" spans="1:17" ht="14.2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</row>
    <row r="885" spans="1:17" ht="14.2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</row>
    <row r="886" spans="1:17" ht="14.2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</row>
    <row r="887" spans="1:17" ht="14.2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</row>
    <row r="888" spans="1:17" ht="14.2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</row>
    <row r="889" spans="1:17" ht="14.2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</row>
    <row r="890" spans="1:17" ht="14.2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</row>
    <row r="891" spans="1:17" ht="14.2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</row>
    <row r="892" spans="1:17" ht="14.2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</row>
    <row r="893" spans="1:17" ht="14.2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</row>
    <row r="894" spans="1:17" ht="14.2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</row>
    <row r="895" spans="1:17" ht="14.2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</row>
    <row r="896" spans="1:17" ht="14.2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</row>
    <row r="897" spans="1:17" ht="14.2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</row>
    <row r="898" spans="1:17" ht="14.2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</row>
    <row r="899" spans="1:17" ht="14.2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</row>
    <row r="900" spans="1:17" ht="14.2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</row>
    <row r="901" spans="1:17" ht="14.2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</row>
    <row r="902" spans="1:17" ht="14.2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</row>
    <row r="903" spans="1:17" ht="14.2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</row>
    <row r="904" spans="1:17" ht="14.2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</row>
    <row r="905" spans="1:17" ht="14.2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</row>
    <row r="906" spans="1:17" ht="14.2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</row>
    <row r="907" spans="1:17" ht="14.2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</row>
    <row r="908" spans="1:17" ht="14.2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</row>
    <row r="909" spans="1:17" ht="14.2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</row>
    <row r="910" spans="1:17" ht="14.2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</row>
    <row r="911" spans="1:17" ht="14.2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</row>
    <row r="912" spans="1:17" ht="14.2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</row>
    <row r="913" spans="1:17" ht="14.2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</row>
    <row r="914" spans="1:17" ht="14.2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</row>
    <row r="915" spans="1:17" ht="14.2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</row>
    <row r="916" spans="1:17" ht="14.2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</row>
    <row r="917" spans="1:17" ht="14.2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</row>
    <row r="918" spans="1:17" ht="14.2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</row>
    <row r="919" spans="1:17" ht="14.2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</row>
    <row r="920" spans="1:17" ht="14.2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</row>
    <row r="921" spans="1:17" ht="14.2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</row>
    <row r="922" spans="1:17" ht="14.2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</row>
    <row r="923" spans="1:17" ht="14.2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</row>
    <row r="924" spans="1:17" ht="14.2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</row>
    <row r="925" spans="1:17" ht="14.2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</row>
    <row r="926" spans="1:17" ht="14.2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</row>
    <row r="927" spans="1:17" ht="14.2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</row>
    <row r="928" spans="1:17" ht="14.2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</row>
    <row r="929" spans="1:17" ht="14.2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</row>
    <row r="930" spans="1:17" ht="14.2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</row>
    <row r="931" spans="1:17" ht="14.2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</row>
    <row r="932" spans="1:17" ht="14.2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</row>
    <row r="933" spans="1:17" ht="14.2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</row>
    <row r="934" spans="1:17" ht="14.2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</row>
    <row r="935" spans="1:17" ht="14.2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</row>
    <row r="936" spans="1:17" ht="14.2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</row>
    <row r="937" spans="1:17" ht="14.2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</row>
    <row r="938" spans="1:17" ht="14.2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</row>
    <row r="939" spans="1:17" ht="14.2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</row>
    <row r="940" spans="1:17" ht="14.2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</row>
    <row r="941" spans="1:17" ht="14.2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</row>
    <row r="942" spans="1:17" ht="14.2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</row>
    <row r="943" spans="1:17" ht="14.2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</row>
    <row r="944" spans="1:17" ht="14.2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</row>
    <row r="945" spans="1:17" ht="14.2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</row>
    <row r="946" spans="1:17" ht="14.2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</row>
    <row r="947" spans="1:17" ht="14.2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</row>
    <row r="948" spans="1:17" ht="14.2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</row>
    <row r="949" spans="1:17" ht="14.2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</row>
    <row r="950" spans="1:17" ht="14.2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</row>
    <row r="951" spans="1:17" ht="14.2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</row>
    <row r="952" spans="1:17" ht="14.2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</row>
    <row r="953" spans="1:17" ht="14.2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</row>
    <row r="954" spans="1:17" ht="14.2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</row>
    <row r="955" spans="1:17" ht="14.2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</row>
    <row r="956" spans="1:17" ht="14.2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</row>
    <row r="957" spans="1:17" ht="14.2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</row>
    <row r="958" spans="1:17" ht="14.2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</row>
    <row r="959" spans="1:17" ht="14.2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</row>
    <row r="960" spans="1:17" ht="14.2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</row>
    <row r="961" spans="1:17" ht="14.2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</row>
    <row r="962" spans="1:17" ht="14.2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</row>
    <row r="963" spans="1:17" ht="14.2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</row>
    <row r="964" spans="1:17" ht="14.2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</row>
    <row r="965" spans="1:17" ht="14.2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</row>
    <row r="966" spans="1:17" ht="14.2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</row>
    <row r="967" spans="1:17" ht="14.2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</row>
    <row r="968" spans="1:17" ht="14.2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</row>
    <row r="969" spans="1:17" ht="14.2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</row>
    <row r="970" spans="1:17" ht="14.2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</row>
    <row r="971" spans="1:17" ht="14.2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</row>
    <row r="972" spans="1:17" ht="14.2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</row>
    <row r="973" spans="1:17" ht="14.2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</row>
    <row r="974" spans="1:17" ht="14.2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</row>
    <row r="975" spans="1:17" ht="14.2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</row>
    <row r="976" spans="1:17" ht="14.2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</row>
    <row r="977" spans="1:17" ht="14.2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</row>
    <row r="978" spans="1:17" ht="14.2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</row>
    <row r="979" spans="1:17" ht="14.2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</row>
    <row r="980" spans="1:17" ht="14.2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</row>
    <row r="981" spans="1:17" ht="14.2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</row>
    <row r="982" spans="1:17" ht="14.2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</row>
    <row r="983" spans="1:17" ht="14.2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</row>
    <row r="984" spans="1:17" ht="14.2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</row>
    <row r="985" spans="1:17" ht="14.2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</row>
    <row r="986" spans="1:17" ht="14.2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</row>
    <row r="987" spans="1:17" ht="14.2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</row>
    <row r="988" spans="1:17" ht="14.2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</row>
    <row r="989" spans="1:17" ht="14.2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</row>
    <row r="990" spans="1:17" ht="14.2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</row>
    <row r="991" spans="1:17" ht="14.2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</row>
    <row r="992" spans="1:17" ht="14.2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</row>
    <row r="993" spans="1:17" ht="14.2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</row>
    <row r="994" spans="1:17" ht="14.2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</row>
    <row r="995" spans="1:17" ht="14.2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</row>
    <row r="996" spans="1:17" ht="14.2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</row>
    <row r="997" spans="1:17" ht="14.2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</row>
    <row r="998" spans="1:17" ht="14.2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</row>
    <row r="999" spans="1:17" ht="14.2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</row>
    <row r="1000" spans="1:17" ht="14.2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Z1000"/>
  <sheetViews>
    <sheetView workbookViewId="0">
      <selection activeCell="I20" sqref="I20"/>
    </sheetView>
  </sheetViews>
  <sheetFormatPr baseColWidth="10" defaultColWidth="12.59765625" defaultRowHeight="15" customHeight="1"/>
  <cols>
    <col min="1" max="1" width="14.09765625" customWidth="1"/>
    <col min="2" max="2" width="13" customWidth="1"/>
    <col min="3" max="3" width="17.8984375" customWidth="1"/>
    <col min="4" max="4" width="17.5" customWidth="1"/>
    <col min="5" max="26" width="11" customWidth="1"/>
  </cols>
  <sheetData>
    <row r="1" spans="1:26" ht="14.25" customHeight="1">
      <c r="A1" s="2" t="s">
        <v>463</v>
      </c>
      <c r="B1" s="2" t="s">
        <v>7</v>
      </c>
      <c r="C1" s="2" t="s">
        <v>8</v>
      </c>
      <c r="D1" s="2" t="s">
        <v>462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4.25" customHeight="1">
      <c r="A2" s="53">
        <v>1</v>
      </c>
      <c r="B2" s="54" t="s">
        <v>11</v>
      </c>
      <c r="C2" s="54"/>
      <c r="D2" s="54"/>
      <c r="E2" s="55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4.25" customHeight="1">
      <c r="A3" s="53">
        <v>2</v>
      </c>
      <c r="B3" s="54" t="s">
        <v>15</v>
      </c>
      <c r="C3" s="54"/>
      <c r="D3" s="54"/>
      <c r="E3" s="55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4.25" customHeight="1">
      <c r="A4" s="53">
        <v>3</v>
      </c>
      <c r="B4" s="54" t="s">
        <v>17</v>
      </c>
      <c r="C4" s="54"/>
      <c r="D4" s="54"/>
      <c r="E4" s="55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4.25" customHeight="1">
      <c r="A5" s="53">
        <v>4</v>
      </c>
      <c r="B5" s="54" t="s">
        <v>20</v>
      </c>
      <c r="C5" s="54"/>
      <c r="D5" s="54"/>
      <c r="E5" s="55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4.25" customHeight="1">
      <c r="A6" s="53">
        <v>5</v>
      </c>
      <c r="B6" s="54" t="s">
        <v>263</v>
      </c>
      <c r="C6" s="54"/>
      <c r="D6" s="54"/>
      <c r="E6" s="55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4.25" customHeight="1">
      <c r="A7" s="53">
        <v>6</v>
      </c>
      <c r="B7" s="54" t="s">
        <v>25</v>
      </c>
      <c r="C7" s="54"/>
      <c r="D7" s="54"/>
      <c r="E7" s="55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4.25" customHeight="1">
      <c r="A8" s="53">
        <v>7</v>
      </c>
      <c r="B8" s="54" t="s">
        <v>27</v>
      </c>
      <c r="C8" s="54"/>
      <c r="D8" s="54"/>
      <c r="E8" s="55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4.25" customHeight="1">
      <c r="A9" s="53">
        <v>8</v>
      </c>
      <c r="B9" s="54" t="s">
        <v>29</v>
      </c>
      <c r="C9" s="54"/>
      <c r="D9" s="54"/>
      <c r="E9" s="55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4.25" customHeight="1">
      <c r="A10" s="53">
        <v>9</v>
      </c>
      <c r="B10" s="54" t="s">
        <v>31</v>
      </c>
      <c r="C10" s="54"/>
      <c r="D10" s="54"/>
      <c r="E10" s="55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4.25" customHeight="1">
      <c r="A11" s="53">
        <v>10</v>
      </c>
      <c r="B11" s="54" t="s">
        <v>323</v>
      </c>
      <c r="C11" s="8"/>
      <c r="D11" s="54"/>
      <c r="E11" s="55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4.25" customHeight="1">
      <c r="A12" s="53">
        <v>11</v>
      </c>
      <c r="B12" s="54" t="s">
        <v>34</v>
      </c>
      <c r="C12" s="54"/>
      <c r="D12" s="54"/>
      <c r="E12" s="55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4.25" customHeight="1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4.2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4.25" customHeight="1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4.2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4.2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4.2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4.2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4.2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4.2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4.2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4.2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4.2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4.2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4.2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4.2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4.2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4.2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4.2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4.2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4.2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4.2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4.2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4.2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4.2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4.2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4.2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4.2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4.2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4.2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4.2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4.2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4.2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4.2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4.2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4.2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4.2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4.2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4.2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4.2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4.2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4.2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4.2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4.2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4.2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4.2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4.2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4.2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4.2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4.2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4.2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4.2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4.2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4.2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4.2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4.2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4.2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4.2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4.2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4.2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4.2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4.2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4.2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4.2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4.2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4.2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4.2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4.2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4.2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4.2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4.2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4.2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4.2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4.2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4.2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4.2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4.2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4.2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4.2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4.2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4.2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4.2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4.2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4.2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4.2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4.2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4.2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4.2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4.2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4.2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4.2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4.2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4.2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4.2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4.2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4.2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4.2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4.2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4.2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4.2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4.2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4.2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4.2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4.2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4.2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4.2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4.2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4.2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4.2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4.2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4.2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4.2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4.2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4.2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4.2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4.2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4.2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4.2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4.2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4.2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4.2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4.2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4.2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4.2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4.2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4.2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4.2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4.2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4.2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4.2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4.2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4.2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4.2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4.2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4.2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4.2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4.2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4.2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4.2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4.2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4.2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4.2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4.2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4.2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4.2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4.2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4.2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4.2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4.2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4.2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4.2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4.2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4.2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4.2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4.2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4.2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4.2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4.2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4.2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4.2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4.2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4.2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4.2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4.2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4.2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4.2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4.2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4.2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4.2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4.2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4.2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4.2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4.2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4.2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4.2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4.2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4.2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4.2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4.2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4.2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4.2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4.2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4.2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4.2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4.2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4.2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4.2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4.2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4.2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4.2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4.2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4.2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4.2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4.2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4.2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4.2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4.2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4.2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4.2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4.2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4.2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4.2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4.2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4.2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4.2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4.2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4.2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4.2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4.2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4.2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4.2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4.2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4.2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4.2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4.2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4.2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4.2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4.2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4.2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4.2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4.2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4.2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4.2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4.2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14.2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14.2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14.2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14.2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14.2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14.2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1:26" ht="14.2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1:26" ht="14.2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1:26" ht="14.2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1:26" ht="14.2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1:26" ht="14.2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1:26" ht="14.2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1:26" ht="14.2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1:26" ht="14.2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1:26" ht="14.2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1:26" ht="14.2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1:26" ht="14.2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1:26" ht="14.2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1:26" ht="14.2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1:26" ht="14.2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1:26" ht="14.2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1:26" ht="14.2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1:26" ht="14.2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1:26" ht="14.2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1:26" ht="14.2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1:26" ht="14.2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1:26" ht="14.2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1:26" ht="14.2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1:26" ht="14.2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1:26" ht="14.2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1:26" ht="14.2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1:26" ht="14.2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1:26" ht="14.2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1:26" ht="14.2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1:26" ht="14.2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1:26" ht="14.2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1:26" ht="14.2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1:26" ht="14.2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1:26" ht="14.2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1:26" ht="14.2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1:26" ht="14.2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1:26" ht="14.2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1:26" ht="14.2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1:26" ht="14.2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1:26" ht="14.2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1:26" ht="14.2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1:26" ht="14.2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1:26" ht="14.2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1:26" ht="14.2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spans="1:26" ht="14.2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spans="1:26" ht="14.2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spans="1:26" ht="14.2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spans="1:26" ht="14.2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spans="1:26" ht="14.2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spans="1:26" ht="14.2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spans="1:26" ht="14.2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spans="1:26" ht="14.2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spans="1:26" ht="14.2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spans="1:26" ht="14.2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spans="1:26" ht="14.2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spans="1:26" ht="14.2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spans="1:26" ht="14.2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spans="1:26" ht="14.2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spans="1:26" ht="14.2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spans="1:26" ht="14.2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spans="1:26" ht="14.2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spans="1:26" ht="14.2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spans="1:26" ht="14.2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spans="1:26" ht="14.2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spans="1:26" ht="14.2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spans="1:26" ht="14.2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4.2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14.2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spans="1:26" ht="14.2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spans="1:26" ht="14.2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spans="1:26" ht="14.2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spans="1:26" ht="14.2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spans="1:26" ht="14.2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spans="1:26" ht="14.2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spans="1:26" ht="14.2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spans="1:26" ht="14.2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spans="1:26" ht="14.2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spans="1:26" ht="14.2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spans="1:26" ht="14.2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spans="1:26" ht="14.2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spans="1:26" ht="14.2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spans="1:26" ht="14.2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spans="1:26" ht="14.2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spans="1:26" ht="14.2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spans="1:26" ht="14.2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spans="1:26" ht="14.2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spans="1:26" ht="14.2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spans="1:26" ht="14.2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spans="1:26" ht="14.2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spans="1:26" ht="14.2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spans="1:26" ht="14.2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spans="1:26" ht="14.2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spans="1:26" ht="14.2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spans="1:26" ht="14.2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spans="1:26" ht="14.2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spans="1:26" ht="14.2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spans="1:26" ht="14.2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spans="1:26" ht="14.2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spans="1:26" ht="14.2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spans="1:26" ht="14.2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spans="1:26" ht="14.2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spans="1:26" ht="14.2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spans="1:26" ht="14.2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spans="1:26" ht="14.2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spans="1:26" ht="14.2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spans="1:26" ht="14.2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spans="1:26" ht="14.2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spans="1:26" ht="14.2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spans="1:26" ht="14.2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spans="1:26" ht="14.2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spans="1:26" ht="14.2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spans="1:26" ht="14.2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spans="1:26" ht="14.2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spans="1:26" ht="14.2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spans="1:26" ht="14.2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spans="1:26" ht="14.2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spans="1:26" ht="14.2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spans="1:26" ht="14.2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spans="1:26" ht="14.2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spans="1:26" ht="14.2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spans="1:26" ht="14.2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spans="1:26" ht="14.2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spans="1:26" ht="14.2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spans="1:26" ht="14.2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spans="1:26" ht="14.2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spans="1:26" ht="14.2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spans="1:26" ht="14.2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spans="1:26" ht="14.2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spans="1:26" ht="14.2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spans="1:26" ht="14.2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spans="1:26" ht="14.2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spans="1:26" ht="14.2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spans="1:26" ht="14.2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spans="1:26" ht="14.2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spans="1:26" ht="14.2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spans="1:26" ht="14.2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spans="1:26" ht="14.2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spans="1:26" ht="14.2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spans="1:26" ht="14.2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spans="1:26" ht="14.2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spans="1:26" ht="14.2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spans="1:26" ht="14.2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spans="1:26" ht="14.2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spans="1:26" ht="14.2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spans="1:26" ht="14.2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spans="1:26" ht="14.2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spans="1:26" ht="14.2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spans="1:26" ht="14.2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spans="1:26" ht="14.2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spans="1:26" ht="14.2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spans="1:26" ht="14.2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spans="1:26" ht="14.2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spans="1:26" ht="14.2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spans="1:26" ht="14.2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spans="1:26" ht="14.2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spans="1:26" ht="14.2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spans="1:26" ht="14.2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spans="1:26" ht="14.2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spans="1:26" ht="14.2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spans="1:26" ht="14.2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spans="1:26" ht="14.2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spans="1:26" ht="14.2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spans="1:26" ht="14.2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spans="1:26" ht="14.2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spans="1:26" ht="14.2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spans="1:26" ht="14.2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spans="1:26" ht="14.2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spans="1:26" ht="14.2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spans="1:26" ht="14.2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spans="1:26" ht="14.2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spans="1:26" ht="14.2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spans="1:26" ht="14.2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spans="1:26" ht="14.2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spans="1:26" ht="14.2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spans="1:26" ht="14.2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spans="1:26" ht="14.2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spans="1:26" ht="14.2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spans="1:26" ht="14.2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spans="1:26" ht="14.2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spans="1:26" ht="14.2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spans="1:26" ht="14.2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spans="1:26" ht="14.2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spans="1:26" ht="14.2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spans="1:26" ht="14.2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spans="1:26" ht="14.2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spans="1:26" ht="14.2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spans="1:26" ht="14.2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spans="1:26" ht="14.2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spans="1:26" ht="14.2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spans="1:26" ht="14.2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spans="1:26" ht="14.2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spans="1:26" ht="14.2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spans="1:26" ht="14.2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spans="1:26" ht="14.2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spans="1:26" ht="14.2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spans="1:26" ht="14.2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spans="1:26" ht="14.2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spans="1:26" ht="14.2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spans="1:26" ht="14.2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spans="1:26" ht="14.2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spans="1:26" ht="14.2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spans="1:26" ht="14.2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spans="1:26" ht="14.2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spans="1:26" ht="14.2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spans="1:26" ht="14.2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spans="1:26" ht="14.2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spans="1:26" ht="14.2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spans="1:26" ht="14.2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spans="1:26" ht="14.2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spans="1:26" ht="14.2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spans="1:26" ht="14.2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spans="1:26" ht="14.2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spans="1:26" ht="14.2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spans="1:26" ht="14.2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spans="1:26" ht="14.2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spans="1:26" ht="14.2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spans="1:26" ht="14.2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spans="1:26" ht="14.2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spans="1:26" ht="14.2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spans="1:26" ht="14.2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spans="1:26" ht="14.2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spans="1:26" ht="14.2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spans="1:26" ht="14.2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spans="1:26" ht="14.2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spans="1:26" ht="14.2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spans="1:26" ht="14.2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spans="1:26" ht="14.2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spans="1:26" ht="14.2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spans="1:26" ht="14.2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spans="1:26" ht="14.2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spans="1:26" ht="14.2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spans="1:26" ht="14.2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spans="1:26" ht="14.2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spans="1:26" ht="14.2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spans="1:26" ht="14.2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spans="1:26" ht="14.2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spans="1:26" ht="14.2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spans="1:26" ht="14.2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spans="1:26" ht="14.2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spans="1:26" ht="14.2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spans="1:26" ht="14.2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spans="1:26" ht="14.2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spans="1:26" ht="14.2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spans="1:26" ht="14.2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spans="1:26" ht="14.2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spans="1:26" ht="14.2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spans="1:26" ht="14.2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spans="1:26" ht="14.2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spans="1:26" ht="14.2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spans="1:26" ht="14.2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spans="1:26" ht="14.2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spans="1:26" ht="14.2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spans="1:26" ht="14.2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spans="1:26" ht="14.2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spans="1:26" ht="14.2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spans="1:26" ht="14.2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spans="1:26" ht="14.2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spans="1:26" ht="14.2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spans="1:26" ht="14.2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spans="1:26" ht="14.2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spans="1:26" ht="14.2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spans="1:26" ht="14.2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spans="1:26" ht="14.2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spans="1:26" ht="14.2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spans="1:26" ht="14.2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spans="1:26" ht="14.2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spans="1:26" ht="14.2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spans="1:26" ht="14.2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spans="1:26" ht="14.2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spans="1:26" ht="14.2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spans="1:26" ht="14.2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spans="1:26" ht="14.2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spans="1:26" ht="14.2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spans="1:26" ht="14.2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spans="1:26" ht="14.2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spans="1:26" ht="14.2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spans="1:26" ht="14.2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spans="1:26" ht="14.2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spans="1:26" ht="14.2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spans="1:26" ht="14.2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spans="1:26" ht="14.2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spans="1:26" ht="14.2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spans="1:26" ht="14.2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spans="1:26" ht="14.2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spans="1:26" ht="14.2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spans="1:26" ht="14.2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spans="1:26" ht="14.2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spans="1:26" ht="14.2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spans="1:26" ht="14.2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spans="1:26" ht="14.2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spans="1:26" ht="14.2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spans="1:26" ht="14.2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spans="1:26" ht="14.2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spans="1:26" ht="14.2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spans="1:26" ht="14.2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spans="1:26" ht="14.2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spans="1:26" ht="14.2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spans="1:26" ht="14.2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spans="1:26" ht="14.2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spans="1:26" ht="14.2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spans="1:26" ht="14.2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spans="1:26" ht="14.2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spans="1:26" ht="14.2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spans="1:26" ht="14.2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spans="1:26" ht="14.2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spans="1:26" ht="14.2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spans="1:26" ht="14.2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spans="1:26" ht="14.2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spans="1:26" ht="14.2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spans="1:26" ht="14.2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spans="1:26" ht="14.2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spans="1:26" ht="14.2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spans="1:26" ht="14.2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spans="1:26" ht="14.2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spans="1:26" ht="14.2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spans="1:26" ht="14.2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spans="1:26" ht="14.2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spans="1:26" ht="14.2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spans="1:26" ht="14.2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spans="1:26" ht="14.2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spans="1:26" ht="14.2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spans="1:26" ht="14.2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spans="1:26" ht="14.2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spans="1:26" ht="14.2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spans="1:26" ht="14.2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spans="1:26" ht="14.2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spans="1:26" ht="14.2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spans="1:26" ht="14.2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spans="1:26" ht="14.2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spans="1:26" ht="14.2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spans="1:26" ht="14.2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spans="1:26" ht="14.2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spans="1:26" ht="14.2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spans="1:26" ht="14.2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spans="1:26" ht="14.2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spans="1:26" ht="14.2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spans="1:26" ht="14.2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spans="1:26" ht="14.2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spans="1:26" ht="14.2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spans="1:26" ht="14.2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spans="1:26" ht="14.2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spans="1:26" ht="14.2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spans="1:26" ht="14.2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spans="1:26" ht="14.2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spans="1:26" ht="14.2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spans="1:26" ht="14.2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spans="1:26" ht="14.2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spans="1:26" ht="14.2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spans="1:26" ht="14.2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spans="1:26" ht="14.2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spans="1:26" ht="14.2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spans="1:26" ht="14.2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spans="1:26" ht="14.2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spans="1:26" ht="14.2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spans="1:26" ht="14.2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spans="1:26" ht="14.2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spans="1:26" ht="14.2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spans="1:26" ht="14.2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spans="1:26" ht="14.2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spans="1:26" ht="14.2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spans="1:26" ht="14.2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spans="1:26" ht="14.2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spans="1:26" ht="14.2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spans="1:26" ht="14.2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spans="1:26" ht="14.2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spans="1:26" ht="14.2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spans="1:26" ht="14.2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spans="1:26" ht="14.2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spans="1:26" ht="14.2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spans="1:26" ht="14.2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spans="1:26" ht="14.2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spans="1:26" ht="14.2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spans="1:26" ht="14.2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spans="1:26" ht="14.2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spans="1:26" ht="14.2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spans="1:26" ht="14.2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spans="1:26" ht="14.2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spans="1:26" ht="14.2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spans="1:26" ht="14.2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spans="1:26" ht="14.2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spans="1:26" ht="14.2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spans="1:26" ht="14.2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spans="1:26" ht="14.2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spans="1:26" ht="14.2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spans="1:26" ht="14.2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spans="1:26" ht="14.2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spans="1:26" ht="14.2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spans="1:26" ht="14.2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spans="1:26" ht="14.2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spans="1:26" ht="14.2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spans="1:26" ht="14.2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spans="1:26" ht="14.2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spans="1:26" ht="14.2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spans="1:26" ht="14.2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spans="1:26" ht="14.2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spans="1:26" ht="14.2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spans="1:26" ht="14.2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spans="1:26" ht="14.2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spans="1:26" ht="14.2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spans="1:26" ht="14.2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spans="1:26" ht="14.2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spans="1:26" ht="14.2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spans="1:26" ht="14.2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spans="1:26" ht="14.2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spans="1:26" ht="14.2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spans="1:26" ht="14.2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spans="1:26" ht="14.2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spans="1:26" ht="14.2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spans="1:26" ht="14.2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spans="1:26" ht="14.2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spans="1:26" ht="14.2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spans="1:26" ht="14.2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spans="1:26" ht="14.2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spans="1:26" ht="14.2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spans="1:26" ht="14.2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spans="1:26" ht="14.2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spans="1:26" ht="14.2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spans="1:26" ht="14.2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spans="1:26" ht="14.2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spans="1:26" ht="14.2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spans="1:26" ht="14.2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spans="1:26" ht="14.2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spans="1:26" ht="14.2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spans="1:26" ht="14.2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spans="1:26" ht="14.2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spans="1:26" ht="14.2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spans="1:26" ht="14.2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spans="1:26" ht="14.2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spans="1:26" ht="14.2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spans="1:26" ht="14.2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spans="1:26" ht="14.2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spans="1:26" ht="14.2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spans="1:26" ht="14.2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spans="1:26" ht="14.2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spans="1:26" ht="14.2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spans="1:26" ht="14.2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spans="1:26" ht="14.2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spans="1:26" ht="14.2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spans="1:26" ht="14.2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spans="1:26" ht="14.2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spans="1:26" ht="14.2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spans="1:26" ht="14.2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spans="1:26" ht="14.2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spans="1:26" ht="14.2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spans="1:26" ht="14.2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spans="1:26" ht="14.2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spans="1:26" ht="14.2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spans="1:26" ht="14.2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spans="1:26" ht="14.2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spans="1:26" ht="14.2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spans="1:26" ht="14.2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spans="1:26" ht="14.2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spans="1:26" ht="14.2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spans="1:26" ht="14.2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spans="1:26" ht="14.2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spans="1:26" ht="14.2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spans="1:26" ht="14.2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spans="1:26" ht="14.2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spans="1:26" ht="14.2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spans="1:26" ht="14.2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spans="1:26" ht="14.2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spans="1:26" ht="14.2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spans="1:26" ht="14.2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spans="1:26" ht="14.2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spans="1:26" ht="14.2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spans="1:26" ht="14.2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spans="1:26" ht="14.2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spans="1:26" ht="14.2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spans="1:26" ht="14.2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spans="1:26" ht="14.2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spans="1:26" ht="14.2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spans="1:26" ht="14.2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spans="1:26" ht="14.2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spans="1:26" ht="14.2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spans="1:26" ht="14.2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spans="1:26" ht="14.2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spans="1:26" ht="14.2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spans="1:26" ht="14.2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spans="1:26" ht="14.2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spans="1:26" ht="14.2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spans="1:26" ht="14.2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spans="1:26" ht="14.2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spans="1:26" ht="14.2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spans="1:26" ht="14.2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spans="1:26" ht="14.2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spans="1:26" ht="14.2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spans="1:26" ht="14.2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spans="1:26" ht="14.2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spans="1:26" ht="14.2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spans="1:26" ht="14.2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spans="1:26" ht="14.2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spans="1:26" ht="14.2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spans="1:26" ht="14.2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spans="1:26" ht="14.2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spans="1:26" ht="14.2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spans="1:26" ht="14.2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spans="1:26" ht="14.2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spans="1:26" ht="14.2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spans="1:26" ht="14.2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spans="1:26" ht="14.2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spans="1:26" ht="14.2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spans="1:26" ht="14.2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spans="1:26" ht="14.2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spans="1:26" ht="14.2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spans="1:26" ht="14.2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spans="1:26" ht="14.2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spans="1:26" ht="14.2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spans="1:26" ht="14.2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spans="1:26" ht="14.2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spans="1:26" ht="14.2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spans="1:26" ht="14.2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spans="1:26" ht="14.2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spans="1:26" ht="14.2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spans="1:26" ht="14.2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spans="1:26" ht="14.2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spans="1:26" ht="14.2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spans="1:26" ht="14.2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spans="1:26" ht="14.2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spans="1:26" ht="14.2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spans="1:26" ht="14.2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spans="1:26" ht="14.2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spans="1:26" ht="14.2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spans="1:26" ht="14.2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spans="1:26" ht="14.2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spans="1:26" ht="14.2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spans="1:26" ht="14.2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spans="1:26" ht="14.2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spans="1:26" ht="14.2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spans="1:26" ht="14.2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spans="1:26" ht="14.2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spans="1:26" ht="14.2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spans="1:26" ht="14.2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spans="1:26" ht="14.2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spans="1:26" ht="14.2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spans="1:26" ht="14.2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spans="1:26" ht="14.2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spans="1:26" ht="14.2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spans="1:26" ht="14.2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spans="1:26" ht="14.2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spans="1:26" ht="14.2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spans="1:26" ht="14.2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spans="1:26" ht="14.2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spans="1:26" ht="14.2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spans="1:26" ht="14.2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spans="1:26" ht="14.2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spans="1:26" ht="14.2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spans="1:26" ht="14.2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spans="1:26" ht="14.2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spans="1:26" ht="14.2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spans="1:26" ht="14.2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spans="1:26" ht="14.2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spans="1:26" ht="14.2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spans="1:26" ht="14.2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spans="1:26" ht="14.2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spans="1:26" ht="14.2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spans="1:26" ht="14.2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spans="1:26" ht="14.2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spans="1:26" ht="14.2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spans="1:26" ht="14.2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spans="1:26" ht="14.2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spans="1:26" ht="14.2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spans="1:26" ht="14.2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spans="1:26" ht="14.2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spans="1:26" ht="14.2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spans="1:26" ht="14.2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spans="1:26" ht="14.2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spans="1:26" ht="14.2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spans="1:26" ht="14.2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spans="1:26" ht="14.2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spans="1:26" ht="14.2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spans="1:26" ht="14.2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spans="1:26" ht="14.2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spans="1:26" ht="14.2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spans="1:26" ht="14.2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spans="1:26" ht="14.2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spans="1:26" ht="14.2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spans="1:26" ht="14.2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spans="1:26" ht="14.2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spans="1:26" ht="14.2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spans="1:26" ht="14.2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spans="1:26" ht="14.2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spans="1:26" ht="14.2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spans="1:26" ht="14.2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spans="1:26" ht="14.2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spans="1:26" ht="14.2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spans="1:26" ht="14.2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spans="1:26" ht="14.2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spans="1:26" ht="14.2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spans="1:26" ht="14.2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spans="1:26" ht="14.2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spans="1:26" ht="14.2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spans="1:26" ht="14.2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spans="1:26" ht="14.2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spans="1:26" ht="14.2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spans="1:26" ht="14.2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spans="1:26" ht="14.2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spans="1:26" ht="14.2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spans="1:26" ht="14.2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spans="1:26" ht="14.2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spans="1:26" ht="14.2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spans="1:26" ht="14.2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spans="1:26" ht="14.2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spans="1:26" ht="14.2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spans="1:26" ht="14.2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spans="1:26" ht="14.2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spans="1:26" ht="14.2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spans="1:26" ht="14.2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spans="1:26" ht="14.2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spans="1:26" ht="14.2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spans="1:26" ht="14.2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spans="1:26" ht="14.2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spans="1:26" ht="14.2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spans="1:26" ht="14.2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spans="1:26" ht="14.2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spans="1:26" ht="14.2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spans="1:26" ht="14.2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spans="1:26" ht="14.2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spans="1:26" ht="14.2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spans="1:26" ht="14.2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spans="1:26" ht="14.2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spans="1:26" ht="14.2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spans="1:26" ht="14.2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spans="1:26" ht="14.2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spans="1:26" ht="14.2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spans="1:26" ht="14.2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spans="1:26" ht="14.2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spans="1:26" ht="14.2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spans="1:26" ht="14.2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spans="1:26" ht="14.2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spans="1:26" ht="14.2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spans="1:26" ht="14.2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spans="1:26" ht="14.2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spans="1:26" ht="14.2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spans="1:26" ht="14.2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spans="1:26" ht="14.2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spans="1:26" ht="14.2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spans="1:26" ht="14.2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spans="1:26" ht="14.2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spans="1:26" ht="14.2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spans="1:26" ht="14.2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spans="1:26" ht="14.2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spans="1:26" ht="14.2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spans="1:26" ht="14.2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spans="1:26" ht="14.2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spans="1:26" ht="14.2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spans="1:26" ht="14.2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spans="1:26" ht="14.2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spans="1:26" ht="14.2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spans="1:26" ht="14.2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spans="1:26" ht="14.2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spans="1:26" ht="14.2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spans="1:26" ht="14.2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spans="1:26" ht="14.2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spans="1:26" ht="14.2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spans="1:26" ht="14.2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spans="1:26" ht="14.2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spans="1:26" ht="14.2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spans="1:26" ht="14.2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spans="1:26" ht="14.2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spans="1:26" ht="14.2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spans="1:26" ht="14.2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spans="1:26" ht="14.2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spans="1:26" ht="14.2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spans="1:26" ht="14.2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spans="1:26" ht="14.2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spans="1:26" ht="14.2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spans="1:26" ht="14.2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spans="1:26" ht="14.2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spans="1:26" ht="14.2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spans="1:26" ht="14.2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spans="1:26" ht="14.2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spans="1:26" ht="14.2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spans="1:26" ht="14.2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spans="1:26" ht="14.2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spans="1:26" ht="14.2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spans="1:26" ht="14.2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spans="1:26" ht="14.2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spans="1:26" ht="14.2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spans="1:26" ht="14.2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spans="1:26" ht="14.2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spans="1:26" ht="14.2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spans="1:26" ht="14.2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spans="1:26" ht="14.2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spans="1:26" ht="14.2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spans="1:26" ht="14.2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spans="1:26" ht="14.2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spans="1:26" ht="14.2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spans="1:26" ht="14.2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spans="1:26" ht="14.2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spans="1:26" ht="14.2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spans="1:26" ht="14.2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spans="1:26" ht="14.2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spans="1:26" ht="14.2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spans="1:26" ht="14.2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spans="1:26" ht="14.2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spans="1:26" ht="14.2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spans="1:26" ht="14.2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spans="1:26" ht="14.2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spans="1:26" ht="14.2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spans="1:26" ht="14.2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spans="1:26" ht="14.2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spans="1:26" ht="14.2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spans="1:26" ht="14.2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spans="1:26" ht="14.2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spans="1:26" ht="14.2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spans="1:26" ht="14.2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spans="1:26" ht="14.2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spans="1:26" ht="14.2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spans="1:26" ht="14.2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spans="1:26" ht="14.2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spans="1:26" ht="14.2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spans="1:26" ht="14.2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spans="1:26" ht="14.2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spans="1:26" ht="14.2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spans="1:26" ht="14.2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spans="1:26" ht="14.2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spans="1:26" ht="14.2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spans="1:26" ht="14.2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spans="1:26" ht="14.2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spans="1:26" ht="14.2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spans="1:26" ht="14.2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spans="1:26" ht="14.2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spans="1:26" ht="14.2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spans="1:26" ht="14.2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spans="1:26" ht="14.2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spans="1:26" ht="14.2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spans="1:26" ht="14.2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spans="1:26" ht="14.2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spans="1:26" ht="14.2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spans="1:26" ht="14.2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spans="1:26" ht="14.2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spans="1:26" ht="14.2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spans="1:26" ht="14.2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spans="1:26" ht="14.2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spans="1:26" ht="14.2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spans="1:26" ht="14.2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spans="1:26" ht="14.2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spans="1:26" ht="14.2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spans="1:26" ht="14.2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spans="1:26" ht="14.2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spans="1:26" ht="14.2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spans="1:26" ht="14.2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spans="1:26" ht="14.2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spans="1:26" ht="14.2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spans="1:26" ht="14.2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spans="1:26" ht="14.2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spans="1:26" ht="14.2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spans="1:26" ht="14.2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spans="1:26" ht="14.2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spans="1:26" ht="14.2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spans="1:26" ht="14.2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spans="1:26" ht="14.2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spans="1:26" ht="14.2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spans="1:26" ht="14.2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spans="1:26" ht="14.2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spans="1:26" ht="14.2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spans="1:26" ht="14.2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spans="1:26" ht="14.2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Z1000"/>
  <sheetViews>
    <sheetView tabSelected="1" workbookViewId="0">
      <selection activeCell="G13" sqref="G13"/>
    </sheetView>
  </sheetViews>
  <sheetFormatPr baseColWidth="10" defaultColWidth="12.59765625" defaultRowHeight="15" customHeight="1"/>
  <cols>
    <col min="1" max="1" width="12.8984375" customWidth="1"/>
    <col min="2" max="2" width="27.19921875" customWidth="1"/>
    <col min="3" max="8" width="12.8984375" customWidth="1"/>
    <col min="9" max="9" width="9.19921875" customWidth="1"/>
    <col min="10" max="26" width="8" customWidth="1"/>
  </cols>
  <sheetData>
    <row r="1" spans="1:26" ht="30.75" customHeight="1">
      <c r="A1" s="56" t="s">
        <v>470</v>
      </c>
      <c r="B1" s="56" t="s">
        <v>471</v>
      </c>
      <c r="C1" s="57" t="s">
        <v>472</v>
      </c>
      <c r="D1" s="57" t="s">
        <v>473</v>
      </c>
      <c r="E1" s="58" t="s">
        <v>474</v>
      </c>
      <c r="F1" s="58" t="s">
        <v>475</v>
      </c>
      <c r="G1" s="59" t="s">
        <v>476</v>
      </c>
      <c r="H1" s="59" t="s">
        <v>477</v>
      </c>
      <c r="I1" s="60" t="s">
        <v>478</v>
      </c>
      <c r="J1" s="60" t="s">
        <v>479</v>
      </c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spans="1:26" ht="14.25" customHeight="1">
      <c r="A2" s="7">
        <v>3</v>
      </c>
      <c r="B2" s="42" t="s">
        <v>480</v>
      </c>
      <c r="C2" s="8">
        <v>0</v>
      </c>
      <c r="D2" s="62">
        <v>25</v>
      </c>
      <c r="E2" s="62">
        <v>25</v>
      </c>
      <c r="F2" s="8">
        <v>37.5</v>
      </c>
      <c r="G2" s="8">
        <v>37.5</v>
      </c>
      <c r="H2" s="8">
        <v>50</v>
      </c>
      <c r="I2" s="8">
        <v>50</v>
      </c>
      <c r="J2" s="8">
        <v>300</v>
      </c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4.25" customHeight="1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4.25" customHeight="1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4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4.25" customHeight="1">
      <c r="A6" s="33"/>
      <c r="B6" s="33"/>
      <c r="C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4.25" customHeight="1">
      <c r="A7" s="33"/>
      <c r="B7" s="33"/>
      <c r="C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4.25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4.25" customHeight="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4.25" customHeight="1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4.25" customHeight="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4.25" customHeight="1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4.25" customHeight="1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4.2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4.25" customHeight="1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4.2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4.2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4.2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4.2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4.2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4.2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4.2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4.2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4.2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4.2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4.2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4.2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4.2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4.2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4.2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4.2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4.2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4.2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4.2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4.2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4.2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4.2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4.2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4.2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4.2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4.2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4.2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4.2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4.2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4.2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4.2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4.2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4.2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4.2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4.2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4.2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4.2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4.2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4.2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4.2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4.2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4.2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4.2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4.2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4.2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4.2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4.2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4.2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4.2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4.2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4.2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4.2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4.2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4.2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4.2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4.2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4.2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4.2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4.2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4.2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4.2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4.2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4.2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4.2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4.2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4.2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4.2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4.2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4.2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4.2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4.2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4.2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4.2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4.2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4.2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4.2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4.2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4.2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4.2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4.2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4.2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4.2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4.2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4.2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4.2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4.2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4.2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4.2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4.2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4.2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4.2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4.2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4.2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4.2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4.2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4.2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4.2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4.2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4.2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4.2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4.2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4.2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4.2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4.2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4.2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4.2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4.2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4.2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4.2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4.2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4.2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4.2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4.2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4.2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4.2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4.2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4.2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4.2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4.2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4.2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4.2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4.2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4.2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4.2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4.2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4.2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4.2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4.2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4.2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4.2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4.2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4.2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4.2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4.2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4.2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4.2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4.2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4.2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4.2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4.2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4.2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4.2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4.2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4.2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4.2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4.2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4.2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4.2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4.2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4.2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4.2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4.2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4.2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4.2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4.2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4.2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4.2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4.2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4.2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4.2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4.2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4.2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4.2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4.2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4.2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4.2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4.2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4.2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4.2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4.2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4.2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4.2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4.2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4.2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4.2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4.2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4.2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4.2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4.2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4.2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4.2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4.2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4.2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4.2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4.2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4.2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4.2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4.2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4.2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4.2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4.2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4.2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4.2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4.2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4.2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4.2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4.2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4.2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4.2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4.2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4.2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4.2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4.2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4.2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4.2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4.2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4.2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4.2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4.2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4.2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4.2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4.2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4.2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4.2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4.2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4.2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4.2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4.2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4.2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4.2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14.2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14.2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14.2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14.2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14.2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14.2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1:26" ht="14.2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1:26" ht="14.2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1:26" ht="14.2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1:26" ht="14.2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1:26" ht="14.2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1:26" ht="14.2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1:26" ht="14.2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1:26" ht="14.2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1:26" ht="14.2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1:26" ht="14.2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1:26" ht="14.2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1:26" ht="14.2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1:26" ht="14.2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1:26" ht="14.2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1:26" ht="14.2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1:26" ht="14.2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1:26" ht="14.2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1:26" ht="14.2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1:26" ht="14.2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1:26" ht="14.2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1:26" ht="14.2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1:26" ht="14.2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1:26" ht="14.2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1:26" ht="14.2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1:26" ht="14.2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1:26" ht="14.2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1:26" ht="14.2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1:26" ht="14.2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1:26" ht="14.2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1:26" ht="14.2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1:26" ht="14.2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1:26" ht="14.2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1:26" ht="14.2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1:26" ht="14.2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1:26" ht="14.2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1:26" ht="14.2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1:26" ht="14.2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1:26" ht="14.2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1:26" ht="14.2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1:26" ht="14.2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1:26" ht="14.2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1:26" ht="14.2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1:26" ht="14.2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spans="1:26" ht="14.2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spans="1:26" ht="14.2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spans="1:26" ht="14.2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spans="1:26" ht="14.2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spans="1:26" ht="14.2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spans="1:26" ht="14.2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spans="1:26" ht="14.2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spans="1:26" ht="14.2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spans="1:26" ht="14.2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spans="1:26" ht="14.2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spans="1:26" ht="14.2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spans="1:26" ht="14.2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spans="1:26" ht="14.2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spans="1:26" ht="14.2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spans="1:26" ht="14.2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spans="1:26" ht="14.2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spans="1:26" ht="14.2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spans="1:26" ht="14.2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spans="1:26" ht="14.2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spans="1:26" ht="14.2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spans="1:26" ht="14.2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spans="1:26" ht="14.2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4.2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14.2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spans="1:26" ht="14.2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spans="1:26" ht="14.2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spans="1:26" ht="14.2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spans="1:26" ht="14.2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spans="1:26" ht="14.2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spans="1:26" ht="14.2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spans="1:26" ht="14.2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spans="1:26" ht="14.2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spans="1:26" ht="14.2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spans="1:26" ht="14.2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spans="1:26" ht="14.2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spans="1:26" ht="14.2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spans="1:26" ht="14.2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spans="1:26" ht="14.2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spans="1:26" ht="14.2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spans="1:26" ht="14.2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spans="1:26" ht="14.2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spans="1:26" ht="14.2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spans="1:26" ht="14.2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spans="1:26" ht="14.2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spans="1:26" ht="14.2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spans="1:26" ht="14.2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spans="1:26" ht="14.2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spans="1:26" ht="14.2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spans="1:26" ht="14.2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spans="1:26" ht="14.2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spans="1:26" ht="14.2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spans="1:26" ht="14.2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spans="1:26" ht="14.2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spans="1:26" ht="14.2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spans="1:26" ht="14.2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spans="1:26" ht="14.2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spans="1:26" ht="14.2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spans="1:26" ht="14.2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spans="1:26" ht="14.2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spans="1:26" ht="14.2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spans="1:26" ht="14.2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spans="1:26" ht="14.2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spans="1:26" ht="14.2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spans="1:26" ht="14.2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spans="1:26" ht="14.2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spans="1:26" ht="14.2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spans="1:26" ht="14.2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spans="1:26" ht="14.2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spans="1:26" ht="14.2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spans="1:26" ht="14.2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spans="1:26" ht="14.2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spans="1:26" ht="14.2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spans="1:26" ht="14.2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spans="1:26" ht="14.2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spans="1:26" ht="14.2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spans="1:26" ht="14.2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spans="1:26" ht="14.2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spans="1:26" ht="14.2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spans="1:26" ht="14.2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spans="1:26" ht="14.2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spans="1:26" ht="14.2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spans="1:26" ht="14.2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spans="1:26" ht="14.2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spans="1:26" ht="14.2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spans="1:26" ht="14.2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spans="1:26" ht="14.2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spans="1:26" ht="14.2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spans="1:26" ht="14.2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spans="1:26" ht="14.2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spans="1:26" ht="14.2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spans="1:26" ht="14.2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spans="1:26" ht="14.2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spans="1:26" ht="14.2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spans="1:26" ht="14.2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spans="1:26" ht="14.2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spans="1:26" ht="14.2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spans="1:26" ht="14.2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spans="1:26" ht="14.2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spans="1:26" ht="14.2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spans="1:26" ht="14.2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spans="1:26" ht="14.2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spans="1:26" ht="14.2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spans="1:26" ht="14.2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spans="1:26" ht="14.2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spans="1:26" ht="14.2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spans="1:26" ht="14.2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spans="1:26" ht="14.2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spans="1:26" ht="14.2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spans="1:26" ht="14.2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spans="1:26" ht="14.2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spans="1:26" ht="14.2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spans="1:26" ht="14.2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spans="1:26" ht="14.2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spans="1:26" ht="14.2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spans="1:26" ht="14.2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spans="1:26" ht="14.2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spans="1:26" ht="14.2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spans="1:26" ht="14.2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spans="1:26" ht="14.2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spans="1:26" ht="14.2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spans="1:26" ht="14.2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spans="1:26" ht="14.2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spans="1:26" ht="14.2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spans="1:26" ht="14.2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spans="1:26" ht="14.2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spans="1:26" ht="14.2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spans="1:26" ht="14.2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spans="1:26" ht="14.2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spans="1:26" ht="14.2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spans="1:26" ht="14.2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spans="1:26" ht="14.2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spans="1:26" ht="14.2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spans="1:26" ht="14.2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spans="1:26" ht="14.2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spans="1:26" ht="14.2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spans="1:26" ht="14.2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spans="1:26" ht="14.2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spans="1:26" ht="14.2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spans="1:26" ht="14.2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spans="1:26" ht="14.2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spans="1:26" ht="14.2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spans="1:26" ht="14.2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spans="1:26" ht="14.2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spans="1:26" ht="14.2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spans="1:26" ht="14.2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spans="1:26" ht="14.2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spans="1:26" ht="14.2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spans="1:26" ht="14.2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spans="1:26" ht="14.2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spans="1:26" ht="14.2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spans="1:26" ht="14.2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spans="1:26" ht="14.2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spans="1:26" ht="14.2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spans="1:26" ht="14.2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spans="1:26" ht="14.2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spans="1:26" ht="14.2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spans="1:26" ht="14.2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spans="1:26" ht="14.2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spans="1:26" ht="14.2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spans="1:26" ht="14.2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spans="1:26" ht="14.2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spans="1:26" ht="14.2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spans="1:26" ht="14.2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spans="1:26" ht="14.2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spans="1:26" ht="14.2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spans="1:26" ht="14.2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spans="1:26" ht="14.2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spans="1:26" ht="14.2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spans="1:26" ht="14.2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spans="1:26" ht="14.2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spans="1:26" ht="14.2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spans="1:26" ht="14.2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spans="1:26" ht="14.2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spans="1:26" ht="14.2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spans="1:26" ht="14.2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spans="1:26" ht="14.2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spans="1:26" ht="14.2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spans="1:26" ht="14.2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spans="1:26" ht="14.2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spans="1:26" ht="14.2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spans="1:26" ht="14.2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spans="1:26" ht="14.2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spans="1:26" ht="14.2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spans="1:26" ht="14.2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spans="1:26" ht="14.2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spans="1:26" ht="14.2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spans="1:26" ht="14.2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spans="1:26" ht="14.2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spans="1:26" ht="14.2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spans="1:26" ht="14.2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spans="1:26" ht="14.2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spans="1:26" ht="14.2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spans="1:26" ht="14.2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spans="1:26" ht="14.2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spans="1:26" ht="14.2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spans="1:26" ht="14.2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spans="1:26" ht="14.2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spans="1:26" ht="14.2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spans="1:26" ht="14.2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spans="1:26" ht="14.2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spans="1:26" ht="14.2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spans="1:26" ht="14.2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spans="1:26" ht="14.2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spans="1:26" ht="14.2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spans="1:26" ht="14.2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spans="1:26" ht="14.2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spans="1:26" ht="14.2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spans="1:26" ht="14.2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spans="1:26" ht="14.2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spans="1:26" ht="14.2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spans="1:26" ht="14.2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spans="1:26" ht="14.2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spans="1:26" ht="14.2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spans="1:26" ht="14.2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spans="1:26" ht="14.2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spans="1:26" ht="14.2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spans="1:26" ht="14.2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spans="1:26" ht="14.2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spans="1:26" ht="14.2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spans="1:26" ht="14.2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spans="1:26" ht="14.2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spans="1:26" ht="14.2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spans="1:26" ht="14.2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spans="1:26" ht="14.2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spans="1:26" ht="14.2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spans="1:26" ht="14.2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spans="1:26" ht="14.2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spans="1:26" ht="14.2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spans="1:26" ht="14.2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spans="1:26" ht="14.2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spans="1:26" ht="14.2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spans="1:26" ht="14.2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spans="1:26" ht="14.2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spans="1:26" ht="14.2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spans="1:26" ht="14.2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spans="1:26" ht="14.2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spans="1:26" ht="14.2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spans="1:26" ht="14.2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spans="1:26" ht="14.2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spans="1:26" ht="14.2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spans="1:26" ht="14.2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spans="1:26" ht="14.2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spans="1:26" ht="14.2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spans="1:26" ht="14.2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spans="1:26" ht="14.2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spans="1:26" ht="14.2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spans="1:26" ht="14.2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spans="1:26" ht="14.2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spans="1:26" ht="14.2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spans="1:26" ht="14.2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spans="1:26" ht="14.2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spans="1:26" ht="14.2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spans="1:26" ht="14.2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spans="1:26" ht="14.2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spans="1:26" ht="14.2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spans="1:26" ht="14.2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spans="1:26" ht="14.2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spans="1:26" ht="14.2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spans="1:26" ht="14.2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spans="1:26" ht="14.2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spans="1:26" ht="14.2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spans="1:26" ht="14.2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spans="1:26" ht="14.2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spans="1:26" ht="14.2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spans="1:26" ht="14.2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spans="1:26" ht="14.2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spans="1:26" ht="14.2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spans="1:26" ht="14.2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spans="1:26" ht="14.2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spans="1:26" ht="14.2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spans="1:26" ht="14.2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spans="1:26" ht="14.2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spans="1:26" ht="14.2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spans="1:26" ht="14.2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spans="1:26" ht="14.2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spans="1:26" ht="14.2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spans="1:26" ht="14.2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spans="1:26" ht="14.2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spans="1:26" ht="14.2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spans="1:26" ht="14.2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spans="1:26" ht="14.2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spans="1:26" ht="14.2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spans="1:26" ht="14.2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spans="1:26" ht="14.2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spans="1:26" ht="14.2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spans="1:26" ht="14.2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spans="1:26" ht="14.2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spans="1:26" ht="14.2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spans="1:26" ht="14.2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spans="1:26" ht="14.2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spans="1:26" ht="14.2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spans="1:26" ht="14.2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spans="1:26" ht="14.2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spans="1:26" ht="14.2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spans="1:26" ht="14.2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spans="1:26" ht="14.2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spans="1:26" ht="14.2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spans="1:26" ht="14.2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spans="1:26" ht="14.2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spans="1:26" ht="14.2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spans="1:26" ht="14.2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spans="1:26" ht="14.2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spans="1:26" ht="14.2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spans="1:26" ht="14.2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spans="1:26" ht="14.2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spans="1:26" ht="14.2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spans="1:26" ht="14.2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spans="1:26" ht="14.2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spans="1:26" ht="14.2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spans="1:26" ht="14.2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spans="1:26" ht="14.2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spans="1:26" ht="14.2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spans="1:26" ht="14.2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spans="1:26" ht="14.2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spans="1:26" ht="14.2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spans="1:26" ht="14.2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spans="1:26" ht="14.2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spans="1:26" ht="14.2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spans="1:26" ht="14.2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spans="1:26" ht="14.2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spans="1:26" ht="14.2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spans="1:26" ht="14.2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spans="1:26" ht="14.2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spans="1:26" ht="14.2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spans="1:26" ht="14.2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spans="1:26" ht="14.2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spans="1:26" ht="14.2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spans="1:26" ht="14.2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spans="1:26" ht="14.2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spans="1:26" ht="14.2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spans="1:26" ht="14.2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spans="1:26" ht="14.2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spans="1:26" ht="14.2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spans="1:26" ht="14.2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spans="1:26" ht="14.2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spans="1:26" ht="14.2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spans="1:26" ht="14.2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spans="1:26" ht="14.2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spans="1:26" ht="14.2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spans="1:26" ht="14.2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spans="1:26" ht="14.2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spans="1:26" ht="14.2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spans="1:26" ht="14.2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spans="1:26" ht="14.2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spans="1:26" ht="14.2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spans="1:26" ht="14.2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spans="1:26" ht="14.2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spans="1:26" ht="14.2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spans="1:26" ht="14.2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spans="1:26" ht="14.2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spans="1:26" ht="14.2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spans="1:26" ht="14.2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spans="1:26" ht="14.2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spans="1:26" ht="14.2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spans="1:26" ht="14.2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spans="1:26" ht="14.2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spans="1:26" ht="14.2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spans="1:26" ht="14.2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spans="1:26" ht="14.2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spans="1:26" ht="14.2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spans="1:26" ht="14.2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spans="1:26" ht="14.2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spans="1:26" ht="14.2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spans="1:26" ht="14.2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spans="1:26" ht="14.2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spans="1:26" ht="14.2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spans="1:26" ht="14.2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spans="1:26" ht="14.2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spans="1:26" ht="14.2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spans="1:26" ht="14.2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spans="1:26" ht="14.2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spans="1:26" ht="14.2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spans="1:26" ht="14.2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spans="1:26" ht="14.2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spans="1:26" ht="14.2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spans="1:26" ht="14.2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spans="1:26" ht="14.2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spans="1:26" ht="14.2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spans="1:26" ht="14.2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spans="1:26" ht="14.2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spans="1:26" ht="14.2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spans="1:26" ht="14.2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spans="1:26" ht="14.2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spans="1:26" ht="14.2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spans="1:26" ht="14.2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spans="1:26" ht="14.2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spans="1:26" ht="14.2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spans="1:26" ht="14.2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spans="1:26" ht="14.2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spans="1:26" ht="14.2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spans="1:26" ht="14.2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spans="1:26" ht="14.2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spans="1:26" ht="14.2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spans="1:26" ht="14.2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spans="1:26" ht="14.2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spans="1:26" ht="14.2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spans="1:26" ht="14.2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spans="1:26" ht="14.2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spans="1:26" ht="14.2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spans="1:26" ht="14.2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spans="1:26" ht="14.2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spans="1:26" ht="14.2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spans="1:26" ht="14.2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spans="1:26" ht="14.2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spans="1:26" ht="14.2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spans="1:26" ht="14.2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spans="1:26" ht="14.2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spans="1:26" ht="14.2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spans="1:26" ht="14.2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spans="1:26" ht="14.2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spans="1:26" ht="14.2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spans="1:26" ht="14.2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spans="1:26" ht="14.2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spans="1:26" ht="14.2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spans="1:26" ht="14.2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spans="1:26" ht="14.2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spans="1:26" ht="14.2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spans="1:26" ht="14.2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spans="1:26" ht="14.2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spans="1:26" ht="14.2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spans="1:26" ht="14.2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spans="1:26" ht="14.2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spans="1:26" ht="14.2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spans="1:26" ht="14.2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spans="1:26" ht="14.2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spans="1:26" ht="14.2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spans="1:26" ht="14.2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spans="1:26" ht="14.2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spans="1:26" ht="14.2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spans="1:26" ht="14.2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spans="1:26" ht="14.2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spans="1:26" ht="14.2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spans="1:26" ht="14.2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spans="1:26" ht="14.2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spans="1:26" ht="14.2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spans="1:26" ht="14.2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spans="1:26" ht="14.2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spans="1:26" ht="14.2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spans="1:26" ht="14.2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spans="1:26" ht="14.2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spans="1:26" ht="14.2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spans="1:26" ht="14.2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spans="1:26" ht="14.2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spans="1:26" ht="14.2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spans="1:26" ht="14.2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spans="1:26" ht="14.2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spans="1:26" ht="14.2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spans="1:26" ht="14.2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spans="1:26" ht="14.2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spans="1:26" ht="14.2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spans="1:26" ht="14.2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spans="1:26" ht="14.2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spans="1:26" ht="14.2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spans="1:26" ht="14.2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spans="1:26" ht="14.2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spans="1:26" ht="14.2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spans="1:26" ht="14.2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spans="1:26" ht="14.2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spans="1:26" ht="14.2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spans="1:26" ht="14.2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spans="1:26" ht="14.2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spans="1:26" ht="14.2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spans="1:26" ht="14.2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spans="1:26" ht="14.2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spans="1:26" ht="14.2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spans="1:26" ht="14.2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spans="1:26" ht="14.2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spans="1:26" ht="14.2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spans="1:26" ht="14.2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spans="1:26" ht="14.2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spans="1:26" ht="14.2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spans="1:26" ht="14.2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spans="1:26" ht="14.2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spans="1:26" ht="14.2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spans="1:26" ht="14.2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spans="1:26" ht="14.2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spans="1:26" ht="14.2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spans="1:26" ht="14.2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spans="1:26" ht="14.2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spans="1:26" ht="14.2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spans="1:26" ht="14.2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spans="1:26" ht="14.2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spans="1:26" ht="14.2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spans="1:26" ht="14.2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spans="1:26" ht="14.2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spans="1:26" ht="14.2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spans="1:26" ht="14.2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spans="1:26" ht="14.2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spans="1:26" ht="14.2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spans="1:26" ht="14.2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spans="1:26" ht="14.2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spans="1:26" ht="14.2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spans="1:26" ht="14.2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spans="1:26" ht="14.2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spans="1:26" ht="14.2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spans="1:26" ht="14.2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spans="1:26" ht="14.2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spans="1:26" ht="14.2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spans="1:26" ht="14.2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spans="1:26" ht="14.2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spans="1:26" ht="14.2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spans="1:26" ht="14.2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spans="1:26" ht="14.2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spans="1:26" ht="14.2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spans="1:26" ht="14.2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spans="1:26" ht="14.2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spans="1:26" ht="14.2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spans="1:26" ht="14.2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spans="1:26" ht="14.2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spans="1:26" ht="14.2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spans="1:26" ht="14.2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spans="1:26" ht="14.2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spans="1:26" ht="14.2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spans="1:26" ht="14.2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spans="1:26" ht="14.2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spans="1:26" ht="14.2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spans="1:26" ht="14.2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spans="1:26" ht="14.2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spans="1:26" ht="14.2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spans="1:26" ht="14.2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spans="1:26" ht="14.2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spans="1:26" ht="14.2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spans="1:26" ht="14.2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spans="1:26" ht="14.2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spans="1:26" ht="14.2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spans="1:26" ht="14.2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spans="1:26" ht="14.2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spans="1:26" ht="14.2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spans="1:26" ht="14.2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spans="1:26" ht="14.2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spans="1:26" ht="14.2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spans="1:26" ht="14.2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spans="1:26" ht="14.2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spans="1:26" ht="14.2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spans="1:26" ht="14.2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spans="1:26" ht="14.2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spans="1:26" ht="14.2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spans="1:26" ht="14.2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spans="1:26" ht="14.2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spans="1:26" ht="14.2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spans="1:26" ht="14.2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spans="1:26" ht="14.2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spans="1:26" ht="14.2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spans="1:26" ht="14.2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spans="1:26" ht="14.2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spans="1:26" ht="14.2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spans="1:26" ht="14.2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spans="1:26" ht="14.2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spans="1:26" ht="14.2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spans="1:26" ht="14.2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spans="1:26" ht="14.2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spans="1:26" ht="14.2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spans="1:26" ht="14.2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spans="1:26" ht="14.2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spans="1:26" ht="14.2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spans="1:26" ht="14.2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spans="1:26" ht="14.2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spans="1:26" ht="14.2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spans="1:26" ht="14.2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spans="1:26" ht="14.2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spans="1:26" ht="14.2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spans="1:26" ht="14.2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spans="1:26" ht="14.2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spans="1:26" ht="14.2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spans="1:26" ht="14.2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spans="1:26" ht="14.2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spans="1:26" ht="14.2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spans="1:26" ht="14.2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spans="1:26" ht="14.2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spans="1:26" ht="14.2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spans="1:26" ht="14.2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spans="1:26" ht="14.2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spans="1:26" ht="14.2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spans="1:26" ht="14.2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spans="1:26" ht="14.2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spans="1:26" ht="14.2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spans="1:26" ht="14.2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spans="1:26" ht="14.2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spans="1:26" ht="14.2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spans="1:26" ht="14.2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spans="1:26" ht="14.2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spans="1:26" ht="14.2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spans="1:26" ht="14.2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spans="1:26" ht="14.2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spans="1:26" ht="14.2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spans="1:26" ht="14.2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spans="1:26" ht="14.2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spans="1:26" ht="14.2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spans="1:26" ht="14.2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spans="1:26" ht="14.2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spans="1:26" ht="14.2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spans="1:26" ht="14.2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spans="1:26" ht="14.2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spans="1:26" ht="14.2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spans="1:26" ht="14.2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spans="1:26" ht="14.2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spans="1:26" ht="14.2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spans="1:26" ht="14.2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spans="1:26" ht="14.2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spans="1:26" ht="14.2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spans="1:26" ht="14.2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spans="1:26" ht="14.2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spans="1:26" ht="14.2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spans="1:26" ht="14.2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spans="1:26" ht="14.2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spans="1:26" ht="14.2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spans="1:26" ht="14.2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spans="1:26" ht="14.2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spans="1:26" ht="14.2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spans="1:26" ht="14.2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spans="1:26" ht="14.2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spans="1:26" ht="14.2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spans="1:26" ht="14.2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spans="1:26" ht="14.2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spans="1:26" ht="14.2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spans="1:26" ht="14.2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spans="1:26" ht="14.2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spans="1:26" ht="14.2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spans="1:26" ht="14.2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spans="1:26" ht="14.2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spans="1:26" ht="14.2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spans="1:26" ht="14.2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spans="1:26" ht="14.2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spans="1:26" ht="14.2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spans="1:26" ht="14.2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spans="1:26" ht="14.2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spans="1:26" ht="14.2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spans="1:26" ht="14.2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spans="1:26" ht="14.2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spans="1:26" ht="14.2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spans="1:26" ht="14.2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spans="1:26" ht="14.2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spans="1:26" ht="14.2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spans="1:26" ht="14.2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spans="1:26" ht="14.2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spans="1:26" ht="14.2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spans="1:26" ht="14.2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spans="1:26" ht="14.2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spans="1:26" ht="14.2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spans="1:26" ht="14.2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spans="1:26" ht="14.2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spans="1:26" ht="14.2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spans="1:26" ht="14.2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spans="1:26" ht="14.2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spans="1:26" ht="14.2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spans="1:26" ht="14.2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spans="1:26" ht="14.2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spans="1:26" ht="14.2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spans="1:26" ht="14.2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spans="1:26" ht="14.2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spans="1:26" ht="14.2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spans="1:26" ht="14.2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spans="1:26" ht="14.2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spans="1:26" ht="14.2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spans="1:26" ht="14.2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spans="1:26" ht="14.2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spans="1:26" ht="14.2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spans="1:26" ht="14.2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spans="1:26" ht="14.2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spans="1:26" ht="14.2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spans="1:26" ht="14.2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spans="1:26" ht="14.2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spans="1:26" ht="14.2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spans="1:26" ht="14.2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spans="1:26" ht="14.2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spans="1:26" ht="14.2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spans="1:26" ht="14.2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spans="1:26" ht="14.2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spans="1:26" ht="14.2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spans="1:26" ht="14.2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spans="1:26" ht="14.2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spans="1:26" ht="14.2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spans="1:26" ht="14.2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spans="1:26" ht="14.2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spans="1:26" ht="14.2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spans="1:26" ht="14.2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spans="1:26" ht="14.2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spans="1:26" ht="14.2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spans="1:26" ht="14.2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spans="1:26" ht="14.2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spans="1:26" ht="14.2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spans="1:26" ht="14.2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spans="1:26" ht="14.2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spans="1:26" ht="14.2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spans="1:26" ht="14.2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spans="1:26" ht="14.2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spans="1:26" ht="14.2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spans="1:26" ht="14.2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spans="1:26" ht="14.2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spans="1:26" ht="14.2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spans="1:26" ht="14.2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spans="1:26" ht="14.2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spans="1:26" ht="14.2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spans="1:26" ht="14.2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spans="1:26" ht="14.2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spans="1:26" ht="14.2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spans="1:26" ht="14.2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spans="1:26" ht="14.2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spans="1:26" ht="14.2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spans="1:26" ht="14.2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spans="1:26" ht="14.2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spans="1:26" ht="14.2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spans="1:26" ht="14.2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spans="1:26" ht="14.2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spans="1:26" ht="14.2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spans="1:26" ht="14.2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spans="1:26" ht="14.2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spans="1:26" ht="14.2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spans="1:26" ht="14.2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spans="1:26" ht="14.2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spans="1:26" ht="14.2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spans="1:26" ht="14.2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spans="1:26" ht="14.2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spans="1:26" ht="14.2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000"/>
  <sheetViews>
    <sheetView workbookViewId="0"/>
  </sheetViews>
  <sheetFormatPr baseColWidth="10" defaultColWidth="12.59765625" defaultRowHeight="15" customHeight="1"/>
  <cols>
    <col min="1" max="26" width="10.59765625" customWidth="1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 2012 MORT NIÑEZ _CENSO</vt:lpstr>
      <vt:lpstr> 2024 MORT NIÑEZ_CENSO</vt:lpstr>
      <vt:lpstr>Datos procesados_EDSA_y_Cen2012</vt:lpstr>
      <vt:lpstr>Datos procesados_EDSA_y_Cen2024</vt:lpstr>
      <vt:lpstr>Indicador_MUN</vt:lpstr>
      <vt:lpstr>INFANTIL Absoluto_MUN</vt:lpstr>
      <vt:lpstr>NIÑEZ Absoluto_MUN </vt:lpstr>
      <vt:lpstr>Absoluto_MUN</vt:lpstr>
      <vt:lpstr>Indicador_DEP </vt:lpstr>
      <vt:lpstr>Absoluto_DEP</vt:lpstr>
      <vt:lpstr>Umbral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Bustillo</dc:creator>
  <cp:lastModifiedBy>Karina</cp:lastModifiedBy>
  <dcterms:created xsi:type="dcterms:W3CDTF">2018-12-14T20:30:43Z</dcterms:created>
  <dcterms:modified xsi:type="dcterms:W3CDTF">2026-06-15T20:34:35Z</dcterms:modified>
</cp:coreProperties>
</file>